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-Set/"/>
    </mc:Choice>
  </mc:AlternateContent>
  <xr:revisionPtr revIDLastSave="816" documentId="13_ncr:1_{4FD17092-67A2-4D4C-9A13-270539237338}" xr6:coauthVersionLast="47" xr6:coauthVersionMax="47" xr10:uidLastSave="{C28D84C6-296C-401A-A14C-DE3911F4D3D1}"/>
  <bookViews>
    <workbookView xWindow="21696" yWindow="1536" windowWidth="23616" windowHeight="22128" activeTab="1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voxel'!$A$1:$AY$332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V332" i="14" l="1"/>
  <c r="AU332" i="14"/>
  <c r="AR332" i="14"/>
  <c r="AI332" i="14"/>
  <c r="AH332" i="14"/>
  <c r="AG332" i="14"/>
  <c r="AF332" i="14"/>
  <c r="AE332" i="14"/>
  <c r="AD332" i="14"/>
  <c r="AC332" i="14"/>
  <c r="X332" i="14"/>
  <c r="T332" i="14" s="1"/>
  <c r="V332" i="14"/>
  <c r="R332" i="14"/>
  <c r="AV331" i="14"/>
  <c r="AU331" i="14"/>
  <c r="AR331" i="14"/>
  <c r="AI331" i="14"/>
  <c r="AH331" i="14"/>
  <c r="AG331" i="14"/>
  <c r="AF331" i="14"/>
  <c r="AE331" i="14"/>
  <c r="AD331" i="14"/>
  <c r="AC331" i="14"/>
  <c r="X331" i="14"/>
  <c r="T331" i="14" s="1"/>
  <c r="V331" i="14"/>
  <c r="R331" i="14"/>
  <c r="AV330" i="14"/>
  <c r="AU330" i="14"/>
  <c r="AR330" i="14"/>
  <c r="AI330" i="14"/>
  <c r="AH330" i="14"/>
  <c r="AG330" i="14"/>
  <c r="AF330" i="14"/>
  <c r="AE330" i="14"/>
  <c r="AD330" i="14"/>
  <c r="AC330" i="14"/>
  <c r="X330" i="14"/>
  <c r="V330" i="14"/>
  <c r="T330" i="14"/>
  <c r="R330" i="14"/>
  <c r="AV329" i="14"/>
  <c r="AU329" i="14"/>
  <c r="AR329" i="14"/>
  <c r="AI329" i="14"/>
  <c r="AH329" i="14"/>
  <c r="AG329" i="14"/>
  <c r="AF329" i="14"/>
  <c r="AE329" i="14"/>
  <c r="AD329" i="14"/>
  <c r="AC329" i="14"/>
  <c r="X329" i="14"/>
  <c r="R329" i="14"/>
  <c r="V329" i="14" s="1"/>
  <c r="AV328" i="14"/>
  <c r="AU328" i="14"/>
  <c r="AR328" i="14"/>
  <c r="AI328" i="14"/>
  <c r="AH328" i="14"/>
  <c r="AG328" i="14"/>
  <c r="AF328" i="14"/>
  <c r="AE328" i="14"/>
  <c r="AD328" i="14"/>
  <c r="AC328" i="14"/>
  <c r="X328" i="14"/>
  <c r="R328" i="14"/>
  <c r="T328" i="14" s="1"/>
  <c r="AV327" i="14"/>
  <c r="AU327" i="14"/>
  <c r="AR327" i="14"/>
  <c r="AI327" i="14"/>
  <c r="AH327" i="14"/>
  <c r="AG327" i="14"/>
  <c r="AF327" i="14"/>
  <c r="AE327" i="14"/>
  <c r="AD327" i="14"/>
  <c r="AC327" i="14"/>
  <c r="X327" i="14"/>
  <c r="R327" i="14"/>
  <c r="V327" i="14" s="1"/>
  <c r="AV326" i="14"/>
  <c r="AU326" i="14"/>
  <c r="AR326" i="14"/>
  <c r="AI326" i="14"/>
  <c r="AH326" i="14"/>
  <c r="AG326" i="14"/>
  <c r="AF326" i="14"/>
  <c r="AE326" i="14"/>
  <c r="AD326" i="14"/>
  <c r="AC326" i="14"/>
  <c r="X326" i="14"/>
  <c r="V326" i="14" s="1"/>
  <c r="R326" i="14"/>
  <c r="T326" i="14" s="1"/>
  <c r="AV325" i="14"/>
  <c r="AU325" i="14"/>
  <c r="AR325" i="14"/>
  <c r="AI325" i="14"/>
  <c r="AH325" i="14"/>
  <c r="AG325" i="14"/>
  <c r="AF325" i="14"/>
  <c r="AE325" i="14"/>
  <c r="AD325" i="14"/>
  <c r="AC325" i="14"/>
  <c r="X325" i="14"/>
  <c r="R325" i="14"/>
  <c r="V325" i="14" s="1"/>
  <c r="AV324" i="14"/>
  <c r="AU324" i="14"/>
  <c r="AR324" i="14"/>
  <c r="AI324" i="14"/>
  <c r="AH324" i="14"/>
  <c r="AG324" i="14"/>
  <c r="AF324" i="14"/>
  <c r="AE324" i="14"/>
  <c r="AD324" i="14"/>
  <c r="AC324" i="14"/>
  <c r="X324" i="14"/>
  <c r="R324" i="14"/>
  <c r="V324" i="14" s="1"/>
  <c r="AV323" i="14"/>
  <c r="AU323" i="14"/>
  <c r="AR323" i="14"/>
  <c r="AI323" i="14"/>
  <c r="AH323" i="14"/>
  <c r="AG323" i="14"/>
  <c r="AF323" i="14"/>
  <c r="AE323" i="14"/>
  <c r="AD323" i="14"/>
  <c r="AC323" i="14"/>
  <c r="X323" i="14"/>
  <c r="R323" i="14"/>
  <c r="V323" i="14" s="1"/>
  <c r="AV322" i="14"/>
  <c r="AU322" i="14"/>
  <c r="AR322" i="14"/>
  <c r="AI322" i="14"/>
  <c r="AH322" i="14"/>
  <c r="AG322" i="14"/>
  <c r="AF322" i="14"/>
  <c r="AE322" i="14"/>
  <c r="AD322" i="14"/>
  <c r="AC322" i="14"/>
  <c r="X322" i="14"/>
  <c r="T322" i="14"/>
  <c r="R322" i="14"/>
  <c r="V322" i="14" s="1"/>
  <c r="AV321" i="14"/>
  <c r="AU321" i="14"/>
  <c r="AR321" i="14"/>
  <c r="AI321" i="14"/>
  <c r="AH321" i="14"/>
  <c r="AG321" i="14"/>
  <c r="AF321" i="14"/>
  <c r="AE321" i="14"/>
  <c r="AD321" i="14"/>
  <c r="AC321" i="14"/>
  <c r="X321" i="14"/>
  <c r="R321" i="14"/>
  <c r="V321" i="14" s="1"/>
  <c r="AV320" i="14"/>
  <c r="AU320" i="14"/>
  <c r="AR320" i="14"/>
  <c r="AI320" i="14"/>
  <c r="AH320" i="14"/>
  <c r="AG320" i="14"/>
  <c r="AF320" i="14"/>
  <c r="AE320" i="14"/>
  <c r="AD320" i="14"/>
  <c r="AC320" i="14"/>
  <c r="X320" i="14"/>
  <c r="R320" i="14"/>
  <c r="V320" i="14" s="1"/>
  <c r="AV319" i="14"/>
  <c r="AU319" i="14"/>
  <c r="AR319" i="14"/>
  <c r="AI319" i="14"/>
  <c r="AH319" i="14"/>
  <c r="AG319" i="14"/>
  <c r="AF319" i="14"/>
  <c r="AE319" i="14"/>
  <c r="AD319" i="14"/>
  <c r="AC319" i="14"/>
  <c r="X319" i="14"/>
  <c r="R319" i="14"/>
  <c r="V319" i="14" s="1"/>
  <c r="AV318" i="14"/>
  <c r="AU318" i="14"/>
  <c r="AR318" i="14"/>
  <c r="AI318" i="14"/>
  <c r="AH318" i="14"/>
  <c r="AG318" i="14"/>
  <c r="AF318" i="14"/>
  <c r="AE318" i="14"/>
  <c r="AD318" i="14"/>
  <c r="AC318" i="14"/>
  <c r="X318" i="14"/>
  <c r="R318" i="14"/>
  <c r="T318" i="14" s="1"/>
  <c r="AV317" i="14"/>
  <c r="AU317" i="14"/>
  <c r="AR317" i="14"/>
  <c r="AI317" i="14"/>
  <c r="AH317" i="14"/>
  <c r="AG317" i="14"/>
  <c r="AF317" i="14"/>
  <c r="AE317" i="14"/>
  <c r="AD317" i="14"/>
  <c r="AC317" i="14"/>
  <c r="X317" i="14"/>
  <c r="R317" i="14"/>
  <c r="V317" i="14" s="1"/>
  <c r="AV316" i="14"/>
  <c r="AU316" i="14"/>
  <c r="AR316" i="14"/>
  <c r="AI316" i="14"/>
  <c r="AH316" i="14"/>
  <c r="AG316" i="14"/>
  <c r="AF316" i="14"/>
  <c r="AE316" i="14"/>
  <c r="AD316" i="14"/>
  <c r="AC316" i="14"/>
  <c r="X316" i="14"/>
  <c r="R316" i="14"/>
  <c r="V316" i="14" s="1"/>
  <c r="AV315" i="14"/>
  <c r="AU315" i="14"/>
  <c r="AR315" i="14"/>
  <c r="AI315" i="14"/>
  <c r="AH315" i="14"/>
  <c r="AG315" i="14"/>
  <c r="AF315" i="14"/>
  <c r="AE315" i="14"/>
  <c r="AD315" i="14"/>
  <c r="AC315" i="14"/>
  <c r="X315" i="14"/>
  <c r="T315" i="14" s="1"/>
  <c r="R315" i="14"/>
  <c r="AV314" i="14"/>
  <c r="AU314" i="14"/>
  <c r="AR314" i="14"/>
  <c r="AI314" i="14"/>
  <c r="AH314" i="14"/>
  <c r="AG314" i="14"/>
  <c r="AF314" i="14"/>
  <c r="AE314" i="14"/>
  <c r="AD314" i="14"/>
  <c r="AC314" i="14"/>
  <c r="X314" i="14"/>
  <c r="R314" i="14"/>
  <c r="V314" i="14" s="1"/>
  <c r="AV313" i="14"/>
  <c r="AU313" i="14"/>
  <c r="AR313" i="14"/>
  <c r="AI313" i="14"/>
  <c r="AH313" i="14"/>
  <c r="AG313" i="14"/>
  <c r="AF313" i="14"/>
  <c r="AE313" i="14"/>
  <c r="AD313" i="14"/>
  <c r="AC313" i="14"/>
  <c r="X313" i="14"/>
  <c r="T313" i="14" s="1"/>
  <c r="R313" i="14"/>
  <c r="AV312" i="14"/>
  <c r="AU312" i="14"/>
  <c r="AR312" i="14"/>
  <c r="AI312" i="14"/>
  <c r="AH312" i="14"/>
  <c r="AG312" i="14"/>
  <c r="AF312" i="14"/>
  <c r="AE312" i="14"/>
  <c r="AD312" i="14"/>
  <c r="AC312" i="14"/>
  <c r="X312" i="14"/>
  <c r="R312" i="14"/>
  <c r="V312" i="14" s="1"/>
  <c r="AV311" i="14"/>
  <c r="AU311" i="14"/>
  <c r="AR311" i="14"/>
  <c r="AI311" i="14"/>
  <c r="AH311" i="14"/>
  <c r="AG311" i="14"/>
  <c r="AF311" i="14"/>
  <c r="AE311" i="14"/>
  <c r="AD311" i="14"/>
  <c r="AC311" i="14"/>
  <c r="X311" i="14"/>
  <c r="T311" i="14" s="1"/>
  <c r="V311" i="14"/>
  <c r="R311" i="14"/>
  <c r="AV310" i="14"/>
  <c r="AU310" i="14"/>
  <c r="AR310" i="14"/>
  <c r="AI310" i="14"/>
  <c r="AH310" i="14"/>
  <c r="AG310" i="14"/>
  <c r="AF310" i="14"/>
  <c r="AE310" i="14"/>
  <c r="AD310" i="14"/>
  <c r="AC310" i="14"/>
  <c r="X310" i="14"/>
  <c r="V310" i="14" s="1"/>
  <c r="R310" i="14"/>
  <c r="AV309" i="14"/>
  <c r="AU309" i="14"/>
  <c r="AR309" i="14"/>
  <c r="AI309" i="14"/>
  <c r="AH309" i="14"/>
  <c r="AG309" i="14"/>
  <c r="AF309" i="14"/>
  <c r="AE309" i="14"/>
  <c r="AD309" i="14"/>
  <c r="AC309" i="14"/>
  <c r="X309" i="14"/>
  <c r="R309" i="14"/>
  <c r="V309" i="14" s="1"/>
  <c r="AV308" i="14"/>
  <c r="AU308" i="14"/>
  <c r="AR308" i="14"/>
  <c r="AI308" i="14"/>
  <c r="AH308" i="14"/>
  <c r="AG308" i="14"/>
  <c r="AF308" i="14"/>
  <c r="AE308" i="14"/>
  <c r="AD308" i="14"/>
  <c r="AC308" i="14"/>
  <c r="X308" i="14"/>
  <c r="T308" i="14" s="1"/>
  <c r="V308" i="14"/>
  <c r="R308" i="14"/>
  <c r="AV307" i="14"/>
  <c r="AU307" i="14"/>
  <c r="AR307" i="14"/>
  <c r="AI307" i="14"/>
  <c r="AH307" i="14"/>
  <c r="AG307" i="14"/>
  <c r="AF307" i="14"/>
  <c r="AE307" i="14"/>
  <c r="AD307" i="14"/>
  <c r="AC307" i="14"/>
  <c r="X307" i="14"/>
  <c r="R307" i="14"/>
  <c r="V307" i="14" s="1"/>
  <c r="AV306" i="14"/>
  <c r="AU306" i="14"/>
  <c r="AR306" i="14"/>
  <c r="AI306" i="14"/>
  <c r="AH306" i="14"/>
  <c r="AG306" i="14"/>
  <c r="AF306" i="14"/>
  <c r="AE306" i="14"/>
  <c r="AD306" i="14"/>
  <c r="AC306" i="14"/>
  <c r="X306" i="14"/>
  <c r="V306" i="14" s="1"/>
  <c r="R306" i="14"/>
  <c r="AV305" i="14"/>
  <c r="AU305" i="14"/>
  <c r="AR305" i="14"/>
  <c r="AI305" i="14"/>
  <c r="AH305" i="14"/>
  <c r="AG305" i="14"/>
  <c r="AF305" i="14"/>
  <c r="AE305" i="14"/>
  <c r="AD305" i="14"/>
  <c r="AC305" i="14"/>
  <c r="X305" i="14"/>
  <c r="T305" i="14" s="1"/>
  <c r="R305" i="14"/>
  <c r="AV304" i="14"/>
  <c r="AU304" i="14"/>
  <c r="AR304" i="14"/>
  <c r="AI304" i="14"/>
  <c r="AH304" i="14"/>
  <c r="AG304" i="14"/>
  <c r="AF304" i="14"/>
  <c r="AE304" i="14"/>
  <c r="AD304" i="14"/>
  <c r="AC304" i="14"/>
  <c r="X304" i="14"/>
  <c r="T304" i="14" s="1"/>
  <c r="V304" i="14"/>
  <c r="R304" i="14"/>
  <c r="AV303" i="14"/>
  <c r="AU303" i="14"/>
  <c r="AR303" i="14"/>
  <c r="AI303" i="14"/>
  <c r="AH303" i="14"/>
  <c r="AG303" i="14"/>
  <c r="AF303" i="14"/>
  <c r="AE303" i="14"/>
  <c r="AD303" i="14"/>
  <c r="AC303" i="14"/>
  <c r="X303" i="14"/>
  <c r="T303" i="14" s="1"/>
  <c r="V303" i="14"/>
  <c r="R303" i="14"/>
  <c r="AV302" i="14"/>
  <c r="AU302" i="14"/>
  <c r="AR302" i="14"/>
  <c r="AI302" i="14"/>
  <c r="AH302" i="14"/>
  <c r="AG302" i="14"/>
  <c r="AF302" i="14"/>
  <c r="AE302" i="14"/>
  <c r="AD302" i="14"/>
  <c r="AC302" i="14"/>
  <c r="X302" i="14"/>
  <c r="V302" i="14"/>
  <c r="T302" i="14"/>
  <c r="R302" i="14"/>
  <c r="AV301" i="14"/>
  <c r="AU301" i="14"/>
  <c r="AR301" i="14"/>
  <c r="AI301" i="14"/>
  <c r="AH301" i="14"/>
  <c r="AG301" i="14"/>
  <c r="AF301" i="14"/>
  <c r="AE301" i="14"/>
  <c r="AD301" i="14"/>
  <c r="AC301" i="14"/>
  <c r="X301" i="14"/>
  <c r="R301" i="14"/>
  <c r="V301" i="14" s="1"/>
  <c r="AV300" i="14"/>
  <c r="AU300" i="14"/>
  <c r="AR300" i="14"/>
  <c r="AI300" i="14"/>
  <c r="AH300" i="14"/>
  <c r="AG300" i="14"/>
  <c r="AF300" i="14"/>
  <c r="AE300" i="14"/>
  <c r="AD300" i="14"/>
  <c r="AC300" i="14"/>
  <c r="X300" i="14"/>
  <c r="R300" i="14"/>
  <c r="V300" i="14" s="1"/>
  <c r="AV299" i="14"/>
  <c r="AU299" i="14"/>
  <c r="AR299" i="14"/>
  <c r="AI299" i="14"/>
  <c r="AH299" i="14"/>
  <c r="AG299" i="14"/>
  <c r="AF299" i="14"/>
  <c r="AE299" i="14"/>
  <c r="AD299" i="14"/>
  <c r="AC299" i="14"/>
  <c r="X299" i="14"/>
  <c r="R299" i="14"/>
  <c r="V299" i="14" s="1"/>
  <c r="AV298" i="14"/>
  <c r="AU298" i="14"/>
  <c r="AR298" i="14"/>
  <c r="AI298" i="14"/>
  <c r="AH298" i="14"/>
  <c r="AG298" i="14"/>
  <c r="AF298" i="14"/>
  <c r="AE298" i="14"/>
  <c r="AD298" i="14"/>
  <c r="AC298" i="14"/>
  <c r="X298" i="14"/>
  <c r="R298" i="14"/>
  <c r="V298" i="14" s="1"/>
  <c r="AV297" i="14"/>
  <c r="AU297" i="14"/>
  <c r="AR297" i="14"/>
  <c r="AI297" i="14"/>
  <c r="AH297" i="14"/>
  <c r="AG297" i="14"/>
  <c r="AF297" i="14"/>
  <c r="AE297" i="14"/>
  <c r="AD297" i="14"/>
  <c r="AC297" i="14"/>
  <c r="X297" i="14"/>
  <c r="V297" i="14" s="1"/>
  <c r="R297" i="14"/>
  <c r="AV296" i="14"/>
  <c r="AU296" i="14"/>
  <c r="AR296" i="14"/>
  <c r="AI296" i="14"/>
  <c r="AH296" i="14"/>
  <c r="AG296" i="14"/>
  <c r="AF296" i="14"/>
  <c r="AE296" i="14"/>
  <c r="AD296" i="14"/>
  <c r="AC296" i="14"/>
  <c r="X296" i="14"/>
  <c r="R296" i="14"/>
  <c r="T296" i="14" s="1"/>
  <c r="AV295" i="14"/>
  <c r="AU295" i="14"/>
  <c r="AR295" i="14"/>
  <c r="AI295" i="14"/>
  <c r="AH295" i="14"/>
  <c r="AG295" i="14"/>
  <c r="AF295" i="14"/>
  <c r="AE295" i="14"/>
  <c r="AD295" i="14"/>
  <c r="AC295" i="14"/>
  <c r="X295" i="14"/>
  <c r="V295" i="14"/>
  <c r="R295" i="14"/>
  <c r="AV294" i="14"/>
  <c r="AU294" i="14"/>
  <c r="AR294" i="14"/>
  <c r="AI294" i="14"/>
  <c r="AH294" i="14"/>
  <c r="AG294" i="14"/>
  <c r="AF294" i="14"/>
  <c r="AE294" i="14"/>
  <c r="AD294" i="14"/>
  <c r="AC294" i="14"/>
  <c r="X294" i="14"/>
  <c r="R294" i="14"/>
  <c r="V294" i="14" s="1"/>
  <c r="AV293" i="14"/>
  <c r="AU293" i="14"/>
  <c r="AR293" i="14"/>
  <c r="AI293" i="14"/>
  <c r="AH293" i="14"/>
  <c r="AG293" i="14"/>
  <c r="AF293" i="14"/>
  <c r="AE293" i="14"/>
  <c r="AD293" i="14"/>
  <c r="AC293" i="14"/>
  <c r="X293" i="14"/>
  <c r="R293" i="14"/>
  <c r="V293" i="14" s="1"/>
  <c r="AV292" i="14"/>
  <c r="AU292" i="14"/>
  <c r="AR292" i="14"/>
  <c r="AI292" i="14"/>
  <c r="AH292" i="14"/>
  <c r="AG292" i="14"/>
  <c r="AF292" i="14"/>
  <c r="AE292" i="14"/>
  <c r="AD292" i="14"/>
  <c r="AC292" i="14"/>
  <c r="X292" i="14"/>
  <c r="R292" i="14"/>
  <c r="V292" i="14" s="1"/>
  <c r="AV291" i="14"/>
  <c r="AU291" i="14"/>
  <c r="AR291" i="14"/>
  <c r="AI291" i="14"/>
  <c r="AH291" i="14"/>
  <c r="AG291" i="14"/>
  <c r="AF291" i="14"/>
  <c r="AE291" i="14"/>
  <c r="AD291" i="14"/>
  <c r="AC291" i="14"/>
  <c r="X291" i="14"/>
  <c r="R291" i="14"/>
  <c r="V291" i="14" s="1"/>
  <c r="AV290" i="14"/>
  <c r="AU290" i="14"/>
  <c r="AR290" i="14"/>
  <c r="AI290" i="14"/>
  <c r="AH290" i="14"/>
  <c r="AG290" i="14"/>
  <c r="AF290" i="14"/>
  <c r="AE290" i="14"/>
  <c r="AD290" i="14"/>
  <c r="AC290" i="14"/>
  <c r="X290" i="14"/>
  <c r="R290" i="14"/>
  <c r="V290" i="14" s="1"/>
  <c r="AV289" i="14"/>
  <c r="AU289" i="14"/>
  <c r="AR289" i="14"/>
  <c r="AI289" i="14"/>
  <c r="AH289" i="14"/>
  <c r="AG289" i="14"/>
  <c r="AF289" i="14"/>
  <c r="AE289" i="14"/>
  <c r="AD289" i="14"/>
  <c r="AC289" i="14"/>
  <c r="X289" i="14"/>
  <c r="R289" i="14"/>
  <c r="V289" i="14" s="1"/>
  <c r="AV288" i="14"/>
  <c r="AU288" i="14"/>
  <c r="AR288" i="14"/>
  <c r="AI288" i="14"/>
  <c r="AH288" i="14"/>
  <c r="AG288" i="14"/>
  <c r="AF288" i="14"/>
  <c r="AE288" i="14"/>
  <c r="AD288" i="14"/>
  <c r="AC288" i="14"/>
  <c r="X288" i="14"/>
  <c r="V288" i="14" s="1"/>
  <c r="R288" i="14"/>
  <c r="AV287" i="14"/>
  <c r="AU287" i="14"/>
  <c r="AR287" i="14"/>
  <c r="AI287" i="14"/>
  <c r="AH287" i="14"/>
  <c r="AG287" i="14"/>
  <c r="AF287" i="14"/>
  <c r="AE287" i="14"/>
  <c r="AD287" i="14"/>
  <c r="AC287" i="14"/>
  <c r="X287" i="14"/>
  <c r="R287" i="14"/>
  <c r="V287" i="14" s="1"/>
  <c r="AV286" i="14"/>
  <c r="AU286" i="14"/>
  <c r="AR286" i="14"/>
  <c r="AI286" i="14"/>
  <c r="AH286" i="14"/>
  <c r="AG286" i="14"/>
  <c r="AF286" i="14"/>
  <c r="AE286" i="14"/>
  <c r="AD286" i="14"/>
  <c r="AC286" i="14"/>
  <c r="X286" i="14"/>
  <c r="V286" i="14" s="1"/>
  <c r="R286" i="14"/>
  <c r="AV285" i="14"/>
  <c r="AU285" i="14"/>
  <c r="AR285" i="14"/>
  <c r="AI285" i="14"/>
  <c r="AH285" i="14"/>
  <c r="AG285" i="14"/>
  <c r="AF285" i="14"/>
  <c r="AE285" i="14"/>
  <c r="AD285" i="14"/>
  <c r="AC285" i="14"/>
  <c r="X285" i="14"/>
  <c r="R285" i="14"/>
  <c r="V285" i="14" s="1"/>
  <c r="AV284" i="14"/>
  <c r="AU284" i="14"/>
  <c r="AR284" i="14"/>
  <c r="AI284" i="14"/>
  <c r="AH284" i="14"/>
  <c r="AG284" i="14"/>
  <c r="AF284" i="14"/>
  <c r="AE284" i="14"/>
  <c r="AD284" i="14"/>
  <c r="AC284" i="14"/>
  <c r="X284" i="14"/>
  <c r="T284" i="14" s="1"/>
  <c r="V284" i="14"/>
  <c r="R284" i="14"/>
  <c r="AV283" i="14"/>
  <c r="AU283" i="14"/>
  <c r="AR283" i="14"/>
  <c r="AI283" i="14"/>
  <c r="AH283" i="14"/>
  <c r="AG283" i="14"/>
  <c r="AF283" i="14"/>
  <c r="AE283" i="14"/>
  <c r="AD283" i="14"/>
  <c r="AC283" i="14"/>
  <c r="X283" i="14"/>
  <c r="R283" i="14"/>
  <c r="V283" i="14" s="1"/>
  <c r="AV282" i="14"/>
  <c r="AU282" i="14"/>
  <c r="AR282" i="14"/>
  <c r="AI282" i="14"/>
  <c r="AH282" i="14"/>
  <c r="AG282" i="14"/>
  <c r="AF282" i="14"/>
  <c r="AE282" i="14"/>
  <c r="AD282" i="14"/>
  <c r="AC282" i="14"/>
  <c r="X282" i="14"/>
  <c r="V282" i="14"/>
  <c r="T282" i="14"/>
  <c r="R282" i="14"/>
  <c r="AV281" i="14"/>
  <c r="AU281" i="14"/>
  <c r="AR281" i="14"/>
  <c r="AI281" i="14"/>
  <c r="AH281" i="14"/>
  <c r="AG281" i="14"/>
  <c r="AF281" i="14"/>
  <c r="AE281" i="14"/>
  <c r="AD281" i="14"/>
  <c r="AC281" i="14"/>
  <c r="X281" i="14"/>
  <c r="T281" i="14" s="1"/>
  <c r="R281" i="14"/>
  <c r="AV280" i="14"/>
  <c r="AU280" i="14"/>
  <c r="AR280" i="14"/>
  <c r="AI280" i="14"/>
  <c r="AH280" i="14"/>
  <c r="AG280" i="14"/>
  <c r="AF280" i="14"/>
  <c r="AE280" i="14"/>
  <c r="AD280" i="14"/>
  <c r="AC280" i="14"/>
  <c r="X280" i="14"/>
  <c r="R280" i="14"/>
  <c r="V280" i="14" s="1"/>
  <c r="AV279" i="14"/>
  <c r="AU279" i="14"/>
  <c r="AR279" i="14"/>
  <c r="AI279" i="14"/>
  <c r="AH279" i="14"/>
  <c r="AG279" i="14"/>
  <c r="AF279" i="14"/>
  <c r="AE279" i="14"/>
  <c r="AD279" i="14"/>
  <c r="AC279" i="14"/>
  <c r="X279" i="14"/>
  <c r="T279" i="14" s="1"/>
  <c r="V279" i="14"/>
  <c r="R279" i="14"/>
  <c r="AV278" i="14"/>
  <c r="AU278" i="14"/>
  <c r="AR278" i="14"/>
  <c r="AI278" i="14"/>
  <c r="AH278" i="14"/>
  <c r="AG278" i="14"/>
  <c r="AF278" i="14"/>
  <c r="AE278" i="14"/>
  <c r="AD278" i="14"/>
  <c r="AC278" i="14"/>
  <c r="X278" i="14"/>
  <c r="V278" i="14" s="1"/>
  <c r="R278" i="14"/>
  <c r="AV277" i="14"/>
  <c r="AU277" i="14"/>
  <c r="AR277" i="14"/>
  <c r="AI277" i="14"/>
  <c r="AH277" i="14"/>
  <c r="AG277" i="14"/>
  <c r="AF277" i="14"/>
  <c r="AE277" i="14"/>
  <c r="AD277" i="14"/>
  <c r="AC277" i="14"/>
  <c r="X277" i="14"/>
  <c r="T277" i="14" s="1"/>
  <c r="R277" i="14"/>
  <c r="AV276" i="14"/>
  <c r="AU276" i="14"/>
  <c r="AR276" i="14"/>
  <c r="AI276" i="14"/>
  <c r="AH276" i="14"/>
  <c r="AG276" i="14"/>
  <c r="AF276" i="14"/>
  <c r="AE276" i="14"/>
  <c r="AD276" i="14"/>
  <c r="AC276" i="14"/>
  <c r="X276" i="14"/>
  <c r="T276" i="14" s="1"/>
  <c r="V276" i="14"/>
  <c r="R276" i="14"/>
  <c r="AV275" i="14"/>
  <c r="AU275" i="14"/>
  <c r="AR275" i="14"/>
  <c r="AI275" i="14"/>
  <c r="AH275" i="14"/>
  <c r="AG275" i="14"/>
  <c r="AF275" i="14"/>
  <c r="AE275" i="14"/>
  <c r="AD275" i="14"/>
  <c r="AC275" i="14"/>
  <c r="X275" i="14"/>
  <c r="T275" i="14" s="1"/>
  <c r="V275" i="14"/>
  <c r="R275" i="14"/>
  <c r="AV274" i="14"/>
  <c r="AU274" i="14"/>
  <c r="AR274" i="14"/>
  <c r="AI274" i="14"/>
  <c r="AH274" i="14"/>
  <c r="AG274" i="14"/>
  <c r="AF274" i="14"/>
  <c r="AE274" i="14"/>
  <c r="AD274" i="14"/>
  <c r="AC274" i="14"/>
  <c r="X274" i="14"/>
  <c r="V274" i="14"/>
  <c r="T274" i="14"/>
  <c r="R274" i="14"/>
  <c r="AV273" i="14"/>
  <c r="AU273" i="14"/>
  <c r="AR273" i="14"/>
  <c r="AI273" i="14"/>
  <c r="AH273" i="14"/>
  <c r="AG273" i="14"/>
  <c r="AF273" i="14"/>
  <c r="AE273" i="14"/>
  <c r="AD273" i="14"/>
  <c r="AC273" i="14"/>
  <c r="X273" i="14"/>
  <c r="R273" i="14"/>
  <c r="V273" i="14" s="1"/>
  <c r="AV272" i="14"/>
  <c r="AU272" i="14"/>
  <c r="AR272" i="14"/>
  <c r="AI272" i="14"/>
  <c r="AH272" i="14"/>
  <c r="AG272" i="14"/>
  <c r="AF272" i="14"/>
  <c r="AE272" i="14"/>
  <c r="AD272" i="14"/>
  <c r="AC272" i="14"/>
  <c r="X272" i="14"/>
  <c r="R272" i="14"/>
  <c r="V272" i="14" s="1"/>
  <c r="AV271" i="14"/>
  <c r="AU271" i="14"/>
  <c r="AR271" i="14"/>
  <c r="AI271" i="14"/>
  <c r="AH271" i="14"/>
  <c r="AG271" i="14"/>
  <c r="AF271" i="14"/>
  <c r="AE271" i="14"/>
  <c r="AD271" i="14"/>
  <c r="AC271" i="14"/>
  <c r="X271" i="14"/>
  <c r="R271" i="14"/>
  <c r="V271" i="14" s="1"/>
  <c r="AV270" i="14"/>
  <c r="AU270" i="14"/>
  <c r="AR270" i="14"/>
  <c r="AI270" i="14"/>
  <c r="AH270" i="14"/>
  <c r="AG270" i="14"/>
  <c r="AF270" i="14"/>
  <c r="AE270" i="14"/>
  <c r="AD270" i="14"/>
  <c r="AC270" i="14"/>
  <c r="X270" i="14"/>
  <c r="V270" i="14" s="1"/>
  <c r="R270" i="14"/>
  <c r="T270" i="14" s="1"/>
  <c r="AV269" i="14"/>
  <c r="AU269" i="14"/>
  <c r="AR269" i="14"/>
  <c r="AI269" i="14"/>
  <c r="AH269" i="14"/>
  <c r="AG269" i="14"/>
  <c r="AF269" i="14"/>
  <c r="AE269" i="14"/>
  <c r="AD269" i="14"/>
  <c r="AC269" i="14"/>
  <c r="X269" i="14"/>
  <c r="R269" i="14"/>
  <c r="V269" i="14" s="1"/>
  <c r="AV268" i="14"/>
  <c r="AU268" i="14"/>
  <c r="AR268" i="14"/>
  <c r="AI268" i="14"/>
  <c r="AH268" i="14"/>
  <c r="AG268" i="14"/>
  <c r="AF268" i="14"/>
  <c r="AE268" i="14"/>
  <c r="AD268" i="14"/>
  <c r="AC268" i="14"/>
  <c r="X268" i="14"/>
  <c r="R268" i="14"/>
  <c r="V268" i="14" s="1"/>
  <c r="AV267" i="14"/>
  <c r="AU267" i="14"/>
  <c r="AR267" i="14"/>
  <c r="AI267" i="14"/>
  <c r="AH267" i="14"/>
  <c r="AG267" i="14"/>
  <c r="AF267" i="14"/>
  <c r="AE267" i="14"/>
  <c r="AD267" i="14"/>
  <c r="AC267" i="14"/>
  <c r="X267" i="14"/>
  <c r="R267" i="14"/>
  <c r="V267" i="14" s="1"/>
  <c r="AV266" i="14"/>
  <c r="AU266" i="14"/>
  <c r="AR266" i="14"/>
  <c r="AI266" i="14"/>
  <c r="AH266" i="14"/>
  <c r="AG266" i="14"/>
  <c r="AF266" i="14"/>
  <c r="AE266" i="14"/>
  <c r="AD266" i="14"/>
  <c r="AC266" i="14"/>
  <c r="X266" i="14"/>
  <c r="T266" i="14"/>
  <c r="R266" i="14"/>
  <c r="V266" i="14" s="1"/>
  <c r="AV265" i="14"/>
  <c r="AU265" i="14"/>
  <c r="AR265" i="14"/>
  <c r="AI265" i="14"/>
  <c r="AH265" i="14"/>
  <c r="AG265" i="14"/>
  <c r="AF265" i="14"/>
  <c r="AE265" i="14"/>
  <c r="AD265" i="14"/>
  <c r="AC265" i="14"/>
  <c r="X265" i="14"/>
  <c r="R265" i="14"/>
  <c r="V265" i="14" s="1"/>
  <c r="AV264" i="14"/>
  <c r="AU264" i="14"/>
  <c r="AR264" i="14"/>
  <c r="AI264" i="14"/>
  <c r="AH264" i="14"/>
  <c r="AG264" i="14"/>
  <c r="AF264" i="14"/>
  <c r="AE264" i="14"/>
  <c r="AD264" i="14"/>
  <c r="AC264" i="14"/>
  <c r="X264" i="14"/>
  <c r="R264" i="14"/>
  <c r="V264" i="14" s="1"/>
  <c r="AV263" i="14"/>
  <c r="AU263" i="14"/>
  <c r="AR263" i="14"/>
  <c r="AI263" i="14"/>
  <c r="AH263" i="14"/>
  <c r="AG263" i="14"/>
  <c r="AF263" i="14"/>
  <c r="AE263" i="14"/>
  <c r="AD263" i="14"/>
  <c r="AC263" i="14"/>
  <c r="X263" i="14"/>
  <c r="R263" i="14"/>
  <c r="V263" i="14" s="1"/>
  <c r="AV262" i="14"/>
  <c r="AU262" i="14"/>
  <c r="AR262" i="14"/>
  <c r="AI262" i="14"/>
  <c r="AH262" i="14"/>
  <c r="AG262" i="14"/>
  <c r="AF262" i="14"/>
  <c r="AE262" i="14"/>
  <c r="AD262" i="14"/>
  <c r="AC262" i="14"/>
  <c r="X262" i="14"/>
  <c r="R262" i="14"/>
  <c r="T262" i="14" s="1"/>
  <c r="AV261" i="14"/>
  <c r="AU261" i="14"/>
  <c r="AR261" i="14"/>
  <c r="AI261" i="14"/>
  <c r="AH261" i="14"/>
  <c r="AG261" i="14"/>
  <c r="AF261" i="14"/>
  <c r="AE261" i="14"/>
  <c r="AD261" i="14"/>
  <c r="AC261" i="14"/>
  <c r="X261" i="14"/>
  <c r="R261" i="14"/>
  <c r="V261" i="14" s="1"/>
  <c r="AV260" i="14"/>
  <c r="AU260" i="14"/>
  <c r="AR260" i="14"/>
  <c r="AI260" i="14"/>
  <c r="AH260" i="14"/>
  <c r="AG260" i="14"/>
  <c r="AF260" i="14"/>
  <c r="AE260" i="14"/>
  <c r="AD260" i="14"/>
  <c r="AC260" i="14"/>
  <c r="X260" i="14"/>
  <c r="R260" i="14"/>
  <c r="V260" i="14" s="1"/>
  <c r="AV259" i="14"/>
  <c r="AU259" i="14"/>
  <c r="AR259" i="14"/>
  <c r="AI259" i="14"/>
  <c r="AH259" i="14"/>
  <c r="AG259" i="14"/>
  <c r="AF259" i="14"/>
  <c r="AE259" i="14"/>
  <c r="AD259" i="14"/>
  <c r="AC259" i="14"/>
  <c r="X259" i="14"/>
  <c r="T259" i="14" s="1"/>
  <c r="R259" i="14"/>
  <c r="AV258" i="14"/>
  <c r="AU258" i="14"/>
  <c r="AR258" i="14"/>
  <c r="AI258" i="14"/>
  <c r="AH258" i="14"/>
  <c r="AG258" i="14"/>
  <c r="AF258" i="14"/>
  <c r="AE258" i="14"/>
  <c r="AD258" i="14"/>
  <c r="AC258" i="14"/>
  <c r="X258" i="14"/>
  <c r="R258" i="14"/>
  <c r="V258" i="14" s="1"/>
  <c r="AV257" i="14"/>
  <c r="AU257" i="14"/>
  <c r="AR257" i="14"/>
  <c r="AI257" i="14"/>
  <c r="AH257" i="14"/>
  <c r="AG257" i="14"/>
  <c r="AF257" i="14"/>
  <c r="AE257" i="14"/>
  <c r="AD257" i="14"/>
  <c r="AC257" i="14"/>
  <c r="X257" i="14"/>
  <c r="T257" i="14" s="1"/>
  <c r="R257" i="14"/>
  <c r="AV256" i="14"/>
  <c r="AU256" i="14"/>
  <c r="AR256" i="14"/>
  <c r="AI256" i="14"/>
  <c r="AH256" i="14"/>
  <c r="AG256" i="14"/>
  <c r="AF256" i="14"/>
  <c r="AE256" i="14"/>
  <c r="AD256" i="14"/>
  <c r="AC256" i="14"/>
  <c r="X256" i="14"/>
  <c r="R256" i="14"/>
  <c r="V256" i="14" s="1"/>
  <c r="AV255" i="14"/>
  <c r="AU255" i="14"/>
  <c r="AR255" i="14"/>
  <c r="AI255" i="14"/>
  <c r="AH255" i="14"/>
  <c r="AG255" i="14"/>
  <c r="AF255" i="14"/>
  <c r="AE255" i="14"/>
  <c r="AD255" i="14"/>
  <c r="AC255" i="14"/>
  <c r="X255" i="14"/>
  <c r="T255" i="14" s="1"/>
  <c r="V255" i="14"/>
  <c r="R255" i="14"/>
  <c r="AV254" i="14"/>
  <c r="AU254" i="14"/>
  <c r="AR254" i="14"/>
  <c r="AI254" i="14"/>
  <c r="AH254" i="14"/>
  <c r="AG254" i="14"/>
  <c r="AF254" i="14"/>
  <c r="AE254" i="14"/>
  <c r="AD254" i="14"/>
  <c r="AC254" i="14"/>
  <c r="X254" i="14"/>
  <c r="V254" i="14" s="1"/>
  <c r="R254" i="14"/>
  <c r="AV253" i="14"/>
  <c r="AU253" i="14"/>
  <c r="AR253" i="14"/>
  <c r="AI253" i="14"/>
  <c r="AH253" i="14"/>
  <c r="AG253" i="14"/>
  <c r="AF253" i="14"/>
  <c r="AE253" i="14"/>
  <c r="AD253" i="14"/>
  <c r="AC253" i="14"/>
  <c r="X253" i="14"/>
  <c r="R253" i="14"/>
  <c r="V253" i="14" s="1"/>
  <c r="AV252" i="14"/>
  <c r="AU252" i="14"/>
  <c r="AR252" i="14"/>
  <c r="AI252" i="14"/>
  <c r="AH252" i="14"/>
  <c r="AG252" i="14"/>
  <c r="AF252" i="14"/>
  <c r="AE252" i="14"/>
  <c r="AD252" i="14"/>
  <c r="AC252" i="14"/>
  <c r="X252" i="14"/>
  <c r="T252" i="14" s="1"/>
  <c r="V252" i="14"/>
  <c r="R252" i="14"/>
  <c r="AV251" i="14"/>
  <c r="AU251" i="14"/>
  <c r="AR251" i="14"/>
  <c r="AI251" i="14"/>
  <c r="AH251" i="14"/>
  <c r="AG251" i="14"/>
  <c r="AF251" i="14"/>
  <c r="AE251" i="14"/>
  <c r="AD251" i="14"/>
  <c r="AC251" i="14"/>
  <c r="X251" i="14"/>
  <c r="R251" i="14"/>
  <c r="V251" i="14" s="1"/>
  <c r="AV250" i="14"/>
  <c r="AU250" i="14"/>
  <c r="AR250" i="14"/>
  <c r="AI250" i="14"/>
  <c r="AH250" i="14"/>
  <c r="AG250" i="14"/>
  <c r="AF250" i="14"/>
  <c r="AE250" i="14"/>
  <c r="AD250" i="14"/>
  <c r="AC250" i="14"/>
  <c r="X250" i="14"/>
  <c r="V250" i="14" s="1"/>
  <c r="R250" i="14"/>
  <c r="AV249" i="14"/>
  <c r="AU249" i="14"/>
  <c r="AR249" i="14"/>
  <c r="AI249" i="14"/>
  <c r="AH249" i="14"/>
  <c r="AG249" i="14"/>
  <c r="AF249" i="14"/>
  <c r="AE249" i="14"/>
  <c r="AD249" i="14"/>
  <c r="AC249" i="14"/>
  <c r="X249" i="14"/>
  <c r="T249" i="14" s="1"/>
  <c r="R249" i="14"/>
  <c r="AV248" i="14"/>
  <c r="AU248" i="14"/>
  <c r="AR248" i="14"/>
  <c r="AI248" i="14"/>
  <c r="AH248" i="14"/>
  <c r="AG248" i="14"/>
  <c r="AF248" i="14"/>
  <c r="AE248" i="14"/>
  <c r="AD248" i="14"/>
  <c r="AC248" i="14"/>
  <c r="X248" i="14"/>
  <c r="T248" i="14" s="1"/>
  <c r="V248" i="14"/>
  <c r="R248" i="14"/>
  <c r="AV247" i="14"/>
  <c r="AU247" i="14"/>
  <c r="AR247" i="14"/>
  <c r="AI247" i="14"/>
  <c r="AH247" i="14"/>
  <c r="AG247" i="14"/>
  <c r="AF247" i="14"/>
  <c r="AE247" i="14"/>
  <c r="AD247" i="14"/>
  <c r="AC247" i="14"/>
  <c r="X247" i="14"/>
  <c r="T247" i="14" s="1"/>
  <c r="V247" i="14"/>
  <c r="R247" i="14"/>
  <c r="AV246" i="14"/>
  <c r="AU246" i="14"/>
  <c r="AR246" i="14"/>
  <c r="AI246" i="14"/>
  <c r="AH246" i="14"/>
  <c r="AG246" i="14"/>
  <c r="AF246" i="14"/>
  <c r="AE246" i="14"/>
  <c r="AD246" i="14"/>
  <c r="AC246" i="14"/>
  <c r="X246" i="14"/>
  <c r="V246" i="14"/>
  <c r="T246" i="14"/>
  <c r="R246" i="14"/>
  <c r="AV245" i="14"/>
  <c r="AU245" i="14"/>
  <c r="AR245" i="14"/>
  <c r="AI245" i="14"/>
  <c r="AH245" i="14"/>
  <c r="AG245" i="14"/>
  <c r="AF245" i="14"/>
  <c r="AE245" i="14"/>
  <c r="AD245" i="14"/>
  <c r="AC245" i="14"/>
  <c r="X245" i="14"/>
  <c r="R245" i="14"/>
  <c r="V245" i="14" s="1"/>
  <c r="AV244" i="14"/>
  <c r="AU244" i="14"/>
  <c r="AR244" i="14"/>
  <c r="AI244" i="14"/>
  <c r="AH244" i="14"/>
  <c r="AG244" i="14"/>
  <c r="AF244" i="14"/>
  <c r="AE244" i="14"/>
  <c r="AD244" i="14"/>
  <c r="AC244" i="14"/>
  <c r="X244" i="14"/>
  <c r="R244" i="14"/>
  <c r="V244" i="14" s="1"/>
  <c r="AV243" i="14"/>
  <c r="AU243" i="14"/>
  <c r="AR243" i="14"/>
  <c r="AI243" i="14"/>
  <c r="AH243" i="14"/>
  <c r="AG243" i="14"/>
  <c r="AF243" i="14"/>
  <c r="AE243" i="14"/>
  <c r="AD243" i="14"/>
  <c r="AC243" i="14"/>
  <c r="X243" i="14"/>
  <c r="R243" i="14"/>
  <c r="V243" i="14" s="1"/>
  <c r="AV242" i="14"/>
  <c r="AU242" i="14"/>
  <c r="AR242" i="14"/>
  <c r="AI242" i="14"/>
  <c r="AH242" i="14"/>
  <c r="AG242" i="14"/>
  <c r="AF242" i="14"/>
  <c r="AE242" i="14"/>
  <c r="AD242" i="14"/>
  <c r="AC242" i="14"/>
  <c r="X242" i="14"/>
  <c r="R242" i="14"/>
  <c r="V242" i="14" s="1"/>
  <c r="AV241" i="14"/>
  <c r="AU241" i="14"/>
  <c r="AR241" i="14"/>
  <c r="AI241" i="14"/>
  <c r="AH241" i="14"/>
  <c r="AG241" i="14"/>
  <c r="AF241" i="14"/>
  <c r="AE241" i="14"/>
  <c r="AD241" i="14"/>
  <c r="AC241" i="14"/>
  <c r="X241" i="14"/>
  <c r="R241" i="14"/>
  <c r="V241" i="14" s="1"/>
  <c r="AV240" i="14"/>
  <c r="AU240" i="14"/>
  <c r="AR240" i="14"/>
  <c r="AI240" i="14"/>
  <c r="AH240" i="14"/>
  <c r="AG240" i="14"/>
  <c r="AF240" i="14"/>
  <c r="AE240" i="14"/>
  <c r="AD240" i="14"/>
  <c r="AC240" i="14"/>
  <c r="X240" i="14"/>
  <c r="R240" i="14"/>
  <c r="T240" i="14" s="1"/>
  <c r="AV239" i="14"/>
  <c r="AU239" i="14"/>
  <c r="AR239" i="14"/>
  <c r="AI239" i="14"/>
  <c r="AH239" i="14"/>
  <c r="AG239" i="14"/>
  <c r="AF239" i="14"/>
  <c r="AE239" i="14"/>
  <c r="AD239" i="14"/>
  <c r="AC239" i="14"/>
  <c r="X239" i="14"/>
  <c r="R239" i="14"/>
  <c r="V239" i="14" s="1"/>
  <c r="AV238" i="14"/>
  <c r="AU238" i="14"/>
  <c r="AR238" i="14"/>
  <c r="AI238" i="14"/>
  <c r="AH238" i="14"/>
  <c r="AG238" i="14"/>
  <c r="AF238" i="14"/>
  <c r="AE238" i="14"/>
  <c r="AD238" i="14"/>
  <c r="AC238" i="14"/>
  <c r="X238" i="14"/>
  <c r="R238" i="14"/>
  <c r="T238" i="14" s="1"/>
  <c r="AV237" i="14"/>
  <c r="AU237" i="14"/>
  <c r="AR237" i="14"/>
  <c r="AI237" i="14"/>
  <c r="AH237" i="14"/>
  <c r="AG237" i="14"/>
  <c r="AF237" i="14"/>
  <c r="AE237" i="14"/>
  <c r="AD237" i="14"/>
  <c r="AC237" i="14"/>
  <c r="X237" i="14"/>
  <c r="R237" i="14"/>
  <c r="V237" i="14" s="1"/>
  <c r="AV236" i="14"/>
  <c r="AU236" i="14"/>
  <c r="AR236" i="14"/>
  <c r="AI236" i="14"/>
  <c r="AH236" i="14"/>
  <c r="AG236" i="14"/>
  <c r="AF236" i="14"/>
  <c r="AE236" i="14"/>
  <c r="AD236" i="14"/>
  <c r="AC236" i="14"/>
  <c r="X236" i="14"/>
  <c r="R236" i="14"/>
  <c r="V236" i="14" s="1"/>
  <c r="AV235" i="14"/>
  <c r="AU235" i="14"/>
  <c r="AR235" i="14"/>
  <c r="AI235" i="14"/>
  <c r="AH235" i="14"/>
  <c r="AG235" i="14"/>
  <c r="AF235" i="14"/>
  <c r="AE235" i="14"/>
  <c r="AD235" i="14"/>
  <c r="AC235" i="14"/>
  <c r="X235" i="14"/>
  <c r="R235" i="14"/>
  <c r="V235" i="14" s="1"/>
  <c r="AV234" i="14"/>
  <c r="AU234" i="14"/>
  <c r="AR234" i="14"/>
  <c r="AI234" i="14"/>
  <c r="AH234" i="14"/>
  <c r="AG234" i="14"/>
  <c r="AF234" i="14"/>
  <c r="AE234" i="14"/>
  <c r="AD234" i="14"/>
  <c r="AC234" i="14"/>
  <c r="X234" i="14"/>
  <c r="R234" i="14"/>
  <c r="V234" i="14" s="1"/>
  <c r="AV233" i="14"/>
  <c r="AU233" i="14"/>
  <c r="AR233" i="14"/>
  <c r="AI233" i="14"/>
  <c r="AH233" i="14"/>
  <c r="AG233" i="14"/>
  <c r="AF233" i="14"/>
  <c r="AE233" i="14"/>
  <c r="AD233" i="14"/>
  <c r="AC233" i="14"/>
  <c r="X233" i="14"/>
  <c r="R233" i="14"/>
  <c r="V233" i="14" s="1"/>
  <c r="AV232" i="14"/>
  <c r="AU232" i="14"/>
  <c r="AR232" i="14"/>
  <c r="AI232" i="14"/>
  <c r="AH232" i="14"/>
  <c r="AG232" i="14"/>
  <c r="AF232" i="14"/>
  <c r="AE232" i="14"/>
  <c r="AD232" i="14"/>
  <c r="AC232" i="14"/>
  <c r="X232" i="14"/>
  <c r="V232" i="14" s="1"/>
  <c r="R232" i="14"/>
  <c r="AV231" i="14"/>
  <c r="AU231" i="14"/>
  <c r="AR231" i="14"/>
  <c r="AI231" i="14"/>
  <c r="AH231" i="14"/>
  <c r="AG231" i="14"/>
  <c r="AF231" i="14"/>
  <c r="AE231" i="14"/>
  <c r="AD231" i="14"/>
  <c r="AC231" i="14"/>
  <c r="X231" i="14"/>
  <c r="R231" i="14"/>
  <c r="V231" i="14" s="1"/>
  <c r="AV230" i="14"/>
  <c r="AU230" i="14"/>
  <c r="AR230" i="14"/>
  <c r="AI230" i="14"/>
  <c r="AH230" i="14"/>
  <c r="AG230" i="14"/>
  <c r="AF230" i="14"/>
  <c r="AE230" i="14"/>
  <c r="AD230" i="14"/>
  <c r="AC230" i="14"/>
  <c r="X230" i="14"/>
  <c r="V230" i="14" s="1"/>
  <c r="R230" i="14"/>
  <c r="AV229" i="14"/>
  <c r="AU229" i="14"/>
  <c r="AR229" i="14"/>
  <c r="AI229" i="14"/>
  <c r="AH229" i="14"/>
  <c r="AG229" i="14"/>
  <c r="AF229" i="14"/>
  <c r="AE229" i="14"/>
  <c r="AD229" i="14"/>
  <c r="AC229" i="14"/>
  <c r="X229" i="14"/>
  <c r="R229" i="14"/>
  <c r="V229" i="14" s="1"/>
  <c r="AV228" i="14"/>
  <c r="AU228" i="14"/>
  <c r="AR228" i="14"/>
  <c r="AI228" i="14"/>
  <c r="AH228" i="14"/>
  <c r="AG228" i="14"/>
  <c r="AF228" i="14"/>
  <c r="AE228" i="14"/>
  <c r="AD228" i="14"/>
  <c r="AC228" i="14"/>
  <c r="X228" i="14"/>
  <c r="T228" i="14" s="1"/>
  <c r="V228" i="14"/>
  <c r="R228" i="14"/>
  <c r="AV227" i="14"/>
  <c r="AU227" i="14"/>
  <c r="AR227" i="14"/>
  <c r="AI227" i="14"/>
  <c r="AH227" i="14"/>
  <c r="AG227" i="14"/>
  <c r="AF227" i="14"/>
  <c r="AE227" i="14"/>
  <c r="AD227" i="14"/>
  <c r="AC227" i="14"/>
  <c r="X227" i="14"/>
  <c r="R227" i="14"/>
  <c r="V227" i="14" s="1"/>
  <c r="AV226" i="14"/>
  <c r="AU226" i="14"/>
  <c r="AR226" i="14"/>
  <c r="AI226" i="14"/>
  <c r="AH226" i="14"/>
  <c r="AG226" i="14"/>
  <c r="AF226" i="14"/>
  <c r="AE226" i="14"/>
  <c r="AD226" i="14"/>
  <c r="AC226" i="14"/>
  <c r="X226" i="14"/>
  <c r="V226" i="14"/>
  <c r="T226" i="14"/>
  <c r="R226" i="14"/>
  <c r="AV225" i="14"/>
  <c r="AU225" i="14"/>
  <c r="AR225" i="14"/>
  <c r="AI225" i="14"/>
  <c r="AH225" i="14"/>
  <c r="AG225" i="14"/>
  <c r="AF225" i="14"/>
  <c r="AE225" i="14"/>
  <c r="AD225" i="14"/>
  <c r="AC225" i="14"/>
  <c r="X225" i="14"/>
  <c r="T225" i="14" s="1"/>
  <c r="R225" i="14"/>
  <c r="AV224" i="14"/>
  <c r="AU224" i="14"/>
  <c r="AR224" i="14"/>
  <c r="AI224" i="14"/>
  <c r="AH224" i="14"/>
  <c r="AG224" i="14"/>
  <c r="AF224" i="14"/>
  <c r="AE224" i="14"/>
  <c r="AD224" i="14"/>
  <c r="AC224" i="14"/>
  <c r="X224" i="14"/>
  <c r="R224" i="14"/>
  <c r="V224" i="14" s="1"/>
  <c r="AV223" i="14"/>
  <c r="AU223" i="14"/>
  <c r="AR223" i="14"/>
  <c r="AI223" i="14"/>
  <c r="AH223" i="14"/>
  <c r="AG223" i="14"/>
  <c r="AF223" i="14"/>
  <c r="AE223" i="14"/>
  <c r="AD223" i="14"/>
  <c r="AC223" i="14"/>
  <c r="X223" i="14"/>
  <c r="T223" i="14" s="1"/>
  <c r="V223" i="14"/>
  <c r="R223" i="14"/>
  <c r="AV222" i="14"/>
  <c r="AU222" i="14"/>
  <c r="AR222" i="14"/>
  <c r="AI222" i="14"/>
  <c r="AH222" i="14"/>
  <c r="AG222" i="14"/>
  <c r="AF222" i="14"/>
  <c r="AE222" i="14"/>
  <c r="AD222" i="14"/>
  <c r="AC222" i="14"/>
  <c r="X222" i="14"/>
  <c r="V222" i="14" s="1"/>
  <c r="R222" i="14"/>
  <c r="AV221" i="14"/>
  <c r="AU221" i="14"/>
  <c r="AR221" i="14"/>
  <c r="AI221" i="14"/>
  <c r="AH221" i="14"/>
  <c r="AG221" i="14"/>
  <c r="AF221" i="14"/>
  <c r="AE221" i="14"/>
  <c r="AD221" i="14"/>
  <c r="AC221" i="14"/>
  <c r="X221" i="14"/>
  <c r="T221" i="14" s="1"/>
  <c r="R221" i="14"/>
  <c r="AV220" i="14"/>
  <c r="AU220" i="14"/>
  <c r="AR220" i="14"/>
  <c r="AI220" i="14"/>
  <c r="AH220" i="14"/>
  <c r="AG220" i="14"/>
  <c r="AF220" i="14"/>
  <c r="AE220" i="14"/>
  <c r="AD220" i="14"/>
  <c r="AC220" i="14"/>
  <c r="X220" i="14"/>
  <c r="T220" i="14" s="1"/>
  <c r="V220" i="14"/>
  <c r="R220" i="14"/>
  <c r="AV219" i="14"/>
  <c r="AU219" i="14"/>
  <c r="AR219" i="14"/>
  <c r="AI219" i="14"/>
  <c r="AH219" i="14"/>
  <c r="AG219" i="14"/>
  <c r="AF219" i="14"/>
  <c r="AE219" i="14"/>
  <c r="AD219" i="14"/>
  <c r="AC219" i="14"/>
  <c r="X219" i="14"/>
  <c r="T219" i="14" s="1"/>
  <c r="V219" i="14"/>
  <c r="R219" i="14"/>
  <c r="AV218" i="14"/>
  <c r="AU218" i="14"/>
  <c r="AR218" i="14"/>
  <c r="AI218" i="14"/>
  <c r="AH218" i="14"/>
  <c r="AG218" i="14"/>
  <c r="AF218" i="14"/>
  <c r="AE218" i="14"/>
  <c r="AD218" i="14"/>
  <c r="AC218" i="14"/>
  <c r="X218" i="14"/>
  <c r="V218" i="14"/>
  <c r="T218" i="14"/>
  <c r="R218" i="14"/>
  <c r="AV217" i="14"/>
  <c r="AU217" i="14"/>
  <c r="AR217" i="14"/>
  <c r="AI217" i="14"/>
  <c r="AH217" i="14"/>
  <c r="AG217" i="14"/>
  <c r="AF217" i="14"/>
  <c r="AE217" i="14"/>
  <c r="AD217" i="14"/>
  <c r="AC217" i="14"/>
  <c r="X217" i="14"/>
  <c r="R217" i="14"/>
  <c r="V217" i="14" s="1"/>
  <c r="AV216" i="14"/>
  <c r="AU216" i="14"/>
  <c r="AR216" i="14"/>
  <c r="AI216" i="14"/>
  <c r="AH216" i="14"/>
  <c r="AG216" i="14"/>
  <c r="AF216" i="14"/>
  <c r="AE216" i="14"/>
  <c r="AD216" i="14"/>
  <c r="AC216" i="14"/>
  <c r="X216" i="14"/>
  <c r="R216" i="14"/>
  <c r="T216" i="14" s="1"/>
  <c r="AV215" i="14"/>
  <c r="AU215" i="14"/>
  <c r="AR215" i="14"/>
  <c r="AI215" i="14"/>
  <c r="AH215" i="14"/>
  <c r="AG215" i="14"/>
  <c r="AF215" i="14"/>
  <c r="AE215" i="14"/>
  <c r="AD215" i="14"/>
  <c r="AC215" i="14"/>
  <c r="X215" i="14"/>
  <c r="R215" i="14"/>
  <c r="V215" i="14" s="1"/>
  <c r="AV214" i="14"/>
  <c r="AU214" i="14"/>
  <c r="AR214" i="14"/>
  <c r="AI214" i="14"/>
  <c r="AH214" i="14"/>
  <c r="AG214" i="14"/>
  <c r="AF214" i="14"/>
  <c r="AE214" i="14"/>
  <c r="AD214" i="14"/>
  <c r="AC214" i="14"/>
  <c r="X214" i="14"/>
  <c r="R214" i="14"/>
  <c r="T214" i="14" s="1"/>
  <c r="AV213" i="14"/>
  <c r="AU213" i="14"/>
  <c r="AR213" i="14"/>
  <c r="AI213" i="14"/>
  <c r="AH213" i="14"/>
  <c r="AG213" i="14"/>
  <c r="AF213" i="14"/>
  <c r="AE213" i="14"/>
  <c r="AD213" i="14"/>
  <c r="AC213" i="14"/>
  <c r="X213" i="14"/>
  <c r="R213" i="14"/>
  <c r="V213" i="14" s="1"/>
  <c r="AV212" i="14"/>
  <c r="AU212" i="14"/>
  <c r="AR212" i="14"/>
  <c r="AI212" i="14"/>
  <c r="AH212" i="14"/>
  <c r="AG212" i="14"/>
  <c r="AF212" i="14"/>
  <c r="AE212" i="14"/>
  <c r="AD212" i="14"/>
  <c r="AC212" i="14"/>
  <c r="X212" i="14"/>
  <c r="R212" i="14"/>
  <c r="V212" i="14" s="1"/>
  <c r="AV211" i="14"/>
  <c r="AU211" i="14"/>
  <c r="AR211" i="14"/>
  <c r="AI211" i="14"/>
  <c r="AH211" i="14"/>
  <c r="AG211" i="14"/>
  <c r="AF211" i="14"/>
  <c r="AE211" i="14"/>
  <c r="AD211" i="14"/>
  <c r="AC211" i="14"/>
  <c r="X211" i="14"/>
  <c r="R211" i="14"/>
  <c r="V211" i="14" s="1"/>
  <c r="AV210" i="14"/>
  <c r="AU210" i="14"/>
  <c r="AR210" i="14"/>
  <c r="AI210" i="14"/>
  <c r="AH210" i="14"/>
  <c r="AG210" i="14"/>
  <c r="AF210" i="14"/>
  <c r="AE210" i="14"/>
  <c r="AD210" i="14"/>
  <c r="AC210" i="14"/>
  <c r="X210" i="14"/>
  <c r="T210" i="14"/>
  <c r="R210" i="14"/>
  <c r="V210" i="14" s="1"/>
  <c r="AV209" i="14"/>
  <c r="AU209" i="14"/>
  <c r="AR209" i="14"/>
  <c r="AI209" i="14"/>
  <c r="AH209" i="14"/>
  <c r="AG209" i="14"/>
  <c r="AF209" i="14"/>
  <c r="AE209" i="14"/>
  <c r="AD209" i="14"/>
  <c r="AC209" i="14"/>
  <c r="X209" i="14"/>
  <c r="R209" i="14"/>
  <c r="V209" i="14" s="1"/>
  <c r="AV208" i="14"/>
  <c r="AU208" i="14"/>
  <c r="AR208" i="14"/>
  <c r="AI208" i="14"/>
  <c r="AH208" i="14"/>
  <c r="AG208" i="14"/>
  <c r="AF208" i="14"/>
  <c r="AE208" i="14"/>
  <c r="AD208" i="14"/>
  <c r="AC208" i="14"/>
  <c r="X208" i="14"/>
  <c r="R208" i="14"/>
  <c r="V208" i="14" s="1"/>
  <c r="AV207" i="14"/>
  <c r="AU207" i="14"/>
  <c r="AR207" i="14"/>
  <c r="AI207" i="14"/>
  <c r="AH207" i="14"/>
  <c r="AG207" i="14"/>
  <c r="AF207" i="14"/>
  <c r="AE207" i="14"/>
  <c r="AD207" i="14"/>
  <c r="AC207" i="14"/>
  <c r="X207" i="14"/>
  <c r="R207" i="14"/>
  <c r="V207" i="14" s="1"/>
  <c r="AV206" i="14"/>
  <c r="AU206" i="14"/>
  <c r="AR206" i="14"/>
  <c r="AI206" i="14"/>
  <c r="AH206" i="14"/>
  <c r="AG206" i="14"/>
  <c r="AF206" i="14"/>
  <c r="AE206" i="14"/>
  <c r="AD206" i="14"/>
  <c r="AC206" i="14"/>
  <c r="X206" i="14"/>
  <c r="R206" i="14"/>
  <c r="T206" i="14" s="1"/>
  <c r="AV205" i="14"/>
  <c r="AU205" i="14"/>
  <c r="AR205" i="14"/>
  <c r="AI205" i="14"/>
  <c r="AH205" i="14"/>
  <c r="AG205" i="14"/>
  <c r="AF205" i="14"/>
  <c r="AE205" i="14"/>
  <c r="AD205" i="14"/>
  <c r="AC205" i="14"/>
  <c r="X205" i="14"/>
  <c r="R205" i="14"/>
  <c r="V205" i="14" s="1"/>
  <c r="AV204" i="14"/>
  <c r="AU204" i="14"/>
  <c r="AR204" i="14"/>
  <c r="AI204" i="14"/>
  <c r="AH204" i="14"/>
  <c r="AG204" i="14"/>
  <c r="AF204" i="14"/>
  <c r="AE204" i="14"/>
  <c r="AD204" i="14"/>
  <c r="AC204" i="14"/>
  <c r="X204" i="14"/>
  <c r="R204" i="14"/>
  <c r="V204" i="14" s="1"/>
  <c r="AV203" i="14"/>
  <c r="AU203" i="14"/>
  <c r="AR203" i="14"/>
  <c r="AI203" i="14"/>
  <c r="AH203" i="14"/>
  <c r="AG203" i="14"/>
  <c r="AF203" i="14"/>
  <c r="AE203" i="14"/>
  <c r="AD203" i="14"/>
  <c r="AC203" i="14"/>
  <c r="X203" i="14"/>
  <c r="T203" i="14" s="1"/>
  <c r="R203" i="14"/>
  <c r="AV202" i="14"/>
  <c r="AU202" i="14"/>
  <c r="AR202" i="14"/>
  <c r="AI202" i="14"/>
  <c r="AH202" i="14"/>
  <c r="AG202" i="14"/>
  <c r="AF202" i="14"/>
  <c r="AE202" i="14"/>
  <c r="AD202" i="14"/>
  <c r="AC202" i="14"/>
  <c r="X202" i="14"/>
  <c r="R202" i="14"/>
  <c r="T202" i="14" s="1"/>
  <c r="AV201" i="14"/>
  <c r="AU201" i="14"/>
  <c r="AR201" i="14"/>
  <c r="AI201" i="14"/>
  <c r="AH201" i="14"/>
  <c r="AG201" i="14"/>
  <c r="AF201" i="14"/>
  <c r="AE201" i="14"/>
  <c r="AD201" i="14"/>
  <c r="AC201" i="14"/>
  <c r="X201" i="14"/>
  <c r="T201" i="14" s="1"/>
  <c r="R201" i="14"/>
  <c r="AV200" i="14"/>
  <c r="AU200" i="14"/>
  <c r="AR200" i="14"/>
  <c r="AI200" i="14"/>
  <c r="AH200" i="14"/>
  <c r="AG200" i="14"/>
  <c r="AF200" i="14"/>
  <c r="AE200" i="14"/>
  <c r="AD200" i="14"/>
  <c r="AC200" i="14"/>
  <c r="X200" i="14"/>
  <c r="R200" i="14"/>
  <c r="V200" i="14" s="1"/>
  <c r="AV199" i="14"/>
  <c r="AU199" i="14"/>
  <c r="AR199" i="14"/>
  <c r="AI199" i="14"/>
  <c r="AH199" i="14"/>
  <c r="AG199" i="14"/>
  <c r="AF199" i="14"/>
  <c r="AE199" i="14"/>
  <c r="AD199" i="14"/>
  <c r="AC199" i="14"/>
  <c r="X199" i="14"/>
  <c r="T199" i="14" s="1"/>
  <c r="V199" i="14"/>
  <c r="R199" i="14"/>
  <c r="AV198" i="14"/>
  <c r="AU198" i="14"/>
  <c r="AR198" i="14"/>
  <c r="AI198" i="14"/>
  <c r="AH198" i="14"/>
  <c r="AG198" i="14"/>
  <c r="AF198" i="14"/>
  <c r="AE198" i="14"/>
  <c r="AD198" i="14"/>
  <c r="AC198" i="14"/>
  <c r="X198" i="14"/>
  <c r="V198" i="14" s="1"/>
  <c r="R198" i="14"/>
  <c r="AV197" i="14"/>
  <c r="AU197" i="14"/>
  <c r="AR197" i="14"/>
  <c r="AI197" i="14"/>
  <c r="AH197" i="14"/>
  <c r="AG197" i="14"/>
  <c r="AF197" i="14"/>
  <c r="AE197" i="14"/>
  <c r="AD197" i="14"/>
  <c r="AC197" i="14"/>
  <c r="X197" i="14"/>
  <c r="R197" i="14"/>
  <c r="V197" i="14" s="1"/>
  <c r="AV196" i="14"/>
  <c r="AU196" i="14"/>
  <c r="AR196" i="14"/>
  <c r="AI196" i="14"/>
  <c r="AH196" i="14"/>
  <c r="AG196" i="14"/>
  <c r="AF196" i="14"/>
  <c r="AE196" i="14"/>
  <c r="AD196" i="14"/>
  <c r="AC196" i="14"/>
  <c r="X196" i="14"/>
  <c r="T196" i="14" s="1"/>
  <c r="V196" i="14"/>
  <c r="R196" i="14"/>
  <c r="AV195" i="14"/>
  <c r="AU195" i="14"/>
  <c r="AR195" i="14"/>
  <c r="AI195" i="14"/>
  <c r="AH195" i="14"/>
  <c r="AG195" i="14"/>
  <c r="AF195" i="14"/>
  <c r="AE195" i="14"/>
  <c r="AD195" i="14"/>
  <c r="AC195" i="14"/>
  <c r="X195" i="14"/>
  <c r="R195" i="14"/>
  <c r="V195" i="14" s="1"/>
  <c r="AV194" i="14"/>
  <c r="AU194" i="14"/>
  <c r="AR194" i="14"/>
  <c r="AI194" i="14"/>
  <c r="AH194" i="14"/>
  <c r="AG194" i="14"/>
  <c r="AF194" i="14"/>
  <c r="AE194" i="14"/>
  <c r="AD194" i="14"/>
  <c r="AC194" i="14"/>
  <c r="X194" i="14"/>
  <c r="V194" i="14" s="1"/>
  <c r="R194" i="14"/>
  <c r="AV193" i="14"/>
  <c r="AU193" i="14"/>
  <c r="AR193" i="14"/>
  <c r="AI193" i="14"/>
  <c r="AH193" i="14"/>
  <c r="AG193" i="14"/>
  <c r="AF193" i="14"/>
  <c r="AE193" i="14"/>
  <c r="AD193" i="14"/>
  <c r="AC193" i="14"/>
  <c r="X193" i="14"/>
  <c r="T193" i="14" s="1"/>
  <c r="R193" i="14"/>
  <c r="AV192" i="14"/>
  <c r="AU192" i="14"/>
  <c r="AR192" i="14"/>
  <c r="AI192" i="14"/>
  <c r="AH192" i="14"/>
  <c r="AG192" i="14"/>
  <c r="AF192" i="14"/>
  <c r="AE192" i="14"/>
  <c r="AD192" i="14"/>
  <c r="AC192" i="14"/>
  <c r="X192" i="14"/>
  <c r="T192" i="14" s="1"/>
  <c r="V192" i="14"/>
  <c r="R192" i="14"/>
  <c r="AV191" i="14"/>
  <c r="AU191" i="14"/>
  <c r="AR191" i="14"/>
  <c r="AI191" i="14"/>
  <c r="AH191" i="14"/>
  <c r="AG191" i="14"/>
  <c r="AF191" i="14"/>
  <c r="AE191" i="14"/>
  <c r="AD191" i="14"/>
  <c r="AC191" i="14"/>
  <c r="X191" i="14"/>
  <c r="T191" i="14" s="1"/>
  <c r="V191" i="14"/>
  <c r="R191" i="14"/>
  <c r="AV190" i="14"/>
  <c r="AU190" i="14"/>
  <c r="AR190" i="14"/>
  <c r="AI190" i="14"/>
  <c r="AH190" i="14"/>
  <c r="AG190" i="14"/>
  <c r="AF190" i="14"/>
  <c r="AE190" i="14"/>
  <c r="AD190" i="14"/>
  <c r="AC190" i="14"/>
  <c r="X190" i="14"/>
  <c r="V190" i="14"/>
  <c r="T190" i="14"/>
  <c r="R190" i="14"/>
  <c r="AV189" i="14"/>
  <c r="AU189" i="14"/>
  <c r="AR189" i="14"/>
  <c r="AI189" i="14"/>
  <c r="AH189" i="14"/>
  <c r="AG189" i="14"/>
  <c r="AF189" i="14"/>
  <c r="AE189" i="14"/>
  <c r="AD189" i="14"/>
  <c r="AC189" i="14"/>
  <c r="X189" i="14"/>
  <c r="R189" i="14"/>
  <c r="V189" i="14" s="1"/>
  <c r="AV188" i="14"/>
  <c r="AU188" i="14"/>
  <c r="AR188" i="14"/>
  <c r="AI188" i="14"/>
  <c r="AH188" i="14"/>
  <c r="AG188" i="14"/>
  <c r="AF188" i="14"/>
  <c r="AE188" i="14"/>
  <c r="AD188" i="14"/>
  <c r="AC188" i="14"/>
  <c r="X188" i="14"/>
  <c r="R188" i="14"/>
  <c r="T188" i="14" s="1"/>
  <c r="AV187" i="14"/>
  <c r="AU187" i="14"/>
  <c r="AR187" i="14"/>
  <c r="AI187" i="14"/>
  <c r="AH187" i="14"/>
  <c r="AG187" i="14"/>
  <c r="AF187" i="14"/>
  <c r="AE187" i="14"/>
  <c r="AD187" i="14"/>
  <c r="AC187" i="14"/>
  <c r="X187" i="14"/>
  <c r="R187" i="14"/>
  <c r="V187" i="14" s="1"/>
  <c r="AV186" i="14"/>
  <c r="AU186" i="14"/>
  <c r="AR186" i="14"/>
  <c r="AI186" i="14"/>
  <c r="AH186" i="14"/>
  <c r="AG186" i="14"/>
  <c r="AF186" i="14"/>
  <c r="AE186" i="14"/>
  <c r="AD186" i="14"/>
  <c r="AC186" i="14"/>
  <c r="X186" i="14"/>
  <c r="R186" i="14"/>
  <c r="V186" i="14" s="1"/>
  <c r="AV185" i="14"/>
  <c r="AU185" i="14"/>
  <c r="AR185" i="14"/>
  <c r="AI185" i="14"/>
  <c r="AH185" i="14"/>
  <c r="AG185" i="14"/>
  <c r="AF185" i="14"/>
  <c r="AE185" i="14"/>
  <c r="AD185" i="14"/>
  <c r="AC185" i="14"/>
  <c r="X185" i="14"/>
  <c r="R185" i="14"/>
  <c r="V185" i="14" s="1"/>
  <c r="AV184" i="14"/>
  <c r="AU184" i="14"/>
  <c r="AR184" i="14"/>
  <c r="AI184" i="14"/>
  <c r="AH184" i="14"/>
  <c r="AG184" i="14"/>
  <c r="AF184" i="14"/>
  <c r="AE184" i="14"/>
  <c r="AD184" i="14"/>
  <c r="AC184" i="14"/>
  <c r="X184" i="14"/>
  <c r="R184" i="14"/>
  <c r="V184" i="14" s="1"/>
  <c r="AV183" i="14"/>
  <c r="AU183" i="14"/>
  <c r="AR183" i="14"/>
  <c r="AI183" i="14"/>
  <c r="AH183" i="14"/>
  <c r="AG183" i="14"/>
  <c r="AF183" i="14"/>
  <c r="AE183" i="14"/>
  <c r="AD183" i="14"/>
  <c r="AC183" i="14"/>
  <c r="X183" i="14"/>
  <c r="R183" i="14"/>
  <c r="V183" i="14" s="1"/>
  <c r="AV182" i="14"/>
  <c r="AU182" i="14"/>
  <c r="AR182" i="14"/>
  <c r="AI182" i="14"/>
  <c r="AH182" i="14"/>
  <c r="AG182" i="14"/>
  <c r="AF182" i="14"/>
  <c r="AE182" i="14"/>
  <c r="AD182" i="14"/>
  <c r="AC182" i="14"/>
  <c r="X182" i="14"/>
  <c r="R182" i="14"/>
  <c r="V182" i="14" s="1"/>
  <c r="AV181" i="14"/>
  <c r="AU181" i="14"/>
  <c r="AR181" i="14"/>
  <c r="AI181" i="14"/>
  <c r="AH181" i="14"/>
  <c r="AG181" i="14"/>
  <c r="AF181" i="14"/>
  <c r="AE181" i="14"/>
  <c r="AD181" i="14"/>
  <c r="AC181" i="14"/>
  <c r="X181" i="14"/>
  <c r="R181" i="14"/>
  <c r="V181" i="14" s="1"/>
  <c r="AV180" i="14"/>
  <c r="AU180" i="14"/>
  <c r="AR180" i="14"/>
  <c r="AI180" i="14"/>
  <c r="AH180" i="14"/>
  <c r="AG180" i="14"/>
  <c r="AF180" i="14"/>
  <c r="AE180" i="14"/>
  <c r="AD180" i="14"/>
  <c r="AC180" i="14"/>
  <c r="X180" i="14"/>
  <c r="R180" i="14"/>
  <c r="V180" i="14" s="1"/>
  <c r="AV179" i="14"/>
  <c r="AU179" i="14"/>
  <c r="AR179" i="14"/>
  <c r="AI179" i="14"/>
  <c r="AH179" i="14"/>
  <c r="AG179" i="14"/>
  <c r="AF179" i="14"/>
  <c r="AE179" i="14"/>
  <c r="AD179" i="14"/>
  <c r="AC179" i="14"/>
  <c r="X179" i="14"/>
  <c r="R179" i="14"/>
  <c r="V179" i="14" s="1"/>
  <c r="AV178" i="14"/>
  <c r="AU178" i="14"/>
  <c r="AR178" i="14"/>
  <c r="AI178" i="14"/>
  <c r="AH178" i="14"/>
  <c r="AG178" i="14"/>
  <c r="AF178" i="14"/>
  <c r="AE178" i="14"/>
  <c r="AD178" i="14"/>
  <c r="AC178" i="14"/>
  <c r="X178" i="14"/>
  <c r="R178" i="14"/>
  <c r="V178" i="14" s="1"/>
  <c r="AV177" i="14"/>
  <c r="AU177" i="14"/>
  <c r="AR177" i="14"/>
  <c r="AI177" i="14"/>
  <c r="AH177" i="14"/>
  <c r="AG177" i="14"/>
  <c r="AF177" i="14"/>
  <c r="AE177" i="14"/>
  <c r="AD177" i="14"/>
  <c r="AC177" i="14"/>
  <c r="X177" i="14"/>
  <c r="R177" i="14"/>
  <c r="V177" i="14" s="1"/>
  <c r="AV176" i="14"/>
  <c r="AU176" i="14"/>
  <c r="AR176" i="14"/>
  <c r="AI176" i="14"/>
  <c r="AH176" i="14"/>
  <c r="AG176" i="14"/>
  <c r="AF176" i="14"/>
  <c r="AE176" i="14"/>
  <c r="AD176" i="14"/>
  <c r="AC176" i="14"/>
  <c r="X176" i="14"/>
  <c r="V176" i="14" s="1"/>
  <c r="R176" i="14"/>
  <c r="AV175" i="14"/>
  <c r="AU175" i="14"/>
  <c r="AR175" i="14"/>
  <c r="AI175" i="14"/>
  <c r="AH175" i="14"/>
  <c r="AG175" i="14"/>
  <c r="AF175" i="14"/>
  <c r="AE175" i="14"/>
  <c r="AD175" i="14"/>
  <c r="AC175" i="14"/>
  <c r="X175" i="14"/>
  <c r="R175" i="14"/>
  <c r="V175" i="14" s="1"/>
  <c r="AV174" i="14"/>
  <c r="AU174" i="14"/>
  <c r="AR174" i="14"/>
  <c r="AI174" i="14"/>
  <c r="AH174" i="14"/>
  <c r="AG174" i="14"/>
  <c r="AF174" i="14"/>
  <c r="AE174" i="14"/>
  <c r="AD174" i="14"/>
  <c r="AC174" i="14"/>
  <c r="X174" i="14"/>
  <c r="V174" i="14" s="1"/>
  <c r="R174" i="14"/>
  <c r="AV173" i="14"/>
  <c r="AU173" i="14"/>
  <c r="AR173" i="14"/>
  <c r="AI173" i="14"/>
  <c r="AH173" i="14"/>
  <c r="AG173" i="14"/>
  <c r="AF173" i="14"/>
  <c r="AE173" i="14"/>
  <c r="AD173" i="14"/>
  <c r="AC173" i="14"/>
  <c r="X173" i="14"/>
  <c r="R173" i="14"/>
  <c r="V173" i="14" s="1"/>
  <c r="AV172" i="14"/>
  <c r="AU172" i="14"/>
  <c r="AR172" i="14"/>
  <c r="AI172" i="14"/>
  <c r="AH172" i="14"/>
  <c r="AG172" i="14"/>
  <c r="AF172" i="14"/>
  <c r="AE172" i="14"/>
  <c r="AD172" i="14"/>
  <c r="AC172" i="14"/>
  <c r="X172" i="14"/>
  <c r="T172" i="14" s="1"/>
  <c r="V172" i="14"/>
  <c r="R172" i="14"/>
  <c r="AV171" i="14"/>
  <c r="AU171" i="14"/>
  <c r="AR171" i="14"/>
  <c r="AI171" i="14"/>
  <c r="AH171" i="14"/>
  <c r="AG171" i="14"/>
  <c r="AF171" i="14"/>
  <c r="AE171" i="14"/>
  <c r="AD171" i="14"/>
  <c r="AC171" i="14"/>
  <c r="X171" i="14"/>
  <c r="R171" i="14"/>
  <c r="V171" i="14" s="1"/>
  <c r="AV170" i="14"/>
  <c r="AU170" i="14"/>
  <c r="AR170" i="14"/>
  <c r="AI170" i="14"/>
  <c r="AH170" i="14"/>
  <c r="AG170" i="14"/>
  <c r="AF170" i="14"/>
  <c r="AE170" i="14"/>
  <c r="AD170" i="14"/>
  <c r="AC170" i="14"/>
  <c r="X170" i="14"/>
  <c r="V170" i="14"/>
  <c r="T170" i="14"/>
  <c r="R170" i="14"/>
  <c r="AV169" i="14"/>
  <c r="AU169" i="14"/>
  <c r="AR169" i="14"/>
  <c r="AI169" i="14"/>
  <c r="AH169" i="14"/>
  <c r="AG169" i="14"/>
  <c r="AF169" i="14"/>
  <c r="AE169" i="14"/>
  <c r="AD169" i="14"/>
  <c r="AC169" i="14"/>
  <c r="X169" i="14"/>
  <c r="T169" i="14" s="1"/>
  <c r="R169" i="14"/>
  <c r="AV168" i="14"/>
  <c r="AU168" i="14"/>
  <c r="AR168" i="14"/>
  <c r="AI168" i="14"/>
  <c r="AH168" i="14"/>
  <c r="AG168" i="14"/>
  <c r="AF168" i="14"/>
  <c r="AE168" i="14"/>
  <c r="AD168" i="14"/>
  <c r="AC168" i="14"/>
  <c r="X168" i="14"/>
  <c r="R168" i="14"/>
  <c r="T168" i="14" s="1"/>
  <c r="AV167" i="14"/>
  <c r="AU167" i="14"/>
  <c r="AR167" i="14"/>
  <c r="AI167" i="14"/>
  <c r="AH167" i="14"/>
  <c r="AG167" i="14"/>
  <c r="AF167" i="14"/>
  <c r="AE167" i="14"/>
  <c r="AD167" i="14"/>
  <c r="AC167" i="14"/>
  <c r="X167" i="14"/>
  <c r="T167" i="14" s="1"/>
  <c r="V167" i="14"/>
  <c r="R167" i="14"/>
  <c r="AV166" i="14"/>
  <c r="AU166" i="14"/>
  <c r="AR166" i="14"/>
  <c r="AI166" i="14"/>
  <c r="AH166" i="14"/>
  <c r="AG166" i="14"/>
  <c r="AF166" i="14"/>
  <c r="AE166" i="14"/>
  <c r="AD166" i="14"/>
  <c r="AC166" i="14"/>
  <c r="X166" i="14"/>
  <c r="V166" i="14" s="1"/>
  <c r="R166" i="14"/>
  <c r="AV165" i="14"/>
  <c r="AU165" i="14"/>
  <c r="AR165" i="14"/>
  <c r="AI165" i="14"/>
  <c r="AH165" i="14"/>
  <c r="AG165" i="14"/>
  <c r="AF165" i="14"/>
  <c r="AE165" i="14"/>
  <c r="AD165" i="14"/>
  <c r="AC165" i="14"/>
  <c r="X165" i="14"/>
  <c r="T165" i="14" s="1"/>
  <c r="R165" i="14"/>
  <c r="AV164" i="14"/>
  <c r="AU164" i="14"/>
  <c r="AR164" i="14"/>
  <c r="AI164" i="14"/>
  <c r="AH164" i="14"/>
  <c r="AG164" i="14"/>
  <c r="AF164" i="14"/>
  <c r="AE164" i="14"/>
  <c r="AD164" i="14"/>
  <c r="AC164" i="14"/>
  <c r="X164" i="14"/>
  <c r="T164" i="14" s="1"/>
  <c r="V164" i="14"/>
  <c r="R164" i="14"/>
  <c r="AV163" i="14"/>
  <c r="AU163" i="14"/>
  <c r="AR163" i="14"/>
  <c r="AI163" i="14"/>
  <c r="AH163" i="14"/>
  <c r="AG163" i="14"/>
  <c r="AF163" i="14"/>
  <c r="AE163" i="14"/>
  <c r="AD163" i="14"/>
  <c r="AC163" i="14"/>
  <c r="X163" i="14"/>
  <c r="T163" i="14" s="1"/>
  <c r="V163" i="14"/>
  <c r="R163" i="14"/>
  <c r="AV162" i="14"/>
  <c r="AU162" i="14"/>
  <c r="AR162" i="14"/>
  <c r="AI162" i="14"/>
  <c r="AH162" i="14"/>
  <c r="AG162" i="14"/>
  <c r="AF162" i="14"/>
  <c r="AE162" i="14"/>
  <c r="AD162" i="14"/>
  <c r="AC162" i="14"/>
  <c r="X162" i="14"/>
  <c r="V162" i="14"/>
  <c r="T162" i="14"/>
  <c r="R162" i="14"/>
  <c r="AV161" i="14"/>
  <c r="AU161" i="14"/>
  <c r="AR161" i="14"/>
  <c r="AI161" i="14"/>
  <c r="AH161" i="14"/>
  <c r="AG161" i="14"/>
  <c r="AF161" i="14"/>
  <c r="AE161" i="14"/>
  <c r="AD161" i="14"/>
  <c r="AC161" i="14"/>
  <c r="X161" i="14"/>
  <c r="V161" i="14"/>
  <c r="T161" i="14"/>
  <c r="R161" i="14"/>
  <c r="AV160" i="14"/>
  <c r="AU160" i="14"/>
  <c r="AR160" i="14"/>
  <c r="AI160" i="14"/>
  <c r="AH160" i="14"/>
  <c r="AG160" i="14"/>
  <c r="AF160" i="14"/>
  <c r="AE160" i="14"/>
  <c r="AD160" i="14"/>
  <c r="AC160" i="14"/>
  <c r="X160" i="14"/>
  <c r="V160" i="14"/>
  <c r="T160" i="14"/>
  <c r="R160" i="14"/>
  <c r="AV159" i="14"/>
  <c r="AU159" i="14"/>
  <c r="AR159" i="14"/>
  <c r="AI159" i="14"/>
  <c r="AH159" i="14"/>
  <c r="AG159" i="14"/>
  <c r="AF159" i="14"/>
  <c r="AE159" i="14"/>
  <c r="AD159" i="14"/>
  <c r="AC159" i="14"/>
  <c r="X159" i="14"/>
  <c r="V159" i="14"/>
  <c r="T159" i="14"/>
  <c r="R159" i="14"/>
  <c r="AV158" i="14"/>
  <c r="AU158" i="14"/>
  <c r="AR158" i="14"/>
  <c r="AI158" i="14"/>
  <c r="AH158" i="14"/>
  <c r="AG158" i="14"/>
  <c r="AF158" i="14"/>
  <c r="AE158" i="14"/>
  <c r="AD158" i="14"/>
  <c r="AC158" i="14"/>
  <c r="X158" i="14"/>
  <c r="V158" i="14"/>
  <c r="T158" i="14"/>
  <c r="R158" i="14"/>
  <c r="AV157" i="14"/>
  <c r="AU157" i="14"/>
  <c r="AR157" i="14"/>
  <c r="AI157" i="14"/>
  <c r="AH157" i="14"/>
  <c r="AG157" i="14"/>
  <c r="AF157" i="14"/>
  <c r="AE157" i="14"/>
  <c r="AD157" i="14"/>
  <c r="AC157" i="14"/>
  <c r="X157" i="14"/>
  <c r="V157" i="14"/>
  <c r="T157" i="14"/>
  <c r="R157" i="14"/>
  <c r="AV156" i="14"/>
  <c r="AU156" i="14"/>
  <c r="AR156" i="14"/>
  <c r="AI156" i="14"/>
  <c r="AH156" i="14"/>
  <c r="AG156" i="14"/>
  <c r="AF156" i="14"/>
  <c r="AE156" i="14"/>
  <c r="AD156" i="14"/>
  <c r="AC156" i="14"/>
  <c r="X156" i="14"/>
  <c r="V156" i="14"/>
  <c r="T156" i="14"/>
  <c r="R156" i="14"/>
  <c r="AV155" i="14"/>
  <c r="AU155" i="14"/>
  <c r="AR155" i="14"/>
  <c r="AI155" i="14"/>
  <c r="AH155" i="14"/>
  <c r="AG155" i="14"/>
  <c r="AF155" i="14"/>
  <c r="AE155" i="14"/>
  <c r="AD155" i="14"/>
  <c r="AC155" i="14"/>
  <c r="X155" i="14"/>
  <c r="V155" i="14"/>
  <c r="T155" i="14"/>
  <c r="R155" i="14"/>
  <c r="AV154" i="14"/>
  <c r="AU154" i="14"/>
  <c r="AR154" i="14"/>
  <c r="AI154" i="14"/>
  <c r="AH154" i="14"/>
  <c r="AG154" i="14"/>
  <c r="AF154" i="14"/>
  <c r="AE154" i="14"/>
  <c r="AD154" i="14"/>
  <c r="AC154" i="14"/>
  <c r="X154" i="14"/>
  <c r="V154" i="14"/>
  <c r="T154" i="14"/>
  <c r="R154" i="14"/>
  <c r="AV153" i="14"/>
  <c r="AU153" i="14"/>
  <c r="AR153" i="14"/>
  <c r="AI153" i="14"/>
  <c r="AH153" i="14"/>
  <c r="AG153" i="14"/>
  <c r="AF153" i="14"/>
  <c r="AE153" i="14"/>
  <c r="AD153" i="14"/>
  <c r="AC153" i="14"/>
  <c r="X153" i="14"/>
  <c r="V153" i="14"/>
  <c r="T153" i="14"/>
  <c r="R153" i="14"/>
  <c r="AV152" i="14"/>
  <c r="AU152" i="14"/>
  <c r="AR152" i="14"/>
  <c r="AI152" i="14"/>
  <c r="AH152" i="14"/>
  <c r="AG152" i="14"/>
  <c r="AF152" i="14"/>
  <c r="AE152" i="14"/>
  <c r="AD152" i="14"/>
  <c r="AC152" i="14"/>
  <c r="X152" i="14"/>
  <c r="V152" i="14"/>
  <c r="T152" i="14"/>
  <c r="R152" i="14"/>
  <c r="AV151" i="14"/>
  <c r="AU151" i="14"/>
  <c r="AR151" i="14"/>
  <c r="AI151" i="14"/>
  <c r="AH151" i="14"/>
  <c r="AG151" i="14"/>
  <c r="AF151" i="14"/>
  <c r="AE151" i="14"/>
  <c r="AD151" i="14"/>
  <c r="AC151" i="14"/>
  <c r="X151" i="14"/>
  <c r="V151" i="14"/>
  <c r="T151" i="14"/>
  <c r="R151" i="14"/>
  <c r="AV150" i="14"/>
  <c r="AU150" i="14"/>
  <c r="AR150" i="14"/>
  <c r="AI150" i="14"/>
  <c r="AH150" i="14"/>
  <c r="AG150" i="14"/>
  <c r="AF150" i="14"/>
  <c r="AE150" i="14"/>
  <c r="AD150" i="14"/>
  <c r="AC150" i="14"/>
  <c r="X150" i="14"/>
  <c r="V150" i="14"/>
  <c r="T150" i="14"/>
  <c r="R150" i="14"/>
  <c r="AV149" i="14"/>
  <c r="AU149" i="14"/>
  <c r="AR149" i="14"/>
  <c r="AI149" i="14"/>
  <c r="AH149" i="14"/>
  <c r="AG149" i="14"/>
  <c r="AF149" i="14"/>
  <c r="AE149" i="14"/>
  <c r="AD149" i="14"/>
  <c r="AC149" i="14"/>
  <c r="X149" i="14"/>
  <c r="V149" i="14"/>
  <c r="T149" i="14"/>
  <c r="R149" i="14"/>
  <c r="AV148" i="14"/>
  <c r="AU148" i="14"/>
  <c r="AR148" i="14"/>
  <c r="AI148" i="14"/>
  <c r="AH148" i="14"/>
  <c r="AG148" i="14"/>
  <c r="AF148" i="14"/>
  <c r="AE148" i="14"/>
  <c r="AD148" i="14"/>
  <c r="AC148" i="14"/>
  <c r="X148" i="14"/>
  <c r="V148" i="14"/>
  <c r="T148" i="14"/>
  <c r="R148" i="14"/>
  <c r="AV147" i="14"/>
  <c r="AU147" i="14"/>
  <c r="AR147" i="14"/>
  <c r="AI147" i="14"/>
  <c r="AH147" i="14"/>
  <c r="AG147" i="14"/>
  <c r="AF147" i="14"/>
  <c r="AE147" i="14"/>
  <c r="AD147" i="14"/>
  <c r="AC147" i="14"/>
  <c r="X147" i="14"/>
  <c r="V147" i="14"/>
  <c r="T147" i="14"/>
  <c r="R147" i="14"/>
  <c r="AV146" i="14"/>
  <c r="AU146" i="14"/>
  <c r="AR146" i="14"/>
  <c r="AI146" i="14"/>
  <c r="AH146" i="14"/>
  <c r="AG146" i="14"/>
  <c r="AF146" i="14"/>
  <c r="AE146" i="14"/>
  <c r="AD146" i="14"/>
  <c r="AC146" i="14"/>
  <c r="X146" i="14"/>
  <c r="V146" i="14"/>
  <c r="T146" i="14"/>
  <c r="R146" i="14"/>
  <c r="AV145" i="14"/>
  <c r="AU145" i="14"/>
  <c r="AR145" i="14"/>
  <c r="AI145" i="14"/>
  <c r="AH145" i="14"/>
  <c r="AG145" i="14"/>
  <c r="AF145" i="14"/>
  <c r="AE145" i="14"/>
  <c r="AD145" i="14"/>
  <c r="AC145" i="14"/>
  <c r="X145" i="14"/>
  <c r="V145" i="14"/>
  <c r="T145" i="14"/>
  <c r="R145" i="14"/>
  <c r="AV144" i="14"/>
  <c r="AU144" i="14"/>
  <c r="AR144" i="14"/>
  <c r="AI144" i="14"/>
  <c r="AH144" i="14"/>
  <c r="AG144" i="14"/>
  <c r="AF144" i="14"/>
  <c r="AE144" i="14"/>
  <c r="AD144" i="14"/>
  <c r="AC144" i="14"/>
  <c r="X144" i="14"/>
  <c r="V144" i="14"/>
  <c r="T144" i="14"/>
  <c r="R144" i="14"/>
  <c r="AV143" i="14"/>
  <c r="AU143" i="14"/>
  <c r="AR143" i="14"/>
  <c r="AI143" i="14"/>
  <c r="AH143" i="14"/>
  <c r="AG143" i="14"/>
  <c r="AF143" i="14"/>
  <c r="AE143" i="14"/>
  <c r="AD143" i="14"/>
  <c r="AC143" i="14"/>
  <c r="X143" i="14"/>
  <c r="V143" i="14"/>
  <c r="T143" i="14"/>
  <c r="R143" i="14"/>
  <c r="AV142" i="14"/>
  <c r="AU142" i="14"/>
  <c r="AR142" i="14"/>
  <c r="AI142" i="14"/>
  <c r="AH142" i="14"/>
  <c r="AG142" i="14"/>
  <c r="AF142" i="14"/>
  <c r="AE142" i="14"/>
  <c r="AD142" i="14"/>
  <c r="AC142" i="14"/>
  <c r="X142" i="14"/>
  <c r="V142" i="14"/>
  <c r="T142" i="14"/>
  <c r="R142" i="14"/>
  <c r="AV141" i="14"/>
  <c r="AU141" i="14"/>
  <c r="AR141" i="14"/>
  <c r="AI141" i="14"/>
  <c r="AH141" i="14"/>
  <c r="AG141" i="14"/>
  <c r="AF141" i="14"/>
  <c r="AE141" i="14"/>
  <c r="AD141" i="14"/>
  <c r="AC141" i="14"/>
  <c r="X141" i="14"/>
  <c r="V141" i="14"/>
  <c r="T141" i="14"/>
  <c r="R141" i="14"/>
  <c r="AV140" i="14"/>
  <c r="AU140" i="14"/>
  <c r="AR140" i="14"/>
  <c r="AI140" i="14"/>
  <c r="AH140" i="14"/>
  <c r="AG140" i="14"/>
  <c r="AF140" i="14"/>
  <c r="AE140" i="14"/>
  <c r="AD140" i="14"/>
  <c r="AC140" i="14"/>
  <c r="X140" i="14"/>
  <c r="V140" i="14"/>
  <c r="T140" i="14"/>
  <c r="R140" i="14"/>
  <c r="AV139" i="14"/>
  <c r="AU139" i="14"/>
  <c r="AR139" i="14"/>
  <c r="AI139" i="14"/>
  <c r="AH139" i="14"/>
  <c r="AG139" i="14"/>
  <c r="AF139" i="14"/>
  <c r="AE139" i="14"/>
  <c r="AD139" i="14"/>
  <c r="AC139" i="14"/>
  <c r="X139" i="14"/>
  <c r="V139" i="14"/>
  <c r="T139" i="14"/>
  <c r="R139" i="14"/>
  <c r="AV138" i="14"/>
  <c r="AU138" i="14"/>
  <c r="AR138" i="14"/>
  <c r="AI138" i="14"/>
  <c r="AH138" i="14"/>
  <c r="AG138" i="14"/>
  <c r="AF138" i="14"/>
  <c r="AE138" i="14"/>
  <c r="AD138" i="14"/>
  <c r="AC138" i="14"/>
  <c r="X138" i="14"/>
  <c r="V138" i="14"/>
  <c r="T138" i="14"/>
  <c r="R138" i="14"/>
  <c r="AV137" i="14"/>
  <c r="AU137" i="14"/>
  <c r="AR137" i="14"/>
  <c r="AI137" i="14"/>
  <c r="AH137" i="14"/>
  <c r="AG137" i="14"/>
  <c r="AF137" i="14"/>
  <c r="AE137" i="14"/>
  <c r="AD137" i="14"/>
  <c r="AC137" i="14"/>
  <c r="X137" i="14"/>
  <c r="V137" i="14"/>
  <c r="T137" i="14"/>
  <c r="R137" i="14"/>
  <c r="AV136" i="14"/>
  <c r="AU136" i="14"/>
  <c r="AR136" i="14"/>
  <c r="AI136" i="14"/>
  <c r="AH136" i="14"/>
  <c r="AG136" i="14"/>
  <c r="AF136" i="14"/>
  <c r="AE136" i="14"/>
  <c r="AD136" i="14"/>
  <c r="AC136" i="14"/>
  <c r="X136" i="14"/>
  <c r="V136" i="14"/>
  <c r="T136" i="14"/>
  <c r="R136" i="14"/>
  <c r="AV135" i="14"/>
  <c r="AU135" i="14"/>
  <c r="AR135" i="14"/>
  <c r="AI135" i="14"/>
  <c r="AH135" i="14"/>
  <c r="AG135" i="14"/>
  <c r="AF135" i="14"/>
  <c r="AE135" i="14"/>
  <c r="AD135" i="14"/>
  <c r="AC135" i="14"/>
  <c r="X135" i="14"/>
  <c r="V135" i="14"/>
  <c r="T135" i="14"/>
  <c r="R135" i="14"/>
  <c r="AV134" i="14"/>
  <c r="AU134" i="14"/>
  <c r="AR134" i="14"/>
  <c r="AI134" i="14"/>
  <c r="AH134" i="14"/>
  <c r="AG134" i="14"/>
  <c r="AF134" i="14"/>
  <c r="AE134" i="14"/>
  <c r="AD134" i="14"/>
  <c r="AC134" i="14"/>
  <c r="X134" i="14"/>
  <c r="V134" i="14"/>
  <c r="T134" i="14"/>
  <c r="R134" i="14"/>
  <c r="AV133" i="14"/>
  <c r="AU133" i="14"/>
  <c r="AR133" i="14"/>
  <c r="AI133" i="14"/>
  <c r="AH133" i="14"/>
  <c r="AG133" i="14"/>
  <c r="AF133" i="14"/>
  <c r="AE133" i="14"/>
  <c r="AD133" i="14"/>
  <c r="AC133" i="14"/>
  <c r="X133" i="14"/>
  <c r="V133" i="14"/>
  <c r="T133" i="14"/>
  <c r="R133" i="14"/>
  <c r="AV132" i="14"/>
  <c r="AU132" i="14"/>
  <c r="AR132" i="14"/>
  <c r="AI132" i="14"/>
  <c r="AH132" i="14"/>
  <c r="AG132" i="14"/>
  <c r="AF132" i="14"/>
  <c r="AE132" i="14"/>
  <c r="AD132" i="14"/>
  <c r="AC132" i="14"/>
  <c r="X132" i="14"/>
  <c r="V132" i="14"/>
  <c r="T132" i="14"/>
  <c r="R132" i="14"/>
  <c r="AV131" i="14"/>
  <c r="AU131" i="14"/>
  <c r="AR131" i="14"/>
  <c r="AI131" i="14"/>
  <c r="AH131" i="14"/>
  <c r="AG131" i="14"/>
  <c r="AF131" i="14"/>
  <c r="AE131" i="14"/>
  <c r="AD131" i="14"/>
  <c r="AC131" i="14"/>
  <c r="X131" i="14"/>
  <c r="V131" i="14"/>
  <c r="T131" i="14"/>
  <c r="R131" i="14"/>
  <c r="AV130" i="14"/>
  <c r="AU130" i="14"/>
  <c r="AR130" i="14"/>
  <c r="AI130" i="14"/>
  <c r="AH130" i="14"/>
  <c r="AG130" i="14"/>
  <c r="AF130" i="14"/>
  <c r="AE130" i="14"/>
  <c r="AD130" i="14"/>
  <c r="AC130" i="14"/>
  <c r="X130" i="14"/>
  <c r="V130" i="14"/>
  <c r="T130" i="14"/>
  <c r="R130" i="14"/>
  <c r="AV129" i="14"/>
  <c r="AU129" i="14"/>
  <c r="AR129" i="14"/>
  <c r="AI129" i="14"/>
  <c r="AH129" i="14"/>
  <c r="AG129" i="14"/>
  <c r="AF129" i="14"/>
  <c r="AE129" i="14"/>
  <c r="AD129" i="14"/>
  <c r="AC129" i="14"/>
  <c r="X129" i="14"/>
  <c r="V129" i="14"/>
  <c r="T129" i="14"/>
  <c r="R129" i="14"/>
  <c r="AV128" i="14"/>
  <c r="AU128" i="14"/>
  <c r="AR128" i="14"/>
  <c r="AI128" i="14"/>
  <c r="AH128" i="14"/>
  <c r="AG128" i="14"/>
  <c r="AF128" i="14"/>
  <c r="AE128" i="14"/>
  <c r="AD128" i="14"/>
  <c r="AC128" i="14"/>
  <c r="X128" i="14"/>
  <c r="V128" i="14"/>
  <c r="T128" i="14"/>
  <c r="R128" i="14"/>
  <c r="AV127" i="14"/>
  <c r="AU127" i="14"/>
  <c r="AR127" i="14"/>
  <c r="AI127" i="14"/>
  <c r="AH127" i="14"/>
  <c r="AG127" i="14"/>
  <c r="AF127" i="14"/>
  <c r="AE127" i="14"/>
  <c r="AD127" i="14"/>
  <c r="AC127" i="14"/>
  <c r="X127" i="14"/>
  <c r="V127" i="14"/>
  <c r="T127" i="14"/>
  <c r="R127" i="14"/>
  <c r="AV126" i="14"/>
  <c r="AU126" i="14"/>
  <c r="AR126" i="14"/>
  <c r="AI126" i="14"/>
  <c r="AH126" i="14"/>
  <c r="AG126" i="14"/>
  <c r="AF126" i="14"/>
  <c r="AE126" i="14"/>
  <c r="AD126" i="14"/>
  <c r="AC126" i="14"/>
  <c r="X126" i="14"/>
  <c r="V126" i="14"/>
  <c r="T126" i="14"/>
  <c r="R126" i="14"/>
  <c r="AV125" i="14"/>
  <c r="AU125" i="14"/>
  <c r="AR125" i="14"/>
  <c r="AI125" i="14"/>
  <c r="AH125" i="14"/>
  <c r="AG125" i="14"/>
  <c r="AF125" i="14"/>
  <c r="AE125" i="14"/>
  <c r="AD125" i="14"/>
  <c r="AC125" i="14"/>
  <c r="X125" i="14"/>
  <c r="V125" i="14"/>
  <c r="T125" i="14"/>
  <c r="R125" i="14"/>
  <c r="AV124" i="14"/>
  <c r="AU124" i="14"/>
  <c r="AR124" i="14"/>
  <c r="AI124" i="14"/>
  <c r="AH124" i="14"/>
  <c r="AG124" i="14"/>
  <c r="AF124" i="14"/>
  <c r="AE124" i="14"/>
  <c r="AD124" i="14"/>
  <c r="AC124" i="14"/>
  <c r="X124" i="14"/>
  <c r="V124" i="14"/>
  <c r="T124" i="14"/>
  <c r="R124" i="14"/>
  <c r="AV123" i="14"/>
  <c r="AU123" i="14"/>
  <c r="AR123" i="14"/>
  <c r="AI123" i="14"/>
  <c r="AH123" i="14"/>
  <c r="AG123" i="14"/>
  <c r="AF123" i="14"/>
  <c r="AE123" i="14"/>
  <c r="AD123" i="14"/>
  <c r="AC123" i="14"/>
  <c r="X123" i="14"/>
  <c r="V123" i="14"/>
  <c r="T123" i="14"/>
  <c r="R123" i="14"/>
  <c r="AV122" i="14"/>
  <c r="AU122" i="14"/>
  <c r="AR122" i="14"/>
  <c r="AI122" i="14"/>
  <c r="AH122" i="14"/>
  <c r="AG122" i="14"/>
  <c r="AF122" i="14"/>
  <c r="AE122" i="14"/>
  <c r="AD122" i="14"/>
  <c r="AC122" i="14"/>
  <c r="X122" i="14"/>
  <c r="V122" i="14"/>
  <c r="T122" i="14"/>
  <c r="R122" i="14"/>
  <c r="AV121" i="14"/>
  <c r="AU121" i="14"/>
  <c r="AR121" i="14"/>
  <c r="AI121" i="14"/>
  <c r="AH121" i="14"/>
  <c r="AG121" i="14"/>
  <c r="AF121" i="14"/>
  <c r="AE121" i="14"/>
  <c r="AD121" i="14"/>
  <c r="AC121" i="14"/>
  <c r="X121" i="14"/>
  <c r="V121" i="14"/>
  <c r="T121" i="14"/>
  <c r="R121" i="14"/>
  <c r="AV120" i="14"/>
  <c r="AU120" i="14"/>
  <c r="AR120" i="14"/>
  <c r="AI120" i="14"/>
  <c r="AH120" i="14"/>
  <c r="AG120" i="14"/>
  <c r="AF120" i="14"/>
  <c r="AE120" i="14"/>
  <c r="AD120" i="14"/>
  <c r="AC120" i="14"/>
  <c r="X120" i="14"/>
  <c r="V120" i="14"/>
  <c r="T120" i="14"/>
  <c r="R120" i="14"/>
  <c r="AV119" i="14"/>
  <c r="AU119" i="14"/>
  <c r="AR119" i="14"/>
  <c r="AI119" i="14"/>
  <c r="AH119" i="14"/>
  <c r="AG119" i="14"/>
  <c r="AF119" i="14"/>
  <c r="AE119" i="14"/>
  <c r="AD119" i="14"/>
  <c r="AC119" i="14"/>
  <c r="X119" i="14"/>
  <c r="V119" i="14"/>
  <c r="T119" i="14"/>
  <c r="R119" i="14"/>
  <c r="AV118" i="14"/>
  <c r="AU118" i="14"/>
  <c r="AR118" i="14"/>
  <c r="AI118" i="14"/>
  <c r="AH118" i="14"/>
  <c r="AG118" i="14"/>
  <c r="AF118" i="14"/>
  <c r="AE118" i="14"/>
  <c r="AD118" i="14"/>
  <c r="AC118" i="14"/>
  <c r="X118" i="14"/>
  <c r="V118" i="14"/>
  <c r="T118" i="14"/>
  <c r="R118" i="14"/>
  <c r="AV117" i="14"/>
  <c r="AU117" i="14"/>
  <c r="AR117" i="14"/>
  <c r="AI117" i="14"/>
  <c r="AH117" i="14"/>
  <c r="AG117" i="14"/>
  <c r="AF117" i="14"/>
  <c r="AE117" i="14"/>
  <c r="AD117" i="14"/>
  <c r="AC117" i="14"/>
  <c r="X117" i="14"/>
  <c r="V117" i="14"/>
  <c r="T117" i="14"/>
  <c r="R117" i="14"/>
  <c r="AV116" i="14"/>
  <c r="AU116" i="14"/>
  <c r="AR116" i="14"/>
  <c r="AI116" i="14"/>
  <c r="AH116" i="14"/>
  <c r="AG116" i="14"/>
  <c r="AF116" i="14"/>
  <c r="AE116" i="14"/>
  <c r="AD116" i="14"/>
  <c r="AC116" i="14"/>
  <c r="X116" i="14"/>
  <c r="V116" i="14"/>
  <c r="T116" i="14"/>
  <c r="R116" i="14"/>
  <c r="AV115" i="14"/>
  <c r="AU115" i="14"/>
  <c r="AR115" i="14"/>
  <c r="AI115" i="14"/>
  <c r="AH115" i="14"/>
  <c r="AG115" i="14"/>
  <c r="AF115" i="14"/>
  <c r="AE115" i="14"/>
  <c r="AD115" i="14"/>
  <c r="AC115" i="14"/>
  <c r="X115" i="14"/>
  <c r="V115" i="14"/>
  <c r="T115" i="14"/>
  <c r="R115" i="14"/>
  <c r="AV114" i="14"/>
  <c r="AU114" i="14"/>
  <c r="AR114" i="14"/>
  <c r="AI114" i="14"/>
  <c r="AH114" i="14"/>
  <c r="AG114" i="14"/>
  <c r="AF114" i="14"/>
  <c r="AE114" i="14"/>
  <c r="AD114" i="14"/>
  <c r="AC114" i="14"/>
  <c r="X114" i="14"/>
  <c r="V114" i="14"/>
  <c r="T114" i="14"/>
  <c r="R114" i="14"/>
  <c r="AV113" i="14"/>
  <c r="AU113" i="14"/>
  <c r="AR113" i="14"/>
  <c r="AI113" i="14"/>
  <c r="AH113" i="14"/>
  <c r="AG113" i="14"/>
  <c r="AF113" i="14"/>
  <c r="AE113" i="14"/>
  <c r="AD113" i="14"/>
  <c r="AC113" i="14"/>
  <c r="X113" i="14"/>
  <c r="V113" i="14"/>
  <c r="T113" i="14"/>
  <c r="R113" i="14"/>
  <c r="AV112" i="14"/>
  <c r="AU112" i="14"/>
  <c r="AR112" i="14"/>
  <c r="AI112" i="14"/>
  <c r="AH112" i="14"/>
  <c r="AG112" i="14"/>
  <c r="AF112" i="14"/>
  <c r="AE112" i="14"/>
  <c r="AD112" i="14"/>
  <c r="AC112" i="14"/>
  <c r="X112" i="14"/>
  <c r="V112" i="14"/>
  <c r="T112" i="14"/>
  <c r="R112" i="14"/>
  <c r="AV111" i="14"/>
  <c r="AU111" i="14"/>
  <c r="AR111" i="14"/>
  <c r="AI111" i="14"/>
  <c r="AH111" i="14"/>
  <c r="AG111" i="14"/>
  <c r="AF111" i="14"/>
  <c r="AE111" i="14"/>
  <c r="AD111" i="14"/>
  <c r="AC111" i="14"/>
  <c r="X111" i="14"/>
  <c r="V111" i="14"/>
  <c r="T111" i="14"/>
  <c r="R111" i="14"/>
  <c r="AV110" i="14"/>
  <c r="AU110" i="14"/>
  <c r="AR110" i="14"/>
  <c r="AI110" i="14"/>
  <c r="AH110" i="14"/>
  <c r="AG110" i="14"/>
  <c r="AF110" i="14"/>
  <c r="AE110" i="14"/>
  <c r="AD110" i="14"/>
  <c r="AC110" i="14"/>
  <c r="X110" i="14"/>
  <c r="V110" i="14"/>
  <c r="T110" i="14"/>
  <c r="R110" i="14"/>
  <c r="AV109" i="14"/>
  <c r="AU109" i="14"/>
  <c r="AR109" i="14"/>
  <c r="AI109" i="14"/>
  <c r="AH109" i="14"/>
  <c r="AG109" i="14"/>
  <c r="AF109" i="14"/>
  <c r="AE109" i="14"/>
  <c r="AD109" i="14"/>
  <c r="AC109" i="14"/>
  <c r="X109" i="14"/>
  <c r="V109" i="14"/>
  <c r="T109" i="14"/>
  <c r="R109" i="14"/>
  <c r="AV108" i="14"/>
  <c r="AU108" i="14"/>
  <c r="AR108" i="14"/>
  <c r="AI108" i="14"/>
  <c r="AH108" i="14"/>
  <c r="AG108" i="14"/>
  <c r="AF108" i="14"/>
  <c r="AE108" i="14"/>
  <c r="AD108" i="14"/>
  <c r="AC108" i="14"/>
  <c r="X108" i="14"/>
  <c r="V108" i="14"/>
  <c r="T108" i="14"/>
  <c r="R108" i="14"/>
  <c r="AV107" i="14"/>
  <c r="AU107" i="14"/>
  <c r="AR107" i="14"/>
  <c r="AI107" i="14"/>
  <c r="AH107" i="14"/>
  <c r="AG107" i="14"/>
  <c r="AF107" i="14"/>
  <c r="AE107" i="14"/>
  <c r="AD107" i="14"/>
  <c r="AC107" i="14"/>
  <c r="X107" i="14"/>
  <c r="V107" i="14"/>
  <c r="T107" i="14"/>
  <c r="R107" i="14"/>
  <c r="AV106" i="14"/>
  <c r="AU106" i="14"/>
  <c r="AR106" i="14"/>
  <c r="AI106" i="14"/>
  <c r="AH106" i="14"/>
  <c r="AG106" i="14"/>
  <c r="AF106" i="14"/>
  <c r="AE106" i="14"/>
  <c r="AD106" i="14"/>
  <c r="AC106" i="14"/>
  <c r="X106" i="14"/>
  <c r="V106" i="14"/>
  <c r="T106" i="14"/>
  <c r="R106" i="14"/>
  <c r="AV105" i="14"/>
  <c r="AU105" i="14"/>
  <c r="AR105" i="14"/>
  <c r="AI105" i="14"/>
  <c r="AH105" i="14"/>
  <c r="AG105" i="14"/>
  <c r="AF105" i="14"/>
  <c r="AE105" i="14"/>
  <c r="AD105" i="14"/>
  <c r="AC105" i="14"/>
  <c r="X105" i="14"/>
  <c r="V105" i="14"/>
  <c r="T105" i="14"/>
  <c r="R105" i="14"/>
  <c r="AV104" i="14"/>
  <c r="AU104" i="14"/>
  <c r="AR104" i="14"/>
  <c r="AI104" i="14"/>
  <c r="AH104" i="14"/>
  <c r="AG104" i="14"/>
  <c r="AF104" i="14"/>
  <c r="AE104" i="14"/>
  <c r="AD104" i="14"/>
  <c r="AC104" i="14"/>
  <c r="X104" i="14"/>
  <c r="V104" i="14"/>
  <c r="T104" i="14"/>
  <c r="R104" i="14"/>
  <c r="AV103" i="14"/>
  <c r="AU103" i="14"/>
  <c r="AR103" i="14"/>
  <c r="AI103" i="14"/>
  <c r="AH103" i="14"/>
  <c r="AG103" i="14"/>
  <c r="AF103" i="14"/>
  <c r="AE103" i="14"/>
  <c r="AD103" i="14"/>
  <c r="AC103" i="14"/>
  <c r="X103" i="14"/>
  <c r="V103" i="14"/>
  <c r="T103" i="14"/>
  <c r="R103" i="14"/>
  <c r="AV102" i="14"/>
  <c r="AU102" i="14"/>
  <c r="AR102" i="14"/>
  <c r="AI102" i="14"/>
  <c r="AH102" i="14"/>
  <c r="AG102" i="14"/>
  <c r="AF102" i="14"/>
  <c r="AE102" i="14"/>
  <c r="AD102" i="14"/>
  <c r="AC102" i="14"/>
  <c r="X102" i="14"/>
  <c r="V102" i="14"/>
  <c r="T102" i="14"/>
  <c r="R102" i="14"/>
  <c r="AV101" i="14"/>
  <c r="AU101" i="14"/>
  <c r="AR101" i="14"/>
  <c r="AI101" i="14"/>
  <c r="AH101" i="14"/>
  <c r="AG101" i="14"/>
  <c r="AF101" i="14"/>
  <c r="AE101" i="14"/>
  <c r="AD101" i="14"/>
  <c r="AC101" i="14"/>
  <c r="X101" i="14"/>
  <c r="V101" i="14"/>
  <c r="T101" i="14"/>
  <c r="R101" i="14"/>
  <c r="AV100" i="14"/>
  <c r="AU100" i="14"/>
  <c r="AR100" i="14"/>
  <c r="AI100" i="14"/>
  <c r="AH100" i="14"/>
  <c r="AG100" i="14"/>
  <c r="AF100" i="14"/>
  <c r="AE100" i="14"/>
  <c r="AD100" i="14"/>
  <c r="AC100" i="14"/>
  <c r="X100" i="14"/>
  <c r="V100" i="14"/>
  <c r="T100" i="14"/>
  <c r="R100" i="14"/>
  <c r="AV99" i="14"/>
  <c r="AU99" i="14"/>
  <c r="AR99" i="14"/>
  <c r="AI99" i="14"/>
  <c r="AH99" i="14"/>
  <c r="AG99" i="14"/>
  <c r="AF99" i="14"/>
  <c r="AE99" i="14"/>
  <c r="AD99" i="14"/>
  <c r="AC99" i="14"/>
  <c r="X99" i="14"/>
  <c r="V99" i="14"/>
  <c r="T99" i="14"/>
  <c r="R99" i="14"/>
  <c r="AV98" i="14"/>
  <c r="AU98" i="14"/>
  <c r="AR98" i="14"/>
  <c r="AI98" i="14"/>
  <c r="AH98" i="14"/>
  <c r="AG98" i="14"/>
  <c r="AF98" i="14"/>
  <c r="AE98" i="14"/>
  <c r="AD98" i="14"/>
  <c r="AC98" i="14"/>
  <c r="X98" i="14"/>
  <c r="V98" i="14"/>
  <c r="T98" i="14"/>
  <c r="R98" i="14"/>
  <c r="AV97" i="14"/>
  <c r="AU97" i="14"/>
  <c r="AR97" i="14"/>
  <c r="AI97" i="14"/>
  <c r="AH97" i="14"/>
  <c r="AG97" i="14"/>
  <c r="AF97" i="14"/>
  <c r="AE97" i="14"/>
  <c r="AD97" i="14"/>
  <c r="AC97" i="14"/>
  <c r="X97" i="14"/>
  <c r="V97" i="14"/>
  <c r="T97" i="14"/>
  <c r="R97" i="14"/>
  <c r="AV96" i="14"/>
  <c r="AU96" i="14"/>
  <c r="AR96" i="14"/>
  <c r="AI96" i="14"/>
  <c r="AH96" i="14"/>
  <c r="AG96" i="14"/>
  <c r="AF96" i="14"/>
  <c r="AE96" i="14"/>
  <c r="AD96" i="14"/>
  <c r="AC96" i="14"/>
  <c r="X96" i="14"/>
  <c r="V96" i="14"/>
  <c r="T96" i="14"/>
  <c r="R96" i="14"/>
  <c r="AV95" i="14"/>
  <c r="AU95" i="14"/>
  <c r="AR95" i="14"/>
  <c r="AI95" i="14"/>
  <c r="AH95" i="14"/>
  <c r="AG95" i="14"/>
  <c r="AF95" i="14"/>
  <c r="AE95" i="14"/>
  <c r="AD95" i="14"/>
  <c r="AC95" i="14"/>
  <c r="X95" i="14"/>
  <c r="V95" i="14"/>
  <c r="T95" i="14"/>
  <c r="R95" i="14"/>
  <c r="AV94" i="14"/>
  <c r="AU94" i="14"/>
  <c r="AR94" i="14"/>
  <c r="AI94" i="14"/>
  <c r="AH94" i="14"/>
  <c r="AG94" i="14"/>
  <c r="AF94" i="14"/>
  <c r="AE94" i="14"/>
  <c r="AD94" i="14"/>
  <c r="AC94" i="14"/>
  <c r="X94" i="14"/>
  <c r="V94" i="14"/>
  <c r="T94" i="14"/>
  <c r="R94" i="14"/>
  <c r="AV93" i="14"/>
  <c r="AU93" i="14"/>
  <c r="AR93" i="14"/>
  <c r="AI93" i="14"/>
  <c r="AH93" i="14"/>
  <c r="AG93" i="14"/>
  <c r="AF93" i="14"/>
  <c r="AE93" i="14"/>
  <c r="AD93" i="14"/>
  <c r="AC93" i="14"/>
  <c r="X93" i="14"/>
  <c r="V93" i="14"/>
  <c r="T93" i="14"/>
  <c r="R93" i="14"/>
  <c r="AV92" i="14"/>
  <c r="AU92" i="14"/>
  <c r="AR92" i="14"/>
  <c r="AI92" i="14"/>
  <c r="AH92" i="14"/>
  <c r="AG92" i="14"/>
  <c r="AF92" i="14"/>
  <c r="AE92" i="14"/>
  <c r="AD92" i="14"/>
  <c r="AC92" i="14"/>
  <c r="X92" i="14"/>
  <c r="V92" i="14"/>
  <c r="T92" i="14"/>
  <c r="R92" i="14"/>
  <c r="AV91" i="14"/>
  <c r="AU91" i="14"/>
  <c r="AR91" i="14"/>
  <c r="AI91" i="14"/>
  <c r="AH91" i="14"/>
  <c r="AG91" i="14"/>
  <c r="AF91" i="14"/>
  <c r="AE91" i="14"/>
  <c r="AD91" i="14"/>
  <c r="AC91" i="14"/>
  <c r="X91" i="14"/>
  <c r="V91" i="14"/>
  <c r="T91" i="14"/>
  <c r="R91" i="14"/>
  <c r="AV90" i="14"/>
  <c r="AU90" i="14"/>
  <c r="AR90" i="14"/>
  <c r="AI90" i="14"/>
  <c r="AH90" i="14"/>
  <c r="AG90" i="14"/>
  <c r="AF90" i="14"/>
  <c r="AE90" i="14"/>
  <c r="AD90" i="14"/>
  <c r="AC90" i="14"/>
  <c r="X90" i="14"/>
  <c r="V90" i="14"/>
  <c r="T90" i="14"/>
  <c r="R90" i="14"/>
  <c r="AV89" i="14"/>
  <c r="AU89" i="14"/>
  <c r="AR89" i="14"/>
  <c r="AI89" i="14"/>
  <c r="AH89" i="14"/>
  <c r="AG89" i="14"/>
  <c r="AF89" i="14"/>
  <c r="AE89" i="14"/>
  <c r="AD89" i="14"/>
  <c r="AC89" i="14"/>
  <c r="X89" i="14"/>
  <c r="V89" i="14"/>
  <c r="T89" i="14"/>
  <c r="R89" i="14"/>
  <c r="AV88" i="14"/>
  <c r="AU88" i="14"/>
  <c r="AR88" i="14"/>
  <c r="AI88" i="14"/>
  <c r="AH88" i="14"/>
  <c r="AG88" i="14"/>
  <c r="AF88" i="14"/>
  <c r="AE88" i="14"/>
  <c r="AD88" i="14"/>
  <c r="AC88" i="14"/>
  <c r="X88" i="14"/>
  <c r="V88" i="14"/>
  <c r="T88" i="14"/>
  <c r="R88" i="14"/>
  <c r="AV87" i="14"/>
  <c r="AU87" i="14"/>
  <c r="AR87" i="14"/>
  <c r="AI87" i="14"/>
  <c r="AH87" i="14"/>
  <c r="AG87" i="14"/>
  <c r="AF87" i="14"/>
  <c r="AE87" i="14"/>
  <c r="AD87" i="14"/>
  <c r="AC87" i="14"/>
  <c r="X87" i="14"/>
  <c r="V87" i="14"/>
  <c r="T87" i="14"/>
  <c r="R87" i="14"/>
  <c r="AV86" i="14"/>
  <c r="AU86" i="14"/>
  <c r="AR86" i="14"/>
  <c r="AI86" i="14"/>
  <c r="AH86" i="14"/>
  <c r="AG86" i="14"/>
  <c r="AF86" i="14"/>
  <c r="AE86" i="14"/>
  <c r="AD86" i="14"/>
  <c r="AC86" i="14"/>
  <c r="X86" i="14"/>
  <c r="V86" i="14"/>
  <c r="T86" i="14"/>
  <c r="R86" i="14"/>
  <c r="AV85" i="14"/>
  <c r="AU85" i="14"/>
  <c r="AR85" i="14"/>
  <c r="AI85" i="14"/>
  <c r="AH85" i="14"/>
  <c r="AG85" i="14"/>
  <c r="AF85" i="14"/>
  <c r="AE85" i="14"/>
  <c r="AD85" i="14"/>
  <c r="AC85" i="14"/>
  <c r="X85" i="14"/>
  <c r="V85" i="14"/>
  <c r="T85" i="14"/>
  <c r="R85" i="14"/>
  <c r="AV84" i="14"/>
  <c r="AU84" i="14"/>
  <c r="AR84" i="14"/>
  <c r="AI84" i="14"/>
  <c r="AH84" i="14"/>
  <c r="AG84" i="14"/>
  <c r="AF84" i="14"/>
  <c r="AE84" i="14"/>
  <c r="AD84" i="14"/>
  <c r="AC84" i="14"/>
  <c r="X84" i="14"/>
  <c r="V84" i="14"/>
  <c r="T84" i="14"/>
  <c r="R84" i="14"/>
  <c r="AV83" i="14"/>
  <c r="AU83" i="14"/>
  <c r="AR83" i="14"/>
  <c r="AI83" i="14"/>
  <c r="AH83" i="14"/>
  <c r="AG83" i="14"/>
  <c r="AF83" i="14"/>
  <c r="AE83" i="14"/>
  <c r="AD83" i="14"/>
  <c r="AC83" i="14"/>
  <c r="X83" i="14"/>
  <c r="V83" i="14"/>
  <c r="T83" i="14"/>
  <c r="R83" i="14"/>
  <c r="AV82" i="14"/>
  <c r="AU82" i="14"/>
  <c r="AR82" i="14"/>
  <c r="AI82" i="14"/>
  <c r="AH82" i="14"/>
  <c r="AG82" i="14"/>
  <c r="AF82" i="14"/>
  <c r="AE82" i="14"/>
  <c r="AD82" i="14"/>
  <c r="AC82" i="14"/>
  <c r="X82" i="14"/>
  <c r="V82" i="14"/>
  <c r="T82" i="14"/>
  <c r="R82" i="14"/>
  <c r="AV81" i="14"/>
  <c r="AU81" i="14"/>
  <c r="AR81" i="14"/>
  <c r="AI81" i="14"/>
  <c r="AH81" i="14"/>
  <c r="AG81" i="14"/>
  <c r="AF81" i="14"/>
  <c r="AE81" i="14"/>
  <c r="AD81" i="14"/>
  <c r="AC81" i="14"/>
  <c r="X81" i="14"/>
  <c r="V81" i="14"/>
  <c r="T81" i="14"/>
  <c r="R81" i="14"/>
  <c r="AV80" i="14"/>
  <c r="AU80" i="14"/>
  <c r="AR80" i="14"/>
  <c r="AI80" i="14"/>
  <c r="AH80" i="14"/>
  <c r="AG80" i="14"/>
  <c r="AF80" i="14"/>
  <c r="AE80" i="14"/>
  <c r="AD80" i="14"/>
  <c r="AC80" i="14"/>
  <c r="X80" i="14"/>
  <c r="V80" i="14"/>
  <c r="T80" i="14"/>
  <c r="R80" i="14"/>
  <c r="AV79" i="14"/>
  <c r="AU79" i="14"/>
  <c r="AR79" i="14"/>
  <c r="AI79" i="14"/>
  <c r="AH79" i="14"/>
  <c r="AG79" i="14"/>
  <c r="AF79" i="14"/>
  <c r="AE79" i="14"/>
  <c r="AD79" i="14"/>
  <c r="AC79" i="14"/>
  <c r="X79" i="14"/>
  <c r="V79" i="14"/>
  <c r="T79" i="14"/>
  <c r="R79" i="14"/>
  <c r="AV78" i="14"/>
  <c r="AU78" i="14"/>
  <c r="AR78" i="14"/>
  <c r="AI78" i="14"/>
  <c r="AH78" i="14"/>
  <c r="AG78" i="14"/>
  <c r="AF78" i="14"/>
  <c r="AE78" i="14"/>
  <c r="AD78" i="14"/>
  <c r="AC78" i="14"/>
  <c r="X78" i="14"/>
  <c r="V78" i="14"/>
  <c r="T78" i="14"/>
  <c r="R78" i="14"/>
  <c r="AV77" i="14"/>
  <c r="AU77" i="14"/>
  <c r="AR77" i="14"/>
  <c r="AI77" i="14"/>
  <c r="AH77" i="14"/>
  <c r="AG77" i="14"/>
  <c r="AF77" i="14"/>
  <c r="AE77" i="14"/>
  <c r="AD77" i="14"/>
  <c r="AC77" i="14"/>
  <c r="X77" i="14"/>
  <c r="V77" i="14"/>
  <c r="T77" i="14"/>
  <c r="R77" i="14"/>
  <c r="AV76" i="14"/>
  <c r="AU76" i="14"/>
  <c r="AR76" i="14"/>
  <c r="AI76" i="14"/>
  <c r="AH76" i="14"/>
  <c r="AG76" i="14"/>
  <c r="AF76" i="14"/>
  <c r="AE76" i="14"/>
  <c r="AD76" i="14"/>
  <c r="AC76" i="14"/>
  <c r="X76" i="14"/>
  <c r="V76" i="14"/>
  <c r="T76" i="14"/>
  <c r="R76" i="14"/>
  <c r="AV75" i="14"/>
  <c r="AU75" i="14"/>
  <c r="AR75" i="14"/>
  <c r="AI75" i="14"/>
  <c r="AH75" i="14"/>
  <c r="AG75" i="14"/>
  <c r="AF75" i="14"/>
  <c r="AE75" i="14"/>
  <c r="AD75" i="14"/>
  <c r="AC75" i="14"/>
  <c r="X75" i="14"/>
  <c r="V75" i="14"/>
  <c r="T75" i="14"/>
  <c r="R75" i="14"/>
  <c r="AV74" i="14"/>
  <c r="AU74" i="14"/>
  <c r="AR74" i="14"/>
  <c r="AI74" i="14"/>
  <c r="AH74" i="14"/>
  <c r="AG74" i="14"/>
  <c r="AF74" i="14"/>
  <c r="AE74" i="14"/>
  <c r="AD74" i="14"/>
  <c r="AC74" i="14"/>
  <c r="X74" i="14"/>
  <c r="V74" i="14"/>
  <c r="T74" i="14"/>
  <c r="R74" i="14"/>
  <c r="AV73" i="14"/>
  <c r="AU73" i="14"/>
  <c r="AR73" i="14"/>
  <c r="AI73" i="14"/>
  <c r="AH73" i="14"/>
  <c r="AG73" i="14"/>
  <c r="AF73" i="14"/>
  <c r="AE73" i="14"/>
  <c r="AD73" i="14"/>
  <c r="AC73" i="14"/>
  <c r="X73" i="14"/>
  <c r="V73" i="14"/>
  <c r="T73" i="14"/>
  <c r="R73" i="14"/>
  <c r="AV72" i="14"/>
  <c r="AU72" i="14"/>
  <c r="AR72" i="14"/>
  <c r="AI72" i="14"/>
  <c r="AH72" i="14"/>
  <c r="AG72" i="14"/>
  <c r="AF72" i="14"/>
  <c r="AE72" i="14"/>
  <c r="AD72" i="14"/>
  <c r="AC72" i="14"/>
  <c r="X72" i="14"/>
  <c r="V72" i="14"/>
  <c r="T72" i="14"/>
  <c r="R72" i="14"/>
  <c r="AV71" i="14"/>
  <c r="AU71" i="14"/>
  <c r="AR71" i="14"/>
  <c r="AI71" i="14"/>
  <c r="AH71" i="14"/>
  <c r="AG71" i="14"/>
  <c r="AF71" i="14"/>
  <c r="AE71" i="14"/>
  <c r="AD71" i="14"/>
  <c r="AC71" i="14"/>
  <c r="X71" i="14"/>
  <c r="V71" i="14"/>
  <c r="T71" i="14"/>
  <c r="R71" i="14"/>
  <c r="AV70" i="14"/>
  <c r="AU70" i="14"/>
  <c r="AR70" i="14"/>
  <c r="AI70" i="14"/>
  <c r="AH70" i="14"/>
  <c r="AG70" i="14"/>
  <c r="AF70" i="14"/>
  <c r="AE70" i="14"/>
  <c r="AD70" i="14"/>
  <c r="AC70" i="14"/>
  <c r="X70" i="14"/>
  <c r="V70" i="14"/>
  <c r="T70" i="14"/>
  <c r="R70" i="14"/>
  <c r="AV69" i="14"/>
  <c r="AU69" i="14"/>
  <c r="AR69" i="14"/>
  <c r="AI69" i="14"/>
  <c r="AH69" i="14"/>
  <c r="AG69" i="14"/>
  <c r="AF69" i="14"/>
  <c r="AE69" i="14"/>
  <c r="AD69" i="14"/>
  <c r="AC69" i="14"/>
  <c r="X69" i="14"/>
  <c r="V69" i="14"/>
  <c r="T69" i="14"/>
  <c r="R69" i="14"/>
  <c r="AV68" i="14"/>
  <c r="AU68" i="14"/>
  <c r="AR68" i="14"/>
  <c r="AI68" i="14"/>
  <c r="AH68" i="14"/>
  <c r="AG68" i="14"/>
  <c r="AF68" i="14"/>
  <c r="AE68" i="14"/>
  <c r="AD68" i="14"/>
  <c r="AC68" i="14"/>
  <c r="X68" i="14"/>
  <c r="V68" i="14"/>
  <c r="T68" i="14"/>
  <c r="R68" i="14"/>
  <c r="AV67" i="14"/>
  <c r="AU67" i="14"/>
  <c r="AR67" i="14"/>
  <c r="AI67" i="14"/>
  <c r="AH67" i="14"/>
  <c r="AG67" i="14"/>
  <c r="AF67" i="14"/>
  <c r="AE67" i="14"/>
  <c r="AD67" i="14"/>
  <c r="AC67" i="14"/>
  <c r="X67" i="14"/>
  <c r="V67" i="14"/>
  <c r="T67" i="14"/>
  <c r="R67" i="14"/>
  <c r="AV66" i="14"/>
  <c r="AU66" i="14"/>
  <c r="AR66" i="14"/>
  <c r="AI66" i="14"/>
  <c r="AH66" i="14"/>
  <c r="AG66" i="14"/>
  <c r="AF66" i="14"/>
  <c r="AE66" i="14"/>
  <c r="AD66" i="14"/>
  <c r="AC66" i="14"/>
  <c r="X66" i="14"/>
  <c r="V66" i="14"/>
  <c r="T66" i="14"/>
  <c r="R66" i="14"/>
  <c r="AV65" i="14"/>
  <c r="AU65" i="14"/>
  <c r="AR65" i="14"/>
  <c r="AI65" i="14"/>
  <c r="AH65" i="14"/>
  <c r="AG65" i="14"/>
  <c r="AF65" i="14"/>
  <c r="AE65" i="14"/>
  <c r="AD65" i="14"/>
  <c r="AC65" i="14"/>
  <c r="X65" i="14"/>
  <c r="V65" i="14"/>
  <c r="T65" i="14"/>
  <c r="R65" i="14"/>
  <c r="AV64" i="14"/>
  <c r="AU64" i="14"/>
  <c r="AR64" i="14"/>
  <c r="AI64" i="14"/>
  <c r="AH64" i="14"/>
  <c r="AG64" i="14"/>
  <c r="AF64" i="14"/>
  <c r="AE64" i="14"/>
  <c r="AD64" i="14"/>
  <c r="AC64" i="14"/>
  <c r="X64" i="14"/>
  <c r="V64" i="14"/>
  <c r="T64" i="14"/>
  <c r="R64" i="14"/>
  <c r="AV63" i="14"/>
  <c r="AU63" i="14"/>
  <c r="AR63" i="14"/>
  <c r="AI63" i="14"/>
  <c r="AH63" i="14"/>
  <c r="AG63" i="14"/>
  <c r="AF63" i="14"/>
  <c r="AE63" i="14"/>
  <c r="AD63" i="14"/>
  <c r="AC63" i="14"/>
  <c r="X63" i="14"/>
  <c r="V63" i="14"/>
  <c r="T63" i="14"/>
  <c r="R63" i="14"/>
  <c r="AV62" i="14"/>
  <c r="AU62" i="14"/>
  <c r="AR62" i="14"/>
  <c r="AI62" i="14"/>
  <c r="AH62" i="14"/>
  <c r="AG62" i="14"/>
  <c r="AF62" i="14"/>
  <c r="AE62" i="14"/>
  <c r="AD62" i="14"/>
  <c r="AC62" i="14"/>
  <c r="X62" i="14"/>
  <c r="V62" i="14"/>
  <c r="T62" i="14"/>
  <c r="R62" i="14"/>
  <c r="AV61" i="14"/>
  <c r="AU61" i="14"/>
  <c r="AR61" i="14"/>
  <c r="AI61" i="14"/>
  <c r="AH61" i="14"/>
  <c r="AG61" i="14"/>
  <c r="AF61" i="14"/>
  <c r="AE61" i="14"/>
  <c r="AD61" i="14"/>
  <c r="AC61" i="14"/>
  <c r="X61" i="14"/>
  <c r="V61" i="14"/>
  <c r="T61" i="14"/>
  <c r="R61" i="14"/>
  <c r="AV60" i="14"/>
  <c r="AU60" i="14"/>
  <c r="AR60" i="14"/>
  <c r="AI60" i="14"/>
  <c r="AH60" i="14"/>
  <c r="AG60" i="14"/>
  <c r="AF60" i="14"/>
  <c r="AE60" i="14"/>
  <c r="AD60" i="14"/>
  <c r="AC60" i="14"/>
  <c r="X60" i="14"/>
  <c r="V60" i="14"/>
  <c r="T60" i="14"/>
  <c r="R60" i="14"/>
  <c r="AV59" i="14"/>
  <c r="AU59" i="14"/>
  <c r="AR59" i="14"/>
  <c r="AI59" i="14"/>
  <c r="AH59" i="14"/>
  <c r="AG59" i="14"/>
  <c r="AF59" i="14"/>
  <c r="AE59" i="14"/>
  <c r="AD59" i="14"/>
  <c r="AC59" i="14"/>
  <c r="X59" i="14"/>
  <c r="V59" i="14"/>
  <c r="T59" i="14"/>
  <c r="R59" i="14"/>
  <c r="AV58" i="14"/>
  <c r="AU58" i="14"/>
  <c r="AR58" i="14"/>
  <c r="AI58" i="14"/>
  <c r="AH58" i="14"/>
  <c r="AG58" i="14"/>
  <c r="AF58" i="14"/>
  <c r="AE58" i="14"/>
  <c r="AD58" i="14"/>
  <c r="AC58" i="14"/>
  <c r="X58" i="14"/>
  <c r="V58" i="14"/>
  <c r="T58" i="14"/>
  <c r="R58" i="14"/>
  <c r="AV57" i="14"/>
  <c r="AU57" i="14"/>
  <c r="AR57" i="14"/>
  <c r="AI57" i="14"/>
  <c r="AH57" i="14"/>
  <c r="AG57" i="14"/>
  <c r="AF57" i="14"/>
  <c r="AE57" i="14"/>
  <c r="AD57" i="14"/>
  <c r="AC57" i="14"/>
  <c r="X57" i="14"/>
  <c r="V57" i="14"/>
  <c r="T57" i="14"/>
  <c r="R57" i="14"/>
  <c r="AV56" i="14"/>
  <c r="AU56" i="14"/>
  <c r="AR56" i="14"/>
  <c r="AI56" i="14"/>
  <c r="AH56" i="14"/>
  <c r="AG56" i="14"/>
  <c r="AF56" i="14"/>
  <c r="AE56" i="14"/>
  <c r="AD56" i="14"/>
  <c r="AC56" i="14"/>
  <c r="X56" i="14"/>
  <c r="V56" i="14"/>
  <c r="T56" i="14"/>
  <c r="R56" i="14"/>
  <c r="AV55" i="14"/>
  <c r="AU55" i="14"/>
  <c r="AR55" i="14"/>
  <c r="AI55" i="14"/>
  <c r="AH55" i="14"/>
  <c r="AG55" i="14"/>
  <c r="AF55" i="14"/>
  <c r="AE55" i="14"/>
  <c r="AD55" i="14"/>
  <c r="AC55" i="14"/>
  <c r="X55" i="14"/>
  <c r="V55" i="14"/>
  <c r="T55" i="14"/>
  <c r="R55" i="14"/>
  <c r="AV54" i="14"/>
  <c r="AU54" i="14"/>
  <c r="AR54" i="14"/>
  <c r="AI54" i="14"/>
  <c r="AH54" i="14"/>
  <c r="AG54" i="14"/>
  <c r="AF54" i="14"/>
  <c r="AE54" i="14"/>
  <c r="AD54" i="14"/>
  <c r="AC54" i="14"/>
  <c r="X54" i="14"/>
  <c r="V54" i="14"/>
  <c r="T54" i="14"/>
  <c r="R54" i="14"/>
  <c r="AV53" i="14"/>
  <c r="AU53" i="14"/>
  <c r="AR53" i="14"/>
  <c r="AI53" i="14"/>
  <c r="AH53" i="14"/>
  <c r="AG53" i="14"/>
  <c r="AF53" i="14"/>
  <c r="AE53" i="14"/>
  <c r="AD53" i="14"/>
  <c r="AC53" i="14"/>
  <c r="X53" i="14"/>
  <c r="V53" i="14"/>
  <c r="T53" i="14"/>
  <c r="R53" i="14"/>
  <c r="AV52" i="14"/>
  <c r="AU52" i="14"/>
  <c r="AR52" i="14"/>
  <c r="AI52" i="14"/>
  <c r="AH52" i="14"/>
  <c r="AG52" i="14"/>
  <c r="AF52" i="14"/>
  <c r="AE52" i="14"/>
  <c r="AD52" i="14"/>
  <c r="AC52" i="14"/>
  <c r="X52" i="14"/>
  <c r="V52" i="14"/>
  <c r="T52" i="14"/>
  <c r="R52" i="14"/>
  <c r="AV51" i="14"/>
  <c r="AU51" i="14"/>
  <c r="AR51" i="14"/>
  <c r="AI51" i="14"/>
  <c r="AH51" i="14"/>
  <c r="AG51" i="14"/>
  <c r="AF51" i="14"/>
  <c r="AE51" i="14"/>
  <c r="AD51" i="14"/>
  <c r="AC51" i="14"/>
  <c r="X51" i="14"/>
  <c r="V51" i="14"/>
  <c r="T51" i="14"/>
  <c r="R51" i="14"/>
  <c r="AV50" i="14"/>
  <c r="AU50" i="14"/>
  <c r="AR50" i="14"/>
  <c r="AI50" i="14"/>
  <c r="AH50" i="14"/>
  <c r="AG50" i="14"/>
  <c r="AF50" i="14"/>
  <c r="AE50" i="14"/>
  <c r="AD50" i="14"/>
  <c r="AC50" i="14"/>
  <c r="X50" i="14"/>
  <c r="V50" i="14"/>
  <c r="T50" i="14"/>
  <c r="R50" i="14"/>
  <c r="AV49" i="14"/>
  <c r="AU49" i="14"/>
  <c r="AR49" i="14"/>
  <c r="AI49" i="14"/>
  <c r="AH49" i="14"/>
  <c r="AG49" i="14"/>
  <c r="AF49" i="14"/>
  <c r="AE49" i="14"/>
  <c r="AD49" i="14"/>
  <c r="AC49" i="14"/>
  <c r="X49" i="14"/>
  <c r="V49" i="14"/>
  <c r="T49" i="14"/>
  <c r="R49" i="14"/>
  <c r="AV48" i="14"/>
  <c r="AU48" i="14"/>
  <c r="AR48" i="14"/>
  <c r="AI48" i="14"/>
  <c r="AH48" i="14"/>
  <c r="AG48" i="14"/>
  <c r="AF48" i="14"/>
  <c r="AE48" i="14"/>
  <c r="AD48" i="14"/>
  <c r="AC48" i="14"/>
  <c r="X48" i="14"/>
  <c r="V48" i="14"/>
  <c r="T48" i="14"/>
  <c r="R48" i="14"/>
  <c r="AV47" i="14"/>
  <c r="AU47" i="14"/>
  <c r="AR47" i="14"/>
  <c r="AI47" i="14"/>
  <c r="AH47" i="14"/>
  <c r="AG47" i="14"/>
  <c r="AF47" i="14"/>
  <c r="AE47" i="14"/>
  <c r="AD47" i="14"/>
  <c r="AC47" i="14"/>
  <c r="X47" i="14"/>
  <c r="V47" i="14"/>
  <c r="T47" i="14"/>
  <c r="R47" i="14"/>
  <c r="AV46" i="14"/>
  <c r="AU46" i="14"/>
  <c r="AR46" i="14"/>
  <c r="AI46" i="14"/>
  <c r="AH46" i="14"/>
  <c r="AG46" i="14"/>
  <c r="AF46" i="14"/>
  <c r="AE46" i="14"/>
  <c r="AD46" i="14"/>
  <c r="AC46" i="14"/>
  <c r="X46" i="14"/>
  <c r="V46" i="14"/>
  <c r="T46" i="14"/>
  <c r="R46" i="14"/>
  <c r="AV45" i="14"/>
  <c r="AU45" i="14"/>
  <c r="AR45" i="14"/>
  <c r="AI45" i="14"/>
  <c r="AH45" i="14"/>
  <c r="AG45" i="14"/>
  <c r="AF45" i="14"/>
  <c r="AE45" i="14"/>
  <c r="AD45" i="14"/>
  <c r="AC45" i="14"/>
  <c r="X45" i="14"/>
  <c r="V45" i="14"/>
  <c r="T45" i="14"/>
  <c r="R45" i="14"/>
  <c r="AV44" i="14"/>
  <c r="AU44" i="14"/>
  <c r="AR44" i="14"/>
  <c r="AI44" i="14"/>
  <c r="AH44" i="14"/>
  <c r="AG44" i="14"/>
  <c r="AF44" i="14"/>
  <c r="AE44" i="14"/>
  <c r="AD44" i="14"/>
  <c r="AC44" i="14"/>
  <c r="X44" i="14"/>
  <c r="V44" i="14"/>
  <c r="T44" i="14"/>
  <c r="R44" i="14"/>
  <c r="AV43" i="14"/>
  <c r="AU43" i="14"/>
  <c r="AR43" i="14"/>
  <c r="AI43" i="14"/>
  <c r="AH43" i="14"/>
  <c r="AG43" i="14"/>
  <c r="AF43" i="14"/>
  <c r="AE43" i="14"/>
  <c r="AD43" i="14"/>
  <c r="AC43" i="14"/>
  <c r="X43" i="14"/>
  <c r="V43" i="14"/>
  <c r="T43" i="14"/>
  <c r="R43" i="14"/>
  <c r="AV42" i="14"/>
  <c r="AU42" i="14"/>
  <c r="AR42" i="14"/>
  <c r="AI42" i="14"/>
  <c r="AH42" i="14"/>
  <c r="AG42" i="14"/>
  <c r="AF42" i="14"/>
  <c r="AE42" i="14"/>
  <c r="AD42" i="14"/>
  <c r="AC42" i="14"/>
  <c r="X42" i="14"/>
  <c r="V42" i="14"/>
  <c r="T42" i="14"/>
  <c r="R42" i="14"/>
  <c r="AV41" i="14"/>
  <c r="AU41" i="14"/>
  <c r="AR41" i="14"/>
  <c r="AI41" i="14"/>
  <c r="AH41" i="14"/>
  <c r="AG41" i="14"/>
  <c r="AF41" i="14"/>
  <c r="AE41" i="14"/>
  <c r="AD41" i="14"/>
  <c r="AC41" i="14"/>
  <c r="X41" i="14"/>
  <c r="V41" i="14"/>
  <c r="T41" i="14"/>
  <c r="R41" i="14"/>
  <c r="AV40" i="14"/>
  <c r="AU40" i="14"/>
  <c r="AR40" i="14"/>
  <c r="AI40" i="14"/>
  <c r="AH40" i="14"/>
  <c r="AG40" i="14"/>
  <c r="AF40" i="14"/>
  <c r="AE40" i="14"/>
  <c r="AD40" i="14"/>
  <c r="AC40" i="14"/>
  <c r="X40" i="14"/>
  <c r="V40" i="14"/>
  <c r="T40" i="14"/>
  <c r="R40" i="14"/>
  <c r="AV39" i="14"/>
  <c r="AU39" i="14"/>
  <c r="AR39" i="14"/>
  <c r="AI39" i="14"/>
  <c r="AH39" i="14"/>
  <c r="AG39" i="14"/>
  <c r="AF39" i="14"/>
  <c r="AE39" i="14"/>
  <c r="AD39" i="14"/>
  <c r="AC39" i="14"/>
  <c r="X39" i="14"/>
  <c r="V39" i="14"/>
  <c r="T39" i="14"/>
  <c r="R39" i="14"/>
  <c r="AV38" i="14"/>
  <c r="AU38" i="14"/>
  <c r="AR38" i="14"/>
  <c r="AI38" i="14"/>
  <c r="AH38" i="14"/>
  <c r="AG38" i="14"/>
  <c r="AF38" i="14"/>
  <c r="AE38" i="14"/>
  <c r="AD38" i="14"/>
  <c r="AC38" i="14"/>
  <c r="X38" i="14"/>
  <c r="V38" i="14"/>
  <c r="T38" i="14"/>
  <c r="R38" i="14"/>
  <c r="AV37" i="14"/>
  <c r="AU37" i="14"/>
  <c r="AR37" i="14"/>
  <c r="AI37" i="14"/>
  <c r="AH37" i="14"/>
  <c r="AG37" i="14"/>
  <c r="AF37" i="14"/>
  <c r="AE37" i="14"/>
  <c r="AD37" i="14"/>
  <c r="AC37" i="14"/>
  <c r="X37" i="14"/>
  <c r="V37" i="14"/>
  <c r="T37" i="14"/>
  <c r="R37" i="14"/>
  <c r="AV36" i="14"/>
  <c r="AU36" i="14"/>
  <c r="AR36" i="14"/>
  <c r="AI36" i="14"/>
  <c r="AH36" i="14"/>
  <c r="AG36" i="14"/>
  <c r="AF36" i="14"/>
  <c r="AE36" i="14"/>
  <c r="AD36" i="14"/>
  <c r="AC36" i="14"/>
  <c r="X36" i="14"/>
  <c r="V36" i="14"/>
  <c r="T36" i="14"/>
  <c r="R36" i="14"/>
  <c r="AV35" i="14"/>
  <c r="AU35" i="14"/>
  <c r="AR35" i="14"/>
  <c r="AI35" i="14"/>
  <c r="AH35" i="14"/>
  <c r="AG35" i="14"/>
  <c r="AF35" i="14"/>
  <c r="AE35" i="14"/>
  <c r="AD35" i="14"/>
  <c r="AC35" i="14"/>
  <c r="X35" i="14"/>
  <c r="V35" i="14"/>
  <c r="T35" i="14"/>
  <c r="R35" i="14"/>
  <c r="AV34" i="14"/>
  <c r="AU34" i="14"/>
  <c r="AR34" i="14"/>
  <c r="AI34" i="14"/>
  <c r="AH34" i="14"/>
  <c r="AG34" i="14"/>
  <c r="AF34" i="14"/>
  <c r="AE34" i="14"/>
  <c r="AD34" i="14"/>
  <c r="AC34" i="14"/>
  <c r="X34" i="14"/>
  <c r="V34" i="14"/>
  <c r="T34" i="14"/>
  <c r="R34" i="14"/>
  <c r="AV33" i="14"/>
  <c r="AU33" i="14"/>
  <c r="AR33" i="14"/>
  <c r="AI33" i="14"/>
  <c r="AH33" i="14"/>
  <c r="AG33" i="14"/>
  <c r="AF33" i="14"/>
  <c r="AE33" i="14"/>
  <c r="AD33" i="14"/>
  <c r="AC33" i="14"/>
  <c r="X33" i="14"/>
  <c r="V33" i="14"/>
  <c r="T33" i="14"/>
  <c r="R33" i="14"/>
  <c r="AV32" i="14"/>
  <c r="AU32" i="14"/>
  <c r="AR32" i="14"/>
  <c r="AI32" i="14"/>
  <c r="AH32" i="14"/>
  <c r="AG32" i="14"/>
  <c r="AF32" i="14"/>
  <c r="AE32" i="14"/>
  <c r="AD32" i="14"/>
  <c r="AC32" i="14"/>
  <c r="X32" i="14"/>
  <c r="V32" i="14"/>
  <c r="T32" i="14"/>
  <c r="R32" i="14"/>
  <c r="AV31" i="14"/>
  <c r="AU31" i="14"/>
  <c r="AR31" i="14"/>
  <c r="AI31" i="14"/>
  <c r="AH31" i="14"/>
  <c r="AG31" i="14"/>
  <c r="AF31" i="14"/>
  <c r="AE31" i="14"/>
  <c r="AD31" i="14"/>
  <c r="AC31" i="14"/>
  <c r="X31" i="14"/>
  <c r="V31" i="14"/>
  <c r="T31" i="14"/>
  <c r="R31" i="14"/>
  <c r="AV30" i="14"/>
  <c r="AU30" i="14"/>
  <c r="AR30" i="14"/>
  <c r="AI30" i="14"/>
  <c r="AH30" i="14"/>
  <c r="AG30" i="14"/>
  <c r="AF30" i="14"/>
  <c r="AE30" i="14"/>
  <c r="AD30" i="14"/>
  <c r="AC30" i="14"/>
  <c r="X30" i="14"/>
  <c r="V30" i="14"/>
  <c r="T30" i="14"/>
  <c r="R30" i="14"/>
  <c r="AV29" i="14"/>
  <c r="AU29" i="14"/>
  <c r="AR29" i="14"/>
  <c r="AI29" i="14"/>
  <c r="AH29" i="14"/>
  <c r="AG29" i="14"/>
  <c r="AF29" i="14"/>
  <c r="AE29" i="14"/>
  <c r="AD29" i="14"/>
  <c r="AC29" i="14"/>
  <c r="X29" i="14"/>
  <c r="V29" i="14"/>
  <c r="T29" i="14"/>
  <c r="R29" i="14"/>
  <c r="AV28" i="14"/>
  <c r="AU28" i="14"/>
  <c r="AR28" i="14"/>
  <c r="AI28" i="14"/>
  <c r="AH28" i="14"/>
  <c r="AG28" i="14"/>
  <c r="AF28" i="14"/>
  <c r="AE28" i="14"/>
  <c r="AD28" i="14"/>
  <c r="AC28" i="14"/>
  <c r="X28" i="14"/>
  <c r="V28" i="14"/>
  <c r="T28" i="14"/>
  <c r="R28" i="14"/>
  <c r="AV27" i="14"/>
  <c r="AU27" i="14"/>
  <c r="AR27" i="14"/>
  <c r="AI27" i="14"/>
  <c r="AH27" i="14"/>
  <c r="AG27" i="14"/>
  <c r="AF27" i="14"/>
  <c r="AE27" i="14"/>
  <c r="AD27" i="14"/>
  <c r="AC27" i="14"/>
  <c r="X27" i="14"/>
  <c r="V27" i="14"/>
  <c r="T27" i="14"/>
  <c r="R27" i="14"/>
  <c r="AV26" i="14"/>
  <c r="AU26" i="14"/>
  <c r="AR26" i="14"/>
  <c r="AI26" i="14"/>
  <c r="AH26" i="14"/>
  <c r="AG26" i="14"/>
  <c r="AF26" i="14"/>
  <c r="AE26" i="14"/>
  <c r="AD26" i="14"/>
  <c r="AC26" i="14"/>
  <c r="X26" i="14"/>
  <c r="V26" i="14"/>
  <c r="T26" i="14"/>
  <c r="R26" i="14"/>
  <c r="AV25" i="14"/>
  <c r="AU25" i="14"/>
  <c r="AR25" i="14"/>
  <c r="AI25" i="14"/>
  <c r="AH25" i="14"/>
  <c r="AG25" i="14"/>
  <c r="AF25" i="14"/>
  <c r="AE25" i="14"/>
  <c r="AD25" i="14"/>
  <c r="AC25" i="14"/>
  <c r="X25" i="14"/>
  <c r="V25" i="14"/>
  <c r="T25" i="14"/>
  <c r="R25" i="14"/>
  <c r="AV24" i="14"/>
  <c r="AU24" i="14"/>
  <c r="AR24" i="14"/>
  <c r="AI24" i="14"/>
  <c r="AH24" i="14"/>
  <c r="AG24" i="14"/>
  <c r="AF24" i="14"/>
  <c r="AE24" i="14"/>
  <c r="AD24" i="14"/>
  <c r="AC24" i="14"/>
  <c r="X24" i="14"/>
  <c r="V24" i="14"/>
  <c r="T24" i="14"/>
  <c r="R24" i="14"/>
  <c r="AV23" i="14"/>
  <c r="AU23" i="14"/>
  <c r="AR23" i="14"/>
  <c r="AI23" i="14"/>
  <c r="AH23" i="14"/>
  <c r="AG23" i="14"/>
  <c r="AF23" i="14"/>
  <c r="AE23" i="14"/>
  <c r="AD23" i="14"/>
  <c r="AC23" i="14"/>
  <c r="X23" i="14"/>
  <c r="V23" i="14"/>
  <c r="T23" i="14"/>
  <c r="R23" i="14"/>
  <c r="AV22" i="14"/>
  <c r="AU22" i="14"/>
  <c r="AR22" i="14"/>
  <c r="AI22" i="14"/>
  <c r="AH22" i="14"/>
  <c r="AG22" i="14"/>
  <c r="AF22" i="14"/>
  <c r="AE22" i="14"/>
  <c r="AD22" i="14"/>
  <c r="AC22" i="14"/>
  <c r="X22" i="14"/>
  <c r="V22" i="14"/>
  <c r="T22" i="14"/>
  <c r="R22" i="14"/>
  <c r="AV21" i="14"/>
  <c r="AU21" i="14"/>
  <c r="AR21" i="14"/>
  <c r="AI21" i="14"/>
  <c r="AH21" i="14"/>
  <c r="AG21" i="14"/>
  <c r="AF21" i="14"/>
  <c r="AE21" i="14"/>
  <c r="AD21" i="14"/>
  <c r="AC21" i="14"/>
  <c r="X21" i="14"/>
  <c r="V21" i="14"/>
  <c r="T21" i="14"/>
  <c r="R21" i="14"/>
  <c r="AV20" i="14"/>
  <c r="AU20" i="14"/>
  <c r="AR20" i="14"/>
  <c r="AI20" i="14"/>
  <c r="AH20" i="14"/>
  <c r="AG20" i="14"/>
  <c r="AF20" i="14"/>
  <c r="AE20" i="14"/>
  <c r="AD20" i="14"/>
  <c r="AC20" i="14"/>
  <c r="X20" i="14"/>
  <c r="V20" i="14"/>
  <c r="T20" i="14"/>
  <c r="R20" i="14"/>
  <c r="AV19" i="14"/>
  <c r="AU19" i="14"/>
  <c r="AR19" i="14"/>
  <c r="AI19" i="14"/>
  <c r="AH19" i="14"/>
  <c r="AG19" i="14"/>
  <c r="AF19" i="14"/>
  <c r="AE19" i="14"/>
  <c r="AD19" i="14"/>
  <c r="AC19" i="14"/>
  <c r="X19" i="14"/>
  <c r="V19" i="14"/>
  <c r="T19" i="14"/>
  <c r="R19" i="14"/>
  <c r="AV18" i="14"/>
  <c r="AU18" i="14"/>
  <c r="AR18" i="14"/>
  <c r="AI18" i="14"/>
  <c r="AH18" i="14"/>
  <c r="AG18" i="14"/>
  <c r="AF18" i="14"/>
  <c r="AE18" i="14"/>
  <c r="AD18" i="14"/>
  <c r="AC18" i="14"/>
  <c r="X18" i="14"/>
  <c r="V18" i="14"/>
  <c r="T18" i="14"/>
  <c r="R18" i="14"/>
  <c r="AV17" i="14"/>
  <c r="AU17" i="14"/>
  <c r="AR17" i="14"/>
  <c r="AI17" i="14"/>
  <c r="AH17" i="14"/>
  <c r="AG17" i="14"/>
  <c r="AF17" i="14"/>
  <c r="AE17" i="14"/>
  <c r="AD17" i="14"/>
  <c r="AC17" i="14"/>
  <c r="X17" i="14"/>
  <c r="V17" i="14"/>
  <c r="T17" i="14"/>
  <c r="R17" i="14"/>
  <c r="AV16" i="14"/>
  <c r="AU16" i="14"/>
  <c r="AR16" i="14"/>
  <c r="AI16" i="14"/>
  <c r="AH16" i="14"/>
  <c r="AG16" i="14"/>
  <c r="AF16" i="14"/>
  <c r="AE16" i="14"/>
  <c r="AD16" i="14"/>
  <c r="AC16" i="14"/>
  <c r="X16" i="14"/>
  <c r="V16" i="14"/>
  <c r="T16" i="14"/>
  <c r="R16" i="14"/>
  <c r="AV15" i="14"/>
  <c r="AU15" i="14"/>
  <c r="AR15" i="14"/>
  <c r="AI15" i="14"/>
  <c r="AH15" i="14"/>
  <c r="AG15" i="14"/>
  <c r="AF15" i="14"/>
  <c r="AE15" i="14"/>
  <c r="AD15" i="14"/>
  <c r="AC15" i="14"/>
  <c r="X15" i="14"/>
  <c r="V15" i="14"/>
  <c r="T15" i="14"/>
  <c r="R15" i="14"/>
  <c r="AV14" i="14"/>
  <c r="AU14" i="14"/>
  <c r="AR14" i="14"/>
  <c r="AI14" i="14"/>
  <c r="AH14" i="14"/>
  <c r="AG14" i="14"/>
  <c r="AF14" i="14"/>
  <c r="AE14" i="14"/>
  <c r="AD14" i="14"/>
  <c r="AC14" i="14"/>
  <c r="X14" i="14"/>
  <c r="V14" i="14"/>
  <c r="T14" i="14"/>
  <c r="R14" i="14"/>
  <c r="AV13" i="14"/>
  <c r="AU13" i="14"/>
  <c r="AR13" i="14"/>
  <c r="AI13" i="14"/>
  <c r="AH13" i="14"/>
  <c r="AG13" i="14"/>
  <c r="AF13" i="14"/>
  <c r="AE13" i="14"/>
  <c r="AD13" i="14"/>
  <c r="AC13" i="14"/>
  <c r="X13" i="14"/>
  <c r="V13" i="14"/>
  <c r="T13" i="14"/>
  <c r="R13" i="14"/>
  <c r="AV12" i="14"/>
  <c r="AU12" i="14"/>
  <c r="AR12" i="14"/>
  <c r="AI12" i="14"/>
  <c r="AH12" i="14"/>
  <c r="AG12" i="14"/>
  <c r="AF12" i="14"/>
  <c r="AE12" i="14"/>
  <c r="AD12" i="14"/>
  <c r="AC12" i="14"/>
  <c r="X12" i="14"/>
  <c r="V12" i="14"/>
  <c r="T12" i="14"/>
  <c r="R12" i="14"/>
  <c r="AV11" i="14"/>
  <c r="AU11" i="14"/>
  <c r="AR11" i="14"/>
  <c r="AI11" i="14"/>
  <c r="AH11" i="14"/>
  <c r="AG11" i="14"/>
  <c r="AF11" i="14"/>
  <c r="AE11" i="14"/>
  <c r="AD11" i="14"/>
  <c r="AC11" i="14"/>
  <c r="X11" i="14"/>
  <c r="V11" i="14"/>
  <c r="T11" i="14"/>
  <c r="R11" i="14"/>
  <c r="AV10" i="14"/>
  <c r="AU10" i="14"/>
  <c r="AR10" i="14"/>
  <c r="AI10" i="14"/>
  <c r="AH10" i="14"/>
  <c r="AG10" i="14"/>
  <c r="AF10" i="14"/>
  <c r="AE10" i="14"/>
  <c r="AD10" i="14"/>
  <c r="AC10" i="14"/>
  <c r="X10" i="14"/>
  <c r="V10" i="14"/>
  <c r="T10" i="14"/>
  <c r="R10" i="14"/>
  <c r="AV9" i="14"/>
  <c r="AU9" i="14"/>
  <c r="AR9" i="14"/>
  <c r="AI9" i="14"/>
  <c r="AH9" i="14"/>
  <c r="AG9" i="14"/>
  <c r="AF9" i="14"/>
  <c r="AE9" i="14"/>
  <c r="AD9" i="14"/>
  <c r="AC9" i="14"/>
  <c r="X9" i="14"/>
  <c r="V9" i="14"/>
  <c r="T9" i="14"/>
  <c r="R9" i="14"/>
  <c r="AV8" i="14"/>
  <c r="AU8" i="14"/>
  <c r="AR8" i="14"/>
  <c r="AI8" i="14"/>
  <c r="AH8" i="14"/>
  <c r="AG8" i="14"/>
  <c r="AF8" i="14"/>
  <c r="AE8" i="14"/>
  <c r="AD8" i="14"/>
  <c r="AC8" i="14"/>
  <c r="X8" i="14"/>
  <c r="V8" i="14"/>
  <c r="T8" i="14"/>
  <c r="R8" i="14"/>
  <c r="AV7" i="14"/>
  <c r="AU7" i="14"/>
  <c r="AR7" i="14"/>
  <c r="AI7" i="14"/>
  <c r="AH7" i="14"/>
  <c r="AG7" i="14"/>
  <c r="AF7" i="14"/>
  <c r="AE7" i="14"/>
  <c r="AD7" i="14"/>
  <c r="AC7" i="14"/>
  <c r="X7" i="14"/>
  <c r="V7" i="14"/>
  <c r="T7" i="14"/>
  <c r="R7" i="14"/>
  <c r="AV6" i="14"/>
  <c r="AU6" i="14"/>
  <c r="AR6" i="14"/>
  <c r="AI6" i="14"/>
  <c r="AH6" i="14"/>
  <c r="AG6" i="14"/>
  <c r="AF6" i="14"/>
  <c r="AE6" i="14"/>
  <c r="AD6" i="14"/>
  <c r="AC6" i="14"/>
  <c r="X6" i="14"/>
  <c r="V6" i="14"/>
  <c r="T6" i="14"/>
  <c r="R6" i="14"/>
  <c r="AV5" i="14"/>
  <c r="AU5" i="14"/>
  <c r="AR5" i="14"/>
  <c r="AI5" i="14"/>
  <c r="AH5" i="14"/>
  <c r="AG5" i="14"/>
  <c r="AF5" i="14"/>
  <c r="AE5" i="14"/>
  <c r="AD5" i="14"/>
  <c r="AC5" i="14"/>
  <c r="X5" i="14"/>
  <c r="V5" i="14"/>
  <c r="T5" i="14"/>
  <c r="R5" i="14"/>
  <c r="AV4" i="14"/>
  <c r="AU4" i="14"/>
  <c r="AR4" i="14"/>
  <c r="AI4" i="14"/>
  <c r="AH4" i="14"/>
  <c r="AG4" i="14"/>
  <c r="AF4" i="14"/>
  <c r="AE4" i="14"/>
  <c r="AD4" i="14"/>
  <c r="AC4" i="14"/>
  <c r="X4" i="14"/>
  <c r="V4" i="14"/>
  <c r="T4" i="14"/>
  <c r="R4" i="14"/>
  <c r="AV3" i="14"/>
  <c r="AU3" i="14"/>
  <c r="AR3" i="14"/>
  <c r="AI3" i="14"/>
  <c r="AH3" i="14"/>
  <c r="AG3" i="14"/>
  <c r="AF3" i="14"/>
  <c r="AE3" i="14"/>
  <c r="AD3" i="14"/>
  <c r="AC3" i="14"/>
  <c r="X3" i="14"/>
  <c r="V3" i="14"/>
  <c r="T3" i="14"/>
  <c r="R3" i="14"/>
  <c r="AV2" i="14"/>
  <c r="AU2" i="14"/>
  <c r="AR2" i="14"/>
  <c r="AI2" i="14"/>
  <c r="AH2" i="14"/>
  <c r="AG2" i="14"/>
  <c r="AF2" i="14"/>
  <c r="AE2" i="14"/>
  <c r="AD2" i="14"/>
  <c r="AC2" i="14"/>
  <c r="X2" i="14"/>
  <c r="V2" i="14"/>
  <c r="T2" i="14"/>
  <c r="R2" i="14"/>
  <c r="AV330" i="13"/>
  <c r="AU330" i="13"/>
  <c r="AR330" i="13"/>
  <c r="AI330" i="13"/>
  <c r="AH330" i="13"/>
  <c r="AG330" i="13"/>
  <c r="AF330" i="13"/>
  <c r="AE330" i="13"/>
  <c r="AD330" i="13"/>
  <c r="AC330" i="13"/>
  <c r="X330" i="13"/>
  <c r="R330" i="13"/>
  <c r="V330" i="13" s="1"/>
  <c r="AV329" i="13"/>
  <c r="AU329" i="13"/>
  <c r="AR329" i="13"/>
  <c r="AI329" i="13"/>
  <c r="AH329" i="13"/>
  <c r="AG329" i="13"/>
  <c r="AF329" i="13"/>
  <c r="AE329" i="13"/>
  <c r="AD329" i="13"/>
  <c r="AC329" i="13"/>
  <c r="X329" i="13"/>
  <c r="R329" i="13"/>
  <c r="V329" i="13" s="1"/>
  <c r="AV328" i="13"/>
  <c r="AU328" i="13"/>
  <c r="AR328" i="13"/>
  <c r="AI328" i="13"/>
  <c r="AH328" i="13"/>
  <c r="AG328" i="13"/>
  <c r="AF328" i="13"/>
  <c r="AE328" i="13"/>
  <c r="AD328" i="13"/>
  <c r="AC328" i="13"/>
  <c r="X328" i="13"/>
  <c r="R328" i="13"/>
  <c r="V328" i="13" s="1"/>
  <c r="AV327" i="13"/>
  <c r="AU327" i="13"/>
  <c r="AR327" i="13"/>
  <c r="AI327" i="13"/>
  <c r="AH327" i="13"/>
  <c r="AG327" i="13"/>
  <c r="AF327" i="13"/>
  <c r="AE327" i="13"/>
  <c r="AD327" i="13"/>
  <c r="AC327" i="13"/>
  <c r="X327" i="13"/>
  <c r="R327" i="13"/>
  <c r="V327" i="13" s="1"/>
  <c r="AV326" i="13"/>
  <c r="AU326" i="13"/>
  <c r="AR326" i="13"/>
  <c r="AI326" i="13"/>
  <c r="AH326" i="13"/>
  <c r="AG326" i="13"/>
  <c r="AF326" i="13"/>
  <c r="AE326" i="13"/>
  <c r="AD326" i="13"/>
  <c r="AC326" i="13"/>
  <c r="X326" i="13"/>
  <c r="R326" i="13"/>
  <c r="V326" i="13" s="1"/>
  <c r="AV325" i="13"/>
  <c r="AU325" i="13"/>
  <c r="AR325" i="13"/>
  <c r="AI325" i="13"/>
  <c r="AH325" i="13"/>
  <c r="AG325" i="13"/>
  <c r="AF325" i="13"/>
  <c r="AE325" i="13"/>
  <c r="AD325" i="13"/>
  <c r="AC325" i="13"/>
  <c r="X325" i="13"/>
  <c r="R325" i="13"/>
  <c r="V325" i="13" s="1"/>
  <c r="AV323" i="13"/>
  <c r="AU323" i="13"/>
  <c r="AR323" i="13"/>
  <c r="AI323" i="13"/>
  <c r="AH323" i="13"/>
  <c r="AG323" i="13"/>
  <c r="AF323" i="13"/>
  <c r="AE323" i="13"/>
  <c r="AD323" i="13"/>
  <c r="AC323" i="13"/>
  <c r="X323" i="13"/>
  <c r="R323" i="13"/>
  <c r="T323" i="13" s="1"/>
  <c r="AV322" i="13"/>
  <c r="AU322" i="13"/>
  <c r="AR322" i="13"/>
  <c r="AI322" i="13"/>
  <c r="AH322" i="13"/>
  <c r="AG322" i="13"/>
  <c r="AF322" i="13"/>
  <c r="AE322" i="13"/>
  <c r="AD322" i="13"/>
  <c r="AC322" i="13"/>
  <c r="X322" i="13"/>
  <c r="R322" i="13"/>
  <c r="T322" i="13" s="1"/>
  <c r="AV321" i="13"/>
  <c r="AU321" i="13"/>
  <c r="AR321" i="13"/>
  <c r="AI321" i="13"/>
  <c r="AH321" i="13"/>
  <c r="AG321" i="13"/>
  <c r="AF321" i="13"/>
  <c r="AE321" i="13"/>
  <c r="AD321" i="13"/>
  <c r="AC321" i="13"/>
  <c r="X321" i="13"/>
  <c r="R321" i="13"/>
  <c r="T321" i="13" s="1"/>
  <c r="AV320" i="13"/>
  <c r="AU320" i="13"/>
  <c r="AR320" i="13"/>
  <c r="AI320" i="13"/>
  <c r="AH320" i="13"/>
  <c r="AG320" i="13"/>
  <c r="AF320" i="13"/>
  <c r="AE320" i="13"/>
  <c r="AD320" i="13"/>
  <c r="AC320" i="13"/>
  <c r="X320" i="13"/>
  <c r="R320" i="13"/>
  <c r="V320" i="13" s="1"/>
  <c r="AV319" i="13"/>
  <c r="AU319" i="13"/>
  <c r="AR319" i="13"/>
  <c r="AI319" i="13"/>
  <c r="AH319" i="13"/>
  <c r="AG319" i="13"/>
  <c r="AF319" i="13"/>
  <c r="AE319" i="13"/>
  <c r="AD319" i="13"/>
  <c r="AC319" i="13"/>
  <c r="X319" i="13"/>
  <c r="R319" i="13"/>
  <c r="V319" i="13" s="1"/>
  <c r="AV318" i="13"/>
  <c r="AU318" i="13"/>
  <c r="AR318" i="13"/>
  <c r="AI318" i="13"/>
  <c r="AH318" i="13"/>
  <c r="AG318" i="13"/>
  <c r="AF318" i="13"/>
  <c r="AE318" i="13"/>
  <c r="AD318" i="13"/>
  <c r="AC318" i="13"/>
  <c r="X318" i="13"/>
  <c r="R318" i="13"/>
  <c r="V318" i="13" s="1"/>
  <c r="AV316" i="13"/>
  <c r="AU316" i="13"/>
  <c r="AR316" i="13"/>
  <c r="AI316" i="13"/>
  <c r="AH316" i="13"/>
  <c r="AG316" i="13"/>
  <c r="AF316" i="13"/>
  <c r="AE316" i="13"/>
  <c r="AD316" i="13"/>
  <c r="AC316" i="13"/>
  <c r="X316" i="13"/>
  <c r="R316" i="13"/>
  <c r="V316" i="13" s="1"/>
  <c r="AV315" i="13"/>
  <c r="AU315" i="13"/>
  <c r="AR315" i="13"/>
  <c r="AI315" i="13"/>
  <c r="AH315" i="13"/>
  <c r="AG315" i="13"/>
  <c r="AF315" i="13"/>
  <c r="AE315" i="13"/>
  <c r="AD315" i="13"/>
  <c r="AC315" i="13"/>
  <c r="X315" i="13"/>
  <c r="R315" i="13"/>
  <c r="V315" i="13" s="1"/>
  <c r="AV314" i="13"/>
  <c r="AU314" i="13"/>
  <c r="AR314" i="13"/>
  <c r="AI314" i="13"/>
  <c r="AH314" i="13"/>
  <c r="AG314" i="13"/>
  <c r="AF314" i="13"/>
  <c r="AE314" i="13"/>
  <c r="AD314" i="13"/>
  <c r="AC314" i="13"/>
  <c r="X314" i="13"/>
  <c r="R314" i="13"/>
  <c r="AV313" i="13"/>
  <c r="AU313" i="13"/>
  <c r="AR313" i="13"/>
  <c r="AI313" i="13"/>
  <c r="AH313" i="13"/>
  <c r="AG313" i="13"/>
  <c r="AF313" i="13"/>
  <c r="AE313" i="13"/>
  <c r="AD313" i="13"/>
  <c r="AC313" i="13"/>
  <c r="X313" i="13"/>
  <c r="R313" i="13"/>
  <c r="AV312" i="13"/>
  <c r="AU312" i="13"/>
  <c r="AR312" i="13"/>
  <c r="AI312" i="13"/>
  <c r="AH312" i="13"/>
  <c r="AG312" i="13"/>
  <c r="AF312" i="13"/>
  <c r="AE312" i="13"/>
  <c r="AD312" i="13"/>
  <c r="AC312" i="13"/>
  <c r="X312" i="13"/>
  <c r="R312" i="13"/>
  <c r="AV311" i="13"/>
  <c r="AU311" i="13"/>
  <c r="AR311" i="13"/>
  <c r="AI311" i="13"/>
  <c r="AH311" i="13"/>
  <c r="AG311" i="13"/>
  <c r="AF311" i="13"/>
  <c r="AE311" i="13"/>
  <c r="AD311" i="13"/>
  <c r="AC311" i="13"/>
  <c r="X311" i="13"/>
  <c r="R311" i="13"/>
  <c r="T311" i="13" s="1"/>
  <c r="AV324" i="13"/>
  <c r="AU324" i="13"/>
  <c r="AR324" i="13"/>
  <c r="AI324" i="13"/>
  <c r="AH324" i="13"/>
  <c r="AG324" i="13"/>
  <c r="AF324" i="13"/>
  <c r="AE324" i="13"/>
  <c r="AD324" i="13"/>
  <c r="AC324" i="13"/>
  <c r="X324" i="13"/>
  <c r="R324" i="13"/>
  <c r="V324" i="13" s="1"/>
  <c r="AV111" i="13"/>
  <c r="AU111" i="13"/>
  <c r="AR111" i="13"/>
  <c r="AI111" i="13"/>
  <c r="AH111" i="13"/>
  <c r="AG111" i="13"/>
  <c r="AF111" i="13"/>
  <c r="AE111" i="13"/>
  <c r="AD111" i="13"/>
  <c r="AC111" i="13"/>
  <c r="X111" i="13"/>
  <c r="R111" i="13"/>
  <c r="V111" i="13" s="1"/>
  <c r="AV110" i="13"/>
  <c r="AU110" i="13"/>
  <c r="AR110" i="13"/>
  <c r="AI110" i="13"/>
  <c r="AH110" i="13"/>
  <c r="AG110" i="13"/>
  <c r="AF110" i="13"/>
  <c r="AE110" i="13"/>
  <c r="AD110" i="13"/>
  <c r="AC110" i="13"/>
  <c r="X110" i="13"/>
  <c r="R110" i="13"/>
  <c r="V110" i="13" s="1"/>
  <c r="AV109" i="13"/>
  <c r="AU109" i="13"/>
  <c r="AR109" i="13"/>
  <c r="AI109" i="13"/>
  <c r="AH109" i="13"/>
  <c r="AG109" i="13"/>
  <c r="AF109" i="13"/>
  <c r="AE109" i="13"/>
  <c r="AD109" i="13"/>
  <c r="AC109" i="13"/>
  <c r="X109" i="13"/>
  <c r="R109" i="13"/>
  <c r="AV108" i="13"/>
  <c r="AU108" i="13"/>
  <c r="AR108" i="13"/>
  <c r="AI108" i="13"/>
  <c r="AH108" i="13"/>
  <c r="AG108" i="13"/>
  <c r="AF108" i="13"/>
  <c r="AE108" i="13"/>
  <c r="AD108" i="13"/>
  <c r="AC108" i="13"/>
  <c r="X108" i="13"/>
  <c r="R108" i="13"/>
  <c r="V108" i="13" s="1"/>
  <c r="AV107" i="13"/>
  <c r="AU107" i="13"/>
  <c r="AR107" i="13"/>
  <c r="AI107" i="13"/>
  <c r="AH107" i="13"/>
  <c r="AG107" i="13"/>
  <c r="AF107" i="13"/>
  <c r="AE107" i="13"/>
  <c r="AD107" i="13"/>
  <c r="AC107" i="13"/>
  <c r="X107" i="13"/>
  <c r="R107" i="13"/>
  <c r="AV106" i="13"/>
  <c r="AU106" i="13"/>
  <c r="AR106" i="13"/>
  <c r="AI106" i="13"/>
  <c r="AH106" i="13"/>
  <c r="AG106" i="13"/>
  <c r="AF106" i="13"/>
  <c r="AE106" i="13"/>
  <c r="AD106" i="13"/>
  <c r="AC106" i="13"/>
  <c r="X106" i="13"/>
  <c r="R106" i="13"/>
  <c r="V106" i="13" s="1"/>
  <c r="AV104" i="13"/>
  <c r="AU104" i="13"/>
  <c r="AR104" i="13"/>
  <c r="AI104" i="13"/>
  <c r="AH104" i="13"/>
  <c r="AG104" i="13"/>
  <c r="AF104" i="13"/>
  <c r="AE104" i="13"/>
  <c r="AD104" i="13"/>
  <c r="AC104" i="13"/>
  <c r="X104" i="13"/>
  <c r="R104" i="13"/>
  <c r="AV103" i="13"/>
  <c r="AU103" i="13"/>
  <c r="AR103" i="13"/>
  <c r="AI103" i="13"/>
  <c r="AH103" i="13"/>
  <c r="AG103" i="13"/>
  <c r="AF103" i="13"/>
  <c r="AE103" i="13"/>
  <c r="AD103" i="13"/>
  <c r="AC103" i="13"/>
  <c r="X103" i="13"/>
  <c r="R103" i="13"/>
  <c r="AV102" i="13"/>
  <c r="AU102" i="13"/>
  <c r="AR102" i="13"/>
  <c r="AI102" i="13"/>
  <c r="AH102" i="13"/>
  <c r="AG102" i="13"/>
  <c r="AF102" i="13"/>
  <c r="AE102" i="13"/>
  <c r="AD102" i="13"/>
  <c r="AC102" i="13"/>
  <c r="X102" i="13"/>
  <c r="R102" i="13"/>
  <c r="AV101" i="13"/>
  <c r="AU101" i="13"/>
  <c r="AR101" i="13"/>
  <c r="AI101" i="13"/>
  <c r="AH101" i="13"/>
  <c r="AG101" i="13"/>
  <c r="AF101" i="13"/>
  <c r="AE101" i="13"/>
  <c r="AD101" i="13"/>
  <c r="AC101" i="13"/>
  <c r="X101" i="13"/>
  <c r="R101" i="13"/>
  <c r="AV100" i="13"/>
  <c r="AU100" i="13"/>
  <c r="AR100" i="13"/>
  <c r="AI100" i="13"/>
  <c r="AH100" i="13"/>
  <c r="AG100" i="13"/>
  <c r="AF100" i="13"/>
  <c r="AE100" i="13"/>
  <c r="AD100" i="13"/>
  <c r="AC100" i="13"/>
  <c r="X100" i="13"/>
  <c r="R100" i="13"/>
  <c r="V100" i="13" s="1"/>
  <c r="AV99" i="13"/>
  <c r="AU99" i="13"/>
  <c r="AR99" i="13"/>
  <c r="AI99" i="13"/>
  <c r="AH99" i="13"/>
  <c r="AG99" i="13"/>
  <c r="AF99" i="13"/>
  <c r="AE99" i="13"/>
  <c r="AD99" i="13"/>
  <c r="AC99" i="13"/>
  <c r="X99" i="13"/>
  <c r="R99" i="13"/>
  <c r="AV105" i="13"/>
  <c r="AU105" i="13"/>
  <c r="AR105" i="13"/>
  <c r="AI105" i="13"/>
  <c r="AH105" i="13"/>
  <c r="AG105" i="13"/>
  <c r="AF105" i="13"/>
  <c r="AE105" i="13"/>
  <c r="AD105" i="13"/>
  <c r="AC105" i="13"/>
  <c r="X105" i="13"/>
  <c r="R105" i="13"/>
  <c r="AV97" i="13"/>
  <c r="AU97" i="13"/>
  <c r="AR97" i="13"/>
  <c r="AI97" i="13"/>
  <c r="AH97" i="13"/>
  <c r="AG97" i="13"/>
  <c r="AF97" i="13"/>
  <c r="AE97" i="13"/>
  <c r="AD97" i="13"/>
  <c r="AC97" i="13"/>
  <c r="X97" i="13"/>
  <c r="R97" i="13"/>
  <c r="AV96" i="13"/>
  <c r="AU96" i="13"/>
  <c r="AR96" i="13"/>
  <c r="AI96" i="13"/>
  <c r="AH96" i="13"/>
  <c r="AG96" i="13"/>
  <c r="AF96" i="13"/>
  <c r="AE96" i="13"/>
  <c r="AD96" i="13"/>
  <c r="AC96" i="13"/>
  <c r="X96" i="13"/>
  <c r="R96" i="13"/>
  <c r="AV95" i="13"/>
  <c r="AU95" i="13"/>
  <c r="AR95" i="13"/>
  <c r="AI95" i="13"/>
  <c r="AH95" i="13"/>
  <c r="AG95" i="13"/>
  <c r="AF95" i="13"/>
  <c r="AE95" i="13"/>
  <c r="AD95" i="13"/>
  <c r="AC95" i="13"/>
  <c r="X95" i="13"/>
  <c r="R95" i="13"/>
  <c r="AV94" i="13"/>
  <c r="AU94" i="13"/>
  <c r="AR94" i="13"/>
  <c r="AI94" i="13"/>
  <c r="AH94" i="13"/>
  <c r="AG94" i="13"/>
  <c r="AF94" i="13"/>
  <c r="AE94" i="13"/>
  <c r="AD94" i="13"/>
  <c r="AC94" i="13"/>
  <c r="X94" i="13"/>
  <c r="R94" i="13"/>
  <c r="AV93" i="13"/>
  <c r="AU93" i="13"/>
  <c r="AR93" i="13"/>
  <c r="AI93" i="13"/>
  <c r="AH93" i="13"/>
  <c r="AG93" i="13"/>
  <c r="AF93" i="13"/>
  <c r="AE93" i="13"/>
  <c r="AD93" i="13"/>
  <c r="AC93" i="13"/>
  <c r="X93" i="13"/>
  <c r="R93" i="13"/>
  <c r="AV92" i="13"/>
  <c r="AU92" i="13"/>
  <c r="AR92" i="13"/>
  <c r="AI92" i="13"/>
  <c r="AH92" i="13"/>
  <c r="AG92" i="13"/>
  <c r="AF92" i="13"/>
  <c r="AE92" i="13"/>
  <c r="AD92" i="13"/>
  <c r="AC92" i="13"/>
  <c r="X92" i="13"/>
  <c r="R92" i="13"/>
  <c r="AV89" i="13"/>
  <c r="AU89" i="13"/>
  <c r="AR89" i="13"/>
  <c r="AI89" i="13"/>
  <c r="AH89" i="13"/>
  <c r="AG89" i="13"/>
  <c r="AF89" i="13"/>
  <c r="AE89" i="13"/>
  <c r="AD89" i="13"/>
  <c r="AC89" i="13"/>
  <c r="X89" i="13"/>
  <c r="R89" i="13"/>
  <c r="T89" i="13" s="1"/>
  <c r="AV90" i="13"/>
  <c r="AU90" i="13"/>
  <c r="AR90" i="13"/>
  <c r="AI90" i="13"/>
  <c r="AH90" i="13"/>
  <c r="AG90" i="13"/>
  <c r="AF90" i="13"/>
  <c r="AE90" i="13"/>
  <c r="AD90" i="13"/>
  <c r="AC90" i="13"/>
  <c r="X90" i="13"/>
  <c r="R90" i="13"/>
  <c r="AV88" i="13"/>
  <c r="AU88" i="13"/>
  <c r="AR88" i="13"/>
  <c r="AI88" i="13"/>
  <c r="AH88" i="13"/>
  <c r="AG88" i="13"/>
  <c r="AF88" i="13"/>
  <c r="AE88" i="13"/>
  <c r="AD88" i="13"/>
  <c r="AC88" i="13"/>
  <c r="X88" i="13"/>
  <c r="R88" i="13"/>
  <c r="AV87" i="13"/>
  <c r="AU87" i="13"/>
  <c r="AR87" i="13"/>
  <c r="AI87" i="13"/>
  <c r="AH87" i="13"/>
  <c r="AG87" i="13"/>
  <c r="AF87" i="13"/>
  <c r="AE87" i="13"/>
  <c r="AD87" i="13"/>
  <c r="AC87" i="13"/>
  <c r="X87" i="13"/>
  <c r="R87" i="13"/>
  <c r="AV86" i="13"/>
  <c r="AU86" i="13"/>
  <c r="AR86" i="13"/>
  <c r="AI86" i="13"/>
  <c r="AH86" i="13"/>
  <c r="AG86" i="13"/>
  <c r="AF86" i="13"/>
  <c r="AE86" i="13"/>
  <c r="AD86" i="13"/>
  <c r="AC86" i="13"/>
  <c r="X86" i="13"/>
  <c r="R86" i="13"/>
  <c r="AV83" i="13"/>
  <c r="AU83" i="13"/>
  <c r="AR83" i="13"/>
  <c r="AI83" i="13"/>
  <c r="AH83" i="13"/>
  <c r="AG83" i="13"/>
  <c r="AF83" i="13"/>
  <c r="AE83" i="13"/>
  <c r="AD83" i="13"/>
  <c r="AC83" i="13"/>
  <c r="X83" i="13"/>
  <c r="R83" i="13"/>
  <c r="AV82" i="13"/>
  <c r="AU82" i="13"/>
  <c r="AR82" i="13"/>
  <c r="AI82" i="13"/>
  <c r="AH82" i="13"/>
  <c r="AG82" i="13"/>
  <c r="AF82" i="13"/>
  <c r="AE82" i="13"/>
  <c r="AD82" i="13"/>
  <c r="AC82" i="13"/>
  <c r="X82" i="13"/>
  <c r="R82" i="13"/>
  <c r="AV81" i="13"/>
  <c r="AU81" i="13"/>
  <c r="AR81" i="13"/>
  <c r="AI81" i="13"/>
  <c r="AH81" i="13"/>
  <c r="AG81" i="13"/>
  <c r="AF81" i="13"/>
  <c r="AE81" i="13"/>
  <c r="AD81" i="13"/>
  <c r="AC81" i="13"/>
  <c r="X81" i="13"/>
  <c r="R81" i="13"/>
  <c r="V81" i="13" s="1"/>
  <c r="AV80" i="13"/>
  <c r="AU80" i="13"/>
  <c r="AR80" i="13"/>
  <c r="AI80" i="13"/>
  <c r="AH80" i="13"/>
  <c r="AG80" i="13"/>
  <c r="AF80" i="13"/>
  <c r="AE80" i="13"/>
  <c r="AD80" i="13"/>
  <c r="AC80" i="13"/>
  <c r="X80" i="13"/>
  <c r="R80" i="13"/>
  <c r="AV79" i="13"/>
  <c r="AU79" i="13"/>
  <c r="AR79" i="13"/>
  <c r="AI79" i="13"/>
  <c r="AH79" i="13"/>
  <c r="AG79" i="13"/>
  <c r="AF79" i="13"/>
  <c r="AE79" i="13"/>
  <c r="AD79" i="13"/>
  <c r="AC79" i="13"/>
  <c r="X79" i="13"/>
  <c r="R79" i="13"/>
  <c r="AC74" i="13"/>
  <c r="AC75" i="13"/>
  <c r="AC76" i="13"/>
  <c r="AC77" i="13"/>
  <c r="AC78" i="13"/>
  <c r="AC84" i="13"/>
  <c r="AC85" i="13"/>
  <c r="AC91" i="13"/>
  <c r="AC98" i="13"/>
  <c r="AC112" i="13"/>
  <c r="AC113" i="13"/>
  <c r="AC114" i="13"/>
  <c r="AC115" i="13"/>
  <c r="AC116" i="13"/>
  <c r="AC117" i="13"/>
  <c r="AC118" i="13"/>
  <c r="AC119" i="13"/>
  <c r="AC120" i="13"/>
  <c r="AC121" i="13"/>
  <c r="AC122" i="13"/>
  <c r="AC123" i="13"/>
  <c r="AC124" i="13"/>
  <c r="AC125" i="13"/>
  <c r="AC126" i="13"/>
  <c r="AC127" i="13"/>
  <c r="AC128" i="13"/>
  <c r="AC129" i="13"/>
  <c r="AC130" i="13"/>
  <c r="AC131" i="13"/>
  <c r="AC132" i="13"/>
  <c r="AC133" i="13"/>
  <c r="AC134" i="13"/>
  <c r="AC135" i="13"/>
  <c r="AC136" i="13"/>
  <c r="AC137" i="13"/>
  <c r="AC138" i="13"/>
  <c r="AC139" i="13"/>
  <c r="AC140" i="13"/>
  <c r="AC141" i="13"/>
  <c r="AC142" i="13"/>
  <c r="AC143" i="13"/>
  <c r="AC144" i="13"/>
  <c r="AC145" i="13"/>
  <c r="AC146" i="13"/>
  <c r="AC147" i="13"/>
  <c r="AC148" i="13"/>
  <c r="AC149" i="13"/>
  <c r="AC150" i="13"/>
  <c r="AC151" i="13"/>
  <c r="AC152" i="13"/>
  <c r="AC153" i="13"/>
  <c r="AC154" i="13"/>
  <c r="AC155" i="13"/>
  <c r="AC156" i="13"/>
  <c r="AC157" i="13"/>
  <c r="AC158" i="13"/>
  <c r="AC159" i="13"/>
  <c r="AC160" i="13"/>
  <c r="AC161" i="13"/>
  <c r="AC162" i="13"/>
  <c r="AC163" i="13"/>
  <c r="AC164" i="13"/>
  <c r="AC165" i="13"/>
  <c r="AC166" i="13"/>
  <c r="AC167" i="13"/>
  <c r="AC168" i="13"/>
  <c r="AC169" i="13"/>
  <c r="AC170" i="13"/>
  <c r="AC171" i="13"/>
  <c r="AC172" i="13"/>
  <c r="AC173" i="13"/>
  <c r="AC174" i="13"/>
  <c r="AC175" i="13"/>
  <c r="AC176" i="13"/>
  <c r="AC177" i="13"/>
  <c r="AC178" i="13"/>
  <c r="AC179" i="13"/>
  <c r="AC180" i="13"/>
  <c r="AC181" i="13"/>
  <c r="AC182" i="13"/>
  <c r="AC183" i="13"/>
  <c r="AC184" i="13"/>
  <c r="AC185" i="13"/>
  <c r="AC186" i="13"/>
  <c r="AC187" i="13"/>
  <c r="AC188" i="13"/>
  <c r="AC189" i="13"/>
  <c r="AC190" i="13"/>
  <c r="AC191" i="13"/>
  <c r="AC192" i="13"/>
  <c r="AC193" i="13"/>
  <c r="AC194" i="13"/>
  <c r="AC195" i="13"/>
  <c r="AC196" i="13"/>
  <c r="AC197" i="13"/>
  <c r="AC198" i="13"/>
  <c r="AC199" i="13"/>
  <c r="AC200" i="13"/>
  <c r="AC201" i="13"/>
  <c r="AC202" i="13"/>
  <c r="AC203" i="13"/>
  <c r="AC204" i="13"/>
  <c r="AC205" i="13"/>
  <c r="AC206" i="13"/>
  <c r="AC207" i="13"/>
  <c r="AC208" i="13"/>
  <c r="AC209" i="13"/>
  <c r="AC210" i="13"/>
  <c r="AC211" i="13"/>
  <c r="AC212" i="13"/>
  <c r="AC213" i="13"/>
  <c r="AC214" i="13"/>
  <c r="AC215" i="13"/>
  <c r="AC216" i="13"/>
  <c r="AC217" i="13"/>
  <c r="AC218" i="13"/>
  <c r="AC219" i="13"/>
  <c r="AC220" i="13"/>
  <c r="AC221" i="13"/>
  <c r="AC222" i="13"/>
  <c r="AC223" i="13"/>
  <c r="AC224" i="13"/>
  <c r="AC225" i="13"/>
  <c r="AC226" i="13"/>
  <c r="AC227" i="13"/>
  <c r="AC228" i="13"/>
  <c r="AC229" i="13"/>
  <c r="AC230" i="13"/>
  <c r="AC231" i="13"/>
  <c r="AC232" i="13"/>
  <c r="AC233" i="13"/>
  <c r="AC234" i="13"/>
  <c r="AC235" i="13"/>
  <c r="AC236" i="13"/>
  <c r="AC237" i="13"/>
  <c r="AC238" i="13"/>
  <c r="AC239" i="13"/>
  <c r="AC240" i="13"/>
  <c r="AC241" i="13"/>
  <c r="AC242" i="13"/>
  <c r="AC243" i="13"/>
  <c r="AC244" i="13"/>
  <c r="AC245" i="13"/>
  <c r="AC246" i="13"/>
  <c r="AC247" i="13"/>
  <c r="AC248" i="13"/>
  <c r="AC249" i="13"/>
  <c r="AC250" i="13"/>
  <c r="AC251" i="13"/>
  <c r="AC252" i="13"/>
  <c r="AC253" i="13"/>
  <c r="AC254" i="13"/>
  <c r="AC255" i="13"/>
  <c r="AC256" i="13"/>
  <c r="AC257" i="13"/>
  <c r="AC258" i="13"/>
  <c r="AC259" i="13"/>
  <c r="AC260" i="13"/>
  <c r="AC261" i="13"/>
  <c r="AC262" i="13"/>
  <c r="AC263" i="13"/>
  <c r="AC264" i="13"/>
  <c r="AC265" i="13"/>
  <c r="AC266" i="13"/>
  <c r="AC267" i="13"/>
  <c r="AC268" i="13"/>
  <c r="AC269" i="13"/>
  <c r="AC270" i="13"/>
  <c r="AC271" i="13"/>
  <c r="AC272" i="13"/>
  <c r="AC273" i="13"/>
  <c r="AC274" i="13"/>
  <c r="AC275" i="13"/>
  <c r="AC276" i="13"/>
  <c r="AC277" i="13"/>
  <c r="AC278" i="13"/>
  <c r="AC279" i="13"/>
  <c r="AC280" i="13"/>
  <c r="AC281" i="13"/>
  <c r="AC282" i="13"/>
  <c r="AC283" i="13"/>
  <c r="AC284" i="13"/>
  <c r="AC285" i="13"/>
  <c r="AC286" i="13"/>
  <c r="AC287" i="13"/>
  <c r="AC288" i="13"/>
  <c r="AC289" i="13"/>
  <c r="AC290" i="13"/>
  <c r="AC291" i="13"/>
  <c r="AC292" i="13"/>
  <c r="AC293" i="13"/>
  <c r="AC294" i="13"/>
  <c r="AC295" i="13"/>
  <c r="AC296" i="13"/>
  <c r="AC297" i="13"/>
  <c r="AC298" i="13"/>
  <c r="AC299" i="13"/>
  <c r="AC300" i="13"/>
  <c r="AC301" i="13"/>
  <c r="AC302" i="13"/>
  <c r="AC303" i="13"/>
  <c r="AC304" i="13"/>
  <c r="AC305" i="13"/>
  <c r="AC306" i="13"/>
  <c r="AC307" i="13"/>
  <c r="AC308" i="13"/>
  <c r="AC309" i="13"/>
  <c r="AC310" i="13"/>
  <c r="AC317" i="13"/>
  <c r="AC331" i="13"/>
  <c r="AC332" i="13"/>
  <c r="AC3" i="13"/>
  <c r="AC4" i="13"/>
  <c r="AC5" i="13"/>
  <c r="AC6" i="13"/>
  <c r="AC7" i="13"/>
  <c r="AC8" i="13"/>
  <c r="AC9" i="13"/>
  <c r="AC10" i="13"/>
  <c r="AC11" i="13"/>
  <c r="AC12" i="13"/>
  <c r="AC13" i="13"/>
  <c r="AC14" i="13"/>
  <c r="AC15" i="13"/>
  <c r="AC16" i="13"/>
  <c r="AC17" i="13"/>
  <c r="AC18" i="13"/>
  <c r="AC19" i="13"/>
  <c r="AC20" i="13"/>
  <c r="AC21" i="13"/>
  <c r="AC22" i="13"/>
  <c r="AC23" i="13"/>
  <c r="AC24" i="13"/>
  <c r="AC25" i="13"/>
  <c r="AC26" i="13"/>
  <c r="AC27" i="13"/>
  <c r="AC28" i="13"/>
  <c r="AC29" i="13"/>
  <c r="AC30" i="13"/>
  <c r="AC31" i="13"/>
  <c r="AC32" i="13"/>
  <c r="AC33" i="13"/>
  <c r="AC34" i="13"/>
  <c r="AC35" i="13"/>
  <c r="AC36" i="13"/>
  <c r="AC37" i="13"/>
  <c r="AC38" i="13"/>
  <c r="AC39" i="13"/>
  <c r="AC40" i="13"/>
  <c r="AC41" i="13"/>
  <c r="AC42" i="13"/>
  <c r="AC43" i="13"/>
  <c r="AC44" i="13"/>
  <c r="AC45" i="13"/>
  <c r="AC46" i="13"/>
  <c r="AC47" i="13"/>
  <c r="AC48" i="13"/>
  <c r="AC49" i="13"/>
  <c r="AC50" i="13"/>
  <c r="AC51" i="13"/>
  <c r="AC52" i="13"/>
  <c r="AC53" i="13"/>
  <c r="AC54" i="13"/>
  <c r="AC55" i="13"/>
  <c r="AC56" i="13"/>
  <c r="AC57" i="13"/>
  <c r="AC58" i="13"/>
  <c r="AC59" i="13"/>
  <c r="AC60" i="13"/>
  <c r="AC61" i="13"/>
  <c r="AC62" i="13"/>
  <c r="AC63" i="13"/>
  <c r="AC64" i="13"/>
  <c r="AC65" i="13"/>
  <c r="AC66" i="13"/>
  <c r="AC67" i="13"/>
  <c r="AC68" i="13"/>
  <c r="AC69" i="13"/>
  <c r="AC70" i="13"/>
  <c r="AC71" i="13"/>
  <c r="AC72" i="13"/>
  <c r="AC73" i="13"/>
  <c r="AC2" i="13"/>
  <c r="AV77" i="13"/>
  <c r="AU77" i="13"/>
  <c r="AR77" i="13"/>
  <c r="AI77" i="13"/>
  <c r="AH77" i="13"/>
  <c r="AG77" i="13"/>
  <c r="AF77" i="13"/>
  <c r="AE77" i="13"/>
  <c r="AD77" i="13"/>
  <c r="X77" i="13"/>
  <c r="R77" i="13"/>
  <c r="AV76" i="13"/>
  <c r="AU76" i="13"/>
  <c r="AR76" i="13"/>
  <c r="AI76" i="13"/>
  <c r="AH76" i="13"/>
  <c r="AG76" i="13"/>
  <c r="AF76" i="13"/>
  <c r="AE76" i="13"/>
  <c r="AD76" i="13"/>
  <c r="X76" i="13"/>
  <c r="R76" i="13"/>
  <c r="AV75" i="13"/>
  <c r="AU75" i="13"/>
  <c r="AR75" i="13"/>
  <c r="AI75" i="13"/>
  <c r="AH75" i="13"/>
  <c r="AG75" i="13"/>
  <c r="AF75" i="13"/>
  <c r="AE75" i="13"/>
  <c r="AD75" i="13"/>
  <c r="X75" i="13"/>
  <c r="R75" i="13"/>
  <c r="AV74" i="13"/>
  <c r="AU74" i="13"/>
  <c r="AR74" i="13"/>
  <c r="AI74" i="13"/>
  <c r="AH74" i="13"/>
  <c r="AG74" i="13"/>
  <c r="AF74" i="13"/>
  <c r="AE74" i="13"/>
  <c r="AD74" i="13"/>
  <c r="X74" i="13"/>
  <c r="R74" i="13"/>
  <c r="AV73" i="13"/>
  <c r="AU73" i="13"/>
  <c r="AR73" i="13"/>
  <c r="AI73" i="13"/>
  <c r="AH73" i="13"/>
  <c r="AG73" i="13"/>
  <c r="AF73" i="13"/>
  <c r="AE73" i="13"/>
  <c r="AD73" i="13"/>
  <c r="X73" i="13"/>
  <c r="R73" i="13"/>
  <c r="AV71" i="13"/>
  <c r="AU71" i="13"/>
  <c r="AR71" i="13"/>
  <c r="AI71" i="13"/>
  <c r="AH71" i="13"/>
  <c r="AG71" i="13"/>
  <c r="AF71" i="13"/>
  <c r="AE71" i="13"/>
  <c r="AD71" i="13"/>
  <c r="X71" i="13"/>
  <c r="R71" i="13"/>
  <c r="V71" i="13" s="1"/>
  <c r="AV70" i="13"/>
  <c r="AU70" i="13"/>
  <c r="AR70" i="13"/>
  <c r="AI70" i="13"/>
  <c r="AH70" i="13"/>
  <c r="AG70" i="13"/>
  <c r="AF70" i="13"/>
  <c r="AE70" i="13"/>
  <c r="AD70" i="13"/>
  <c r="X70" i="13"/>
  <c r="R70" i="13"/>
  <c r="AV69" i="13"/>
  <c r="AU69" i="13"/>
  <c r="AR69" i="13"/>
  <c r="AI69" i="13"/>
  <c r="AH69" i="13"/>
  <c r="AG69" i="13"/>
  <c r="AF69" i="13"/>
  <c r="AE69" i="13"/>
  <c r="AD69" i="13"/>
  <c r="X69" i="13"/>
  <c r="R69" i="13"/>
  <c r="AV68" i="13"/>
  <c r="AU68" i="13"/>
  <c r="AR68" i="13"/>
  <c r="AI68" i="13"/>
  <c r="AH68" i="13"/>
  <c r="AG68" i="13"/>
  <c r="AF68" i="13"/>
  <c r="AE68" i="13"/>
  <c r="AD68" i="13"/>
  <c r="X68" i="13"/>
  <c r="R68" i="13"/>
  <c r="AV67" i="13"/>
  <c r="AU67" i="13"/>
  <c r="AR67" i="13"/>
  <c r="AI67" i="13"/>
  <c r="AH67" i="13"/>
  <c r="AG67" i="13"/>
  <c r="AF67" i="13"/>
  <c r="AE67" i="13"/>
  <c r="AD67" i="13"/>
  <c r="X67" i="13"/>
  <c r="R67" i="13"/>
  <c r="AV72" i="13"/>
  <c r="AU72" i="13"/>
  <c r="AR72" i="13"/>
  <c r="AI72" i="13"/>
  <c r="AH72" i="13"/>
  <c r="AG72" i="13"/>
  <c r="AF72" i="13"/>
  <c r="AE72" i="13"/>
  <c r="AD72" i="13"/>
  <c r="X72" i="13"/>
  <c r="R72" i="13"/>
  <c r="AV58" i="13"/>
  <c r="AU58" i="13"/>
  <c r="AR58" i="13"/>
  <c r="AI58" i="13"/>
  <c r="AH58" i="13"/>
  <c r="AG58" i="13"/>
  <c r="AF58" i="13"/>
  <c r="AE58" i="13"/>
  <c r="AD58" i="13"/>
  <c r="X58" i="13"/>
  <c r="R58" i="13"/>
  <c r="AV161" i="13"/>
  <c r="AU161" i="13"/>
  <c r="AR161" i="13"/>
  <c r="AI161" i="13"/>
  <c r="AH161" i="13"/>
  <c r="AG161" i="13"/>
  <c r="AF161" i="13"/>
  <c r="AE161" i="13"/>
  <c r="AD161" i="13"/>
  <c r="X161" i="13"/>
  <c r="R161" i="13"/>
  <c r="AV160" i="13"/>
  <c r="AU160" i="13"/>
  <c r="AR160" i="13"/>
  <c r="AI160" i="13"/>
  <c r="AH160" i="13"/>
  <c r="AG160" i="13"/>
  <c r="AF160" i="13"/>
  <c r="AE160" i="13"/>
  <c r="AD160" i="13"/>
  <c r="X160" i="13"/>
  <c r="R160" i="13"/>
  <c r="AV159" i="13"/>
  <c r="AU159" i="13"/>
  <c r="AR159" i="13"/>
  <c r="AI159" i="13"/>
  <c r="AH159" i="13"/>
  <c r="AG159" i="13"/>
  <c r="AF159" i="13"/>
  <c r="AE159" i="13"/>
  <c r="AD159" i="13"/>
  <c r="X159" i="13"/>
  <c r="R159" i="13"/>
  <c r="AV158" i="13"/>
  <c r="AU158" i="13"/>
  <c r="AR158" i="13"/>
  <c r="AI158" i="13"/>
  <c r="AH158" i="13"/>
  <c r="AG158" i="13"/>
  <c r="AF158" i="13"/>
  <c r="AE158" i="13"/>
  <c r="AD158" i="13"/>
  <c r="X158" i="13"/>
  <c r="R158" i="13"/>
  <c r="AV157" i="13"/>
  <c r="AU157" i="13"/>
  <c r="AR157" i="13"/>
  <c r="AI157" i="13"/>
  <c r="AH157" i="13"/>
  <c r="AG157" i="13"/>
  <c r="AF157" i="13"/>
  <c r="AE157" i="13"/>
  <c r="AD157" i="13"/>
  <c r="X157" i="13"/>
  <c r="R157" i="13"/>
  <c r="AV156" i="13"/>
  <c r="AU156" i="13"/>
  <c r="AR156" i="13"/>
  <c r="AI156" i="13"/>
  <c r="AH156" i="13"/>
  <c r="AG156" i="13"/>
  <c r="AF156" i="13"/>
  <c r="AE156" i="13"/>
  <c r="AD156" i="13"/>
  <c r="X156" i="13"/>
  <c r="R156" i="13"/>
  <c r="AV155" i="13"/>
  <c r="AU155" i="13"/>
  <c r="AR155" i="13"/>
  <c r="AI155" i="13"/>
  <c r="AH155" i="13"/>
  <c r="AG155" i="13"/>
  <c r="AF155" i="13"/>
  <c r="AE155" i="13"/>
  <c r="AD155" i="13"/>
  <c r="X155" i="13"/>
  <c r="R155" i="13"/>
  <c r="AV235" i="13"/>
  <c r="AU235" i="13"/>
  <c r="AR235" i="13"/>
  <c r="AI235" i="13"/>
  <c r="AH235" i="13"/>
  <c r="AG235" i="13"/>
  <c r="AF235" i="13"/>
  <c r="AE235" i="13"/>
  <c r="AD235" i="13"/>
  <c r="X235" i="13"/>
  <c r="R235" i="13"/>
  <c r="AV234" i="13"/>
  <c r="AU234" i="13"/>
  <c r="AR234" i="13"/>
  <c r="AI234" i="13"/>
  <c r="AH234" i="13"/>
  <c r="AG234" i="13"/>
  <c r="AF234" i="13"/>
  <c r="AE234" i="13"/>
  <c r="AD234" i="13"/>
  <c r="X234" i="13"/>
  <c r="R234" i="13"/>
  <c r="AV233" i="13"/>
  <c r="AU233" i="13"/>
  <c r="AR233" i="13"/>
  <c r="AI233" i="13"/>
  <c r="AH233" i="13"/>
  <c r="AG233" i="13"/>
  <c r="AF233" i="13"/>
  <c r="AE233" i="13"/>
  <c r="AD233" i="13"/>
  <c r="X233" i="13"/>
  <c r="R233" i="13"/>
  <c r="AV232" i="13"/>
  <c r="AU232" i="13"/>
  <c r="AR232" i="13"/>
  <c r="AI232" i="13"/>
  <c r="AH232" i="13"/>
  <c r="AG232" i="13"/>
  <c r="AF232" i="13"/>
  <c r="AE232" i="13"/>
  <c r="AD232" i="13"/>
  <c r="X232" i="13"/>
  <c r="R232" i="13"/>
  <c r="AV231" i="13"/>
  <c r="AU231" i="13"/>
  <c r="AR231" i="13"/>
  <c r="AI231" i="13"/>
  <c r="AH231" i="13"/>
  <c r="AG231" i="13"/>
  <c r="AF231" i="13"/>
  <c r="AE231" i="13"/>
  <c r="AD231" i="13"/>
  <c r="X231" i="13"/>
  <c r="R231" i="13"/>
  <c r="AV230" i="13"/>
  <c r="AU230" i="13"/>
  <c r="AR230" i="13"/>
  <c r="AI230" i="13"/>
  <c r="AH230" i="13"/>
  <c r="AG230" i="13"/>
  <c r="AF230" i="13"/>
  <c r="AE230" i="13"/>
  <c r="AD230" i="13"/>
  <c r="X230" i="13"/>
  <c r="R230" i="13"/>
  <c r="AV229" i="13"/>
  <c r="AU229" i="13"/>
  <c r="AR229" i="13"/>
  <c r="AI229" i="13"/>
  <c r="AH229" i="13"/>
  <c r="AG229" i="13"/>
  <c r="AF229" i="13"/>
  <c r="AE229" i="13"/>
  <c r="AD229" i="13"/>
  <c r="X229" i="13"/>
  <c r="R229" i="13"/>
  <c r="AV228" i="13"/>
  <c r="AU228" i="13"/>
  <c r="AR228" i="13"/>
  <c r="AI228" i="13"/>
  <c r="AH228" i="13"/>
  <c r="AG228" i="13"/>
  <c r="AF228" i="13"/>
  <c r="AE228" i="13"/>
  <c r="AD228" i="13"/>
  <c r="X228" i="13"/>
  <c r="R228" i="13"/>
  <c r="AV227" i="13"/>
  <c r="AU227" i="13"/>
  <c r="AR227" i="13"/>
  <c r="AI227" i="13"/>
  <c r="AH227" i="13"/>
  <c r="AG227" i="13"/>
  <c r="AF227" i="13"/>
  <c r="AE227" i="13"/>
  <c r="AD227" i="13"/>
  <c r="X227" i="13"/>
  <c r="R227" i="13"/>
  <c r="AV226" i="13"/>
  <c r="AU226" i="13"/>
  <c r="AR226" i="13"/>
  <c r="AI226" i="13"/>
  <c r="AH226" i="13"/>
  <c r="AG226" i="13"/>
  <c r="AF226" i="13"/>
  <c r="AE226" i="13"/>
  <c r="AD226" i="13"/>
  <c r="X226" i="13"/>
  <c r="R226" i="13"/>
  <c r="AV225" i="13"/>
  <c r="AU225" i="13"/>
  <c r="AR225" i="13"/>
  <c r="AI225" i="13"/>
  <c r="AH225" i="13"/>
  <c r="AG225" i="13"/>
  <c r="AF225" i="13"/>
  <c r="AE225" i="13"/>
  <c r="AD225" i="13"/>
  <c r="X225" i="13"/>
  <c r="R225" i="13"/>
  <c r="AV224" i="13"/>
  <c r="AU224" i="13"/>
  <c r="AR224" i="13"/>
  <c r="AI224" i="13"/>
  <c r="AH224" i="13"/>
  <c r="AG224" i="13"/>
  <c r="AF224" i="13"/>
  <c r="AE224" i="13"/>
  <c r="AD224" i="13"/>
  <c r="X224" i="13"/>
  <c r="R224" i="13"/>
  <c r="AV223" i="13"/>
  <c r="AU223" i="13"/>
  <c r="AR223" i="13"/>
  <c r="AI223" i="13"/>
  <c r="AH223" i="13"/>
  <c r="AG223" i="13"/>
  <c r="AF223" i="13"/>
  <c r="AE223" i="13"/>
  <c r="AD223" i="13"/>
  <c r="X223" i="13"/>
  <c r="R223" i="13"/>
  <c r="AD222" i="13"/>
  <c r="AV222" i="13"/>
  <c r="AU222" i="13"/>
  <c r="AR222" i="13"/>
  <c r="AI222" i="13"/>
  <c r="AH222" i="13"/>
  <c r="AG222" i="13"/>
  <c r="AF222" i="13"/>
  <c r="AE222" i="13"/>
  <c r="X222" i="13"/>
  <c r="R222" i="13"/>
  <c r="AV221" i="13"/>
  <c r="AU221" i="13"/>
  <c r="AR221" i="13"/>
  <c r="AI221" i="13"/>
  <c r="AH221" i="13"/>
  <c r="AG221" i="13"/>
  <c r="AF221" i="13"/>
  <c r="AE221" i="13"/>
  <c r="AD221" i="13"/>
  <c r="X221" i="13"/>
  <c r="R221" i="13"/>
  <c r="AV220" i="13"/>
  <c r="AU220" i="13"/>
  <c r="AR220" i="13"/>
  <c r="AI220" i="13"/>
  <c r="AH220" i="13"/>
  <c r="AG220" i="13"/>
  <c r="AF220" i="13"/>
  <c r="AE220" i="13"/>
  <c r="AD220" i="13"/>
  <c r="X220" i="13"/>
  <c r="R220" i="13"/>
  <c r="AV170" i="13"/>
  <c r="AU170" i="13"/>
  <c r="AR170" i="13"/>
  <c r="AI170" i="13"/>
  <c r="AH170" i="13"/>
  <c r="AG170" i="13"/>
  <c r="AF170" i="13"/>
  <c r="AE170" i="13"/>
  <c r="AD170" i="13"/>
  <c r="X170" i="13"/>
  <c r="R170" i="13"/>
  <c r="AV169" i="13"/>
  <c r="AU169" i="13"/>
  <c r="AR169" i="13"/>
  <c r="AI169" i="13"/>
  <c r="AH169" i="13"/>
  <c r="AG169" i="13"/>
  <c r="AF169" i="13"/>
  <c r="AE169" i="13"/>
  <c r="AD169" i="13"/>
  <c r="X169" i="13"/>
  <c r="R169" i="13"/>
  <c r="AV168" i="13"/>
  <c r="AU168" i="13"/>
  <c r="AR168" i="13"/>
  <c r="AI168" i="13"/>
  <c r="AH168" i="13"/>
  <c r="AG168" i="13"/>
  <c r="AF168" i="13"/>
  <c r="AE168" i="13"/>
  <c r="AD168" i="13"/>
  <c r="X168" i="13"/>
  <c r="R168" i="13"/>
  <c r="AV167" i="13"/>
  <c r="AU167" i="13"/>
  <c r="AR167" i="13"/>
  <c r="AI167" i="13"/>
  <c r="AH167" i="13"/>
  <c r="AG167" i="13"/>
  <c r="AF167" i="13"/>
  <c r="AE167" i="13"/>
  <c r="AD167" i="13"/>
  <c r="X167" i="13"/>
  <c r="R167" i="13"/>
  <c r="AV166" i="13"/>
  <c r="AU166" i="13"/>
  <c r="AR166" i="13"/>
  <c r="AI166" i="13"/>
  <c r="AH166" i="13"/>
  <c r="AG166" i="13"/>
  <c r="AF166" i="13"/>
  <c r="AE166" i="13"/>
  <c r="AD166" i="13"/>
  <c r="X166" i="13"/>
  <c r="R166" i="13"/>
  <c r="AV151" i="13"/>
  <c r="AU151" i="13"/>
  <c r="AR151" i="13"/>
  <c r="AI151" i="13"/>
  <c r="AH151" i="13"/>
  <c r="AG151" i="13"/>
  <c r="AF151" i="13"/>
  <c r="AE151" i="13"/>
  <c r="AD151" i="13"/>
  <c r="X151" i="13"/>
  <c r="R151" i="13"/>
  <c r="AV150" i="13"/>
  <c r="AU150" i="13"/>
  <c r="AR150" i="13"/>
  <c r="AI150" i="13"/>
  <c r="AH150" i="13"/>
  <c r="AG150" i="13"/>
  <c r="AF150" i="13"/>
  <c r="AE150" i="13"/>
  <c r="AD150" i="13"/>
  <c r="X150" i="13"/>
  <c r="R150" i="13"/>
  <c r="AV149" i="13"/>
  <c r="AU149" i="13"/>
  <c r="AR149" i="13"/>
  <c r="AI149" i="13"/>
  <c r="AH149" i="13"/>
  <c r="AG149" i="13"/>
  <c r="AF149" i="13"/>
  <c r="AE149" i="13"/>
  <c r="AD149" i="13"/>
  <c r="X149" i="13"/>
  <c r="R149" i="13"/>
  <c r="AV148" i="13"/>
  <c r="AU148" i="13"/>
  <c r="AR148" i="13"/>
  <c r="AI148" i="13"/>
  <c r="AH148" i="13"/>
  <c r="AG148" i="13"/>
  <c r="AF148" i="13"/>
  <c r="AE148" i="13"/>
  <c r="AD148" i="13"/>
  <c r="X148" i="13"/>
  <c r="R148" i="13"/>
  <c r="AV147" i="13"/>
  <c r="AU147" i="13"/>
  <c r="AR147" i="13"/>
  <c r="AI147" i="13"/>
  <c r="AH147" i="13"/>
  <c r="AG147" i="13"/>
  <c r="AF147" i="13"/>
  <c r="AE147" i="13"/>
  <c r="AD147" i="13"/>
  <c r="X147" i="13"/>
  <c r="R147" i="13"/>
  <c r="AV146" i="13"/>
  <c r="AU146" i="13"/>
  <c r="AR146" i="13"/>
  <c r="AI146" i="13"/>
  <c r="AH146" i="13"/>
  <c r="AG146" i="13"/>
  <c r="AF146" i="13"/>
  <c r="AE146" i="13"/>
  <c r="AD146" i="13"/>
  <c r="X146" i="13"/>
  <c r="R146" i="13"/>
  <c r="AV145" i="13"/>
  <c r="AU145" i="13"/>
  <c r="AR145" i="13"/>
  <c r="AI145" i="13"/>
  <c r="AH145" i="13"/>
  <c r="AG145" i="13"/>
  <c r="AF145" i="13"/>
  <c r="AE145" i="13"/>
  <c r="AD145" i="13"/>
  <c r="X145" i="13"/>
  <c r="R145" i="13"/>
  <c r="AV143" i="13"/>
  <c r="AU143" i="13"/>
  <c r="AR143" i="13"/>
  <c r="AI143" i="13"/>
  <c r="AH143" i="13"/>
  <c r="AG143" i="13"/>
  <c r="AF143" i="13"/>
  <c r="AE143" i="13"/>
  <c r="AD143" i="13"/>
  <c r="X143" i="13"/>
  <c r="R143" i="13"/>
  <c r="AV142" i="13"/>
  <c r="AU142" i="13"/>
  <c r="AR142" i="13"/>
  <c r="AI142" i="13"/>
  <c r="AH142" i="13"/>
  <c r="AG142" i="13"/>
  <c r="AF142" i="13"/>
  <c r="AE142" i="13"/>
  <c r="AD142" i="13"/>
  <c r="X142" i="13"/>
  <c r="R142" i="13"/>
  <c r="AV141" i="13"/>
  <c r="AU141" i="13"/>
  <c r="AR141" i="13"/>
  <c r="AI141" i="13"/>
  <c r="AH141" i="13"/>
  <c r="AG141" i="13"/>
  <c r="AF141" i="13"/>
  <c r="AE141" i="13"/>
  <c r="AD141" i="13"/>
  <c r="X141" i="13"/>
  <c r="R141" i="13"/>
  <c r="AV140" i="13"/>
  <c r="AU140" i="13"/>
  <c r="AR140" i="13"/>
  <c r="AI140" i="13"/>
  <c r="AH140" i="13"/>
  <c r="AG140" i="13"/>
  <c r="AF140" i="13"/>
  <c r="AE140" i="13"/>
  <c r="AD140" i="13"/>
  <c r="X140" i="13"/>
  <c r="R140" i="13"/>
  <c r="AV139" i="13"/>
  <c r="AU139" i="13"/>
  <c r="AR139" i="13"/>
  <c r="AI139" i="13"/>
  <c r="AH139" i="13"/>
  <c r="AG139" i="13"/>
  <c r="AF139" i="13"/>
  <c r="AE139" i="13"/>
  <c r="AD139" i="13"/>
  <c r="X139" i="13"/>
  <c r="R139" i="13"/>
  <c r="AV138" i="13"/>
  <c r="AU138" i="13"/>
  <c r="AR138" i="13"/>
  <c r="AI138" i="13"/>
  <c r="AH138" i="13"/>
  <c r="AG138" i="13"/>
  <c r="AF138" i="13"/>
  <c r="AE138" i="13"/>
  <c r="AD138" i="13"/>
  <c r="X138" i="13"/>
  <c r="R138" i="13"/>
  <c r="AV137" i="13"/>
  <c r="AU137" i="13"/>
  <c r="AR137" i="13"/>
  <c r="AI137" i="13"/>
  <c r="AH137" i="13"/>
  <c r="AG137" i="13"/>
  <c r="AF137" i="13"/>
  <c r="AE137" i="13"/>
  <c r="AD137" i="13"/>
  <c r="X137" i="13"/>
  <c r="R137" i="13"/>
  <c r="AV135" i="13"/>
  <c r="AU135" i="13"/>
  <c r="AR135" i="13"/>
  <c r="AI135" i="13"/>
  <c r="AH135" i="13"/>
  <c r="AG135" i="13"/>
  <c r="AF135" i="13"/>
  <c r="AE135" i="13"/>
  <c r="AD135" i="13"/>
  <c r="X135" i="13"/>
  <c r="R135" i="13"/>
  <c r="AV134" i="13"/>
  <c r="AU134" i="13"/>
  <c r="AR134" i="13"/>
  <c r="AI134" i="13"/>
  <c r="AH134" i="13"/>
  <c r="AG134" i="13"/>
  <c r="AF134" i="13"/>
  <c r="AE134" i="13"/>
  <c r="AD134" i="13"/>
  <c r="X134" i="13"/>
  <c r="R134" i="13"/>
  <c r="AV133" i="13"/>
  <c r="AU133" i="13"/>
  <c r="AR133" i="13"/>
  <c r="AI133" i="13"/>
  <c r="AH133" i="13"/>
  <c r="AG133" i="13"/>
  <c r="AF133" i="13"/>
  <c r="AE133" i="13"/>
  <c r="AD133" i="13"/>
  <c r="X133" i="13"/>
  <c r="R133" i="13"/>
  <c r="AV132" i="13"/>
  <c r="AU132" i="13"/>
  <c r="AR132" i="13"/>
  <c r="AI132" i="13"/>
  <c r="AH132" i="13"/>
  <c r="AG132" i="13"/>
  <c r="AF132" i="13"/>
  <c r="AE132" i="13"/>
  <c r="AD132" i="13"/>
  <c r="X132" i="13"/>
  <c r="R132" i="13"/>
  <c r="AV131" i="13"/>
  <c r="AU131" i="13"/>
  <c r="AR131" i="13"/>
  <c r="AI131" i="13"/>
  <c r="AH131" i="13"/>
  <c r="AG131" i="13"/>
  <c r="AF131" i="13"/>
  <c r="AE131" i="13"/>
  <c r="AD131" i="13"/>
  <c r="X131" i="13"/>
  <c r="R131" i="13"/>
  <c r="AV130" i="13"/>
  <c r="AU130" i="13"/>
  <c r="AR130" i="13"/>
  <c r="AI130" i="13"/>
  <c r="AH130" i="13"/>
  <c r="AG130" i="13"/>
  <c r="AF130" i="13"/>
  <c r="AE130" i="13"/>
  <c r="AD130" i="13"/>
  <c r="X130" i="13"/>
  <c r="R130" i="13"/>
  <c r="AV129" i="13"/>
  <c r="AU129" i="13"/>
  <c r="AR129" i="13"/>
  <c r="AI129" i="13"/>
  <c r="AH129" i="13"/>
  <c r="AG129" i="13"/>
  <c r="AF129" i="13"/>
  <c r="AE129" i="13"/>
  <c r="AD129" i="13"/>
  <c r="X129" i="13"/>
  <c r="R129" i="13"/>
  <c r="AV153" i="13"/>
  <c r="AU153" i="13"/>
  <c r="AR153" i="13"/>
  <c r="AI153" i="13"/>
  <c r="AH153" i="13"/>
  <c r="AG153" i="13"/>
  <c r="AF153" i="13"/>
  <c r="AE153" i="13"/>
  <c r="AD153" i="13"/>
  <c r="X153" i="13"/>
  <c r="R153" i="13"/>
  <c r="AV237" i="13"/>
  <c r="AU237" i="13"/>
  <c r="AR237" i="13"/>
  <c r="AI237" i="13"/>
  <c r="AH237" i="13"/>
  <c r="AG237" i="13"/>
  <c r="AF237" i="13"/>
  <c r="AE237" i="13"/>
  <c r="AD237" i="13"/>
  <c r="X237" i="13"/>
  <c r="R237" i="13"/>
  <c r="AV63" i="13"/>
  <c r="AU63" i="13"/>
  <c r="AR63" i="13"/>
  <c r="AI63" i="13"/>
  <c r="AH63" i="13"/>
  <c r="AG63" i="13"/>
  <c r="AF63" i="13"/>
  <c r="AE63" i="13"/>
  <c r="AD63" i="13"/>
  <c r="X63" i="13"/>
  <c r="R63" i="13"/>
  <c r="AV127" i="13"/>
  <c r="AU127" i="13"/>
  <c r="AR127" i="13"/>
  <c r="AI127" i="13"/>
  <c r="AH127" i="13"/>
  <c r="AG127" i="13"/>
  <c r="AF127" i="13"/>
  <c r="AE127" i="13"/>
  <c r="AD127" i="13"/>
  <c r="X127" i="13"/>
  <c r="R127" i="13"/>
  <c r="AV128" i="13"/>
  <c r="AU128" i="13"/>
  <c r="AR128" i="13"/>
  <c r="AI128" i="13"/>
  <c r="AH128" i="13"/>
  <c r="AG128" i="13"/>
  <c r="AF128" i="13"/>
  <c r="AE128" i="13"/>
  <c r="AD128" i="13"/>
  <c r="X128" i="13"/>
  <c r="R128" i="13"/>
  <c r="AV126" i="13"/>
  <c r="AU126" i="13"/>
  <c r="AR126" i="13"/>
  <c r="AI126" i="13"/>
  <c r="AH126" i="13"/>
  <c r="AG126" i="13"/>
  <c r="AF126" i="13"/>
  <c r="AE126" i="13"/>
  <c r="AD126" i="13"/>
  <c r="X126" i="13"/>
  <c r="R126" i="13"/>
  <c r="AV125" i="13"/>
  <c r="AU125" i="13"/>
  <c r="AR125" i="13"/>
  <c r="AI125" i="13"/>
  <c r="AH125" i="13"/>
  <c r="AG125" i="13"/>
  <c r="AF125" i="13"/>
  <c r="AE125" i="13"/>
  <c r="AD125" i="13"/>
  <c r="X125" i="13"/>
  <c r="R125" i="13"/>
  <c r="AV124" i="13"/>
  <c r="AU124" i="13"/>
  <c r="AR124" i="13"/>
  <c r="AI124" i="13"/>
  <c r="AH124" i="13"/>
  <c r="AG124" i="13"/>
  <c r="AF124" i="13"/>
  <c r="AE124" i="13"/>
  <c r="AD124" i="13"/>
  <c r="X124" i="13"/>
  <c r="R124" i="13"/>
  <c r="AV123" i="13"/>
  <c r="AU123" i="13"/>
  <c r="AR123" i="13"/>
  <c r="AI123" i="13"/>
  <c r="AH123" i="13"/>
  <c r="AG123" i="13"/>
  <c r="AF123" i="13"/>
  <c r="AE123" i="13"/>
  <c r="AD123" i="13"/>
  <c r="X123" i="13"/>
  <c r="R123" i="13"/>
  <c r="AV122" i="13"/>
  <c r="AU122" i="13"/>
  <c r="AR122" i="13"/>
  <c r="AI122" i="13"/>
  <c r="AH122" i="13"/>
  <c r="AG122" i="13"/>
  <c r="AF122" i="13"/>
  <c r="AE122" i="13"/>
  <c r="AD122" i="13"/>
  <c r="X122" i="13"/>
  <c r="R122" i="13"/>
  <c r="AV119" i="13"/>
  <c r="AU119" i="13"/>
  <c r="AR119" i="13"/>
  <c r="AI119" i="13"/>
  <c r="AH119" i="13"/>
  <c r="AG119" i="13"/>
  <c r="AF119" i="13"/>
  <c r="AE119" i="13"/>
  <c r="AD119" i="13"/>
  <c r="X119" i="13"/>
  <c r="R119" i="13"/>
  <c r="AV118" i="13"/>
  <c r="AU118" i="13"/>
  <c r="AR118" i="13"/>
  <c r="AI118" i="13"/>
  <c r="AH118" i="13"/>
  <c r="AG118" i="13"/>
  <c r="AF118" i="13"/>
  <c r="AE118" i="13"/>
  <c r="AD118" i="13"/>
  <c r="X118" i="13"/>
  <c r="R118" i="13"/>
  <c r="AV117" i="13"/>
  <c r="AU117" i="13"/>
  <c r="AR117" i="13"/>
  <c r="AI117" i="13"/>
  <c r="AH117" i="13"/>
  <c r="AG117" i="13"/>
  <c r="AF117" i="13"/>
  <c r="AE117" i="13"/>
  <c r="AD117" i="13"/>
  <c r="X117" i="13"/>
  <c r="R117" i="13"/>
  <c r="AV116" i="13"/>
  <c r="AU116" i="13"/>
  <c r="AR116" i="13"/>
  <c r="AI116" i="13"/>
  <c r="AH116" i="13"/>
  <c r="AG116" i="13"/>
  <c r="AF116" i="13"/>
  <c r="AE116" i="13"/>
  <c r="AD116" i="13"/>
  <c r="X116" i="13"/>
  <c r="R116" i="13"/>
  <c r="AV115" i="13"/>
  <c r="AU115" i="13"/>
  <c r="AR115" i="13"/>
  <c r="AI115" i="13"/>
  <c r="AH115" i="13"/>
  <c r="AG115" i="13"/>
  <c r="AF115" i="13"/>
  <c r="AE115" i="13"/>
  <c r="AD115" i="13"/>
  <c r="X115" i="13"/>
  <c r="R115" i="13"/>
  <c r="AV114" i="13"/>
  <c r="AU114" i="13"/>
  <c r="AR114" i="13"/>
  <c r="AI114" i="13"/>
  <c r="AH114" i="13"/>
  <c r="AG114" i="13"/>
  <c r="AF114" i="13"/>
  <c r="AE114" i="13"/>
  <c r="AD114" i="13"/>
  <c r="X114" i="13"/>
  <c r="R114" i="13"/>
  <c r="AV219" i="13"/>
  <c r="AU219" i="13"/>
  <c r="AR219" i="13"/>
  <c r="AI219" i="13"/>
  <c r="AH219" i="13"/>
  <c r="AG219" i="13"/>
  <c r="AF219" i="13"/>
  <c r="AE219" i="13"/>
  <c r="AD219" i="13"/>
  <c r="X219" i="13"/>
  <c r="R219" i="13"/>
  <c r="AV217" i="13"/>
  <c r="AU217" i="13"/>
  <c r="AR217" i="13"/>
  <c r="AI217" i="13"/>
  <c r="AH217" i="13"/>
  <c r="AG217" i="13"/>
  <c r="AF217" i="13"/>
  <c r="AE217" i="13"/>
  <c r="AD217" i="13"/>
  <c r="X217" i="13"/>
  <c r="R217" i="13"/>
  <c r="AV215" i="13"/>
  <c r="AU215" i="13"/>
  <c r="AR215" i="13"/>
  <c r="AI215" i="13"/>
  <c r="AH215" i="13"/>
  <c r="AG215" i="13"/>
  <c r="AF215" i="13"/>
  <c r="AE215" i="13"/>
  <c r="AD215" i="13"/>
  <c r="X215" i="13"/>
  <c r="R215" i="13"/>
  <c r="AV214" i="13"/>
  <c r="AU214" i="13"/>
  <c r="AR214" i="13"/>
  <c r="AI214" i="13"/>
  <c r="AH214" i="13"/>
  <c r="AG214" i="13"/>
  <c r="AF214" i="13"/>
  <c r="AE214" i="13"/>
  <c r="AD214" i="13"/>
  <c r="X214" i="13"/>
  <c r="R214" i="13"/>
  <c r="AV213" i="13"/>
  <c r="AU213" i="13"/>
  <c r="AR213" i="13"/>
  <c r="AI213" i="13"/>
  <c r="AH213" i="13"/>
  <c r="AG213" i="13"/>
  <c r="AF213" i="13"/>
  <c r="AE213" i="13"/>
  <c r="AD213" i="13"/>
  <c r="X213" i="13"/>
  <c r="R213" i="13"/>
  <c r="AV212" i="13"/>
  <c r="AU212" i="13"/>
  <c r="AR212" i="13"/>
  <c r="AI212" i="13"/>
  <c r="AH212" i="13"/>
  <c r="AG212" i="13"/>
  <c r="AF212" i="13"/>
  <c r="AE212" i="13"/>
  <c r="AD212" i="13"/>
  <c r="X212" i="13"/>
  <c r="R212" i="13"/>
  <c r="AV211" i="13"/>
  <c r="AU211" i="13"/>
  <c r="AR211" i="13"/>
  <c r="AI211" i="13"/>
  <c r="AH211" i="13"/>
  <c r="AG211" i="13"/>
  <c r="AF211" i="13"/>
  <c r="AE211" i="13"/>
  <c r="AD211" i="13"/>
  <c r="X211" i="13"/>
  <c r="R211" i="13"/>
  <c r="AV209" i="13"/>
  <c r="AU209" i="13"/>
  <c r="AR209" i="13"/>
  <c r="AI209" i="13"/>
  <c r="AH209" i="13"/>
  <c r="AG209" i="13"/>
  <c r="AF209" i="13"/>
  <c r="AE209" i="13"/>
  <c r="AD209" i="13"/>
  <c r="X209" i="13"/>
  <c r="R209" i="13"/>
  <c r="AV208" i="13"/>
  <c r="AU208" i="13"/>
  <c r="AR208" i="13"/>
  <c r="AI208" i="13"/>
  <c r="AH208" i="13"/>
  <c r="AG208" i="13"/>
  <c r="AF208" i="13"/>
  <c r="AE208" i="13"/>
  <c r="AD208" i="13"/>
  <c r="X208" i="13"/>
  <c r="R208" i="13"/>
  <c r="AV207" i="13"/>
  <c r="AU207" i="13"/>
  <c r="AR207" i="13"/>
  <c r="AI207" i="13"/>
  <c r="AH207" i="13"/>
  <c r="AG207" i="13"/>
  <c r="AF207" i="13"/>
  <c r="AE207" i="13"/>
  <c r="AD207" i="13"/>
  <c r="X207" i="13"/>
  <c r="R207" i="13"/>
  <c r="AV206" i="13"/>
  <c r="AU206" i="13"/>
  <c r="AR206" i="13"/>
  <c r="AI206" i="13"/>
  <c r="AH206" i="13"/>
  <c r="AG206" i="13"/>
  <c r="AF206" i="13"/>
  <c r="AE206" i="13"/>
  <c r="AD206" i="13"/>
  <c r="X206" i="13"/>
  <c r="R206" i="13"/>
  <c r="AV205" i="13"/>
  <c r="AU205" i="13"/>
  <c r="AR205" i="13"/>
  <c r="AI205" i="13"/>
  <c r="AH205" i="13"/>
  <c r="AG205" i="13"/>
  <c r="AF205" i="13"/>
  <c r="AE205" i="13"/>
  <c r="AD205" i="13"/>
  <c r="X205" i="13"/>
  <c r="R205" i="13"/>
  <c r="AV200" i="13"/>
  <c r="AU200" i="13"/>
  <c r="AR200" i="13"/>
  <c r="AI200" i="13"/>
  <c r="AH200" i="13"/>
  <c r="AG200" i="13"/>
  <c r="AF200" i="13"/>
  <c r="AE200" i="13"/>
  <c r="AD200" i="13"/>
  <c r="X200" i="13"/>
  <c r="R200" i="13"/>
  <c r="AV193" i="13"/>
  <c r="AU193" i="13"/>
  <c r="AR193" i="13"/>
  <c r="AI193" i="13"/>
  <c r="AH193" i="13"/>
  <c r="AG193" i="13"/>
  <c r="AF193" i="13"/>
  <c r="AE193" i="13"/>
  <c r="AD193" i="13"/>
  <c r="X193" i="13"/>
  <c r="R193" i="13"/>
  <c r="AV192" i="13"/>
  <c r="AU192" i="13"/>
  <c r="AR192" i="13"/>
  <c r="AI192" i="13"/>
  <c r="AH192" i="13"/>
  <c r="AG192" i="13"/>
  <c r="AF192" i="13"/>
  <c r="AE192" i="13"/>
  <c r="AD192" i="13"/>
  <c r="X192" i="13"/>
  <c r="R192" i="13"/>
  <c r="AV191" i="13"/>
  <c r="AU191" i="13"/>
  <c r="AR191" i="13"/>
  <c r="AI191" i="13"/>
  <c r="AH191" i="13"/>
  <c r="AG191" i="13"/>
  <c r="AF191" i="13"/>
  <c r="AE191" i="13"/>
  <c r="AD191" i="13"/>
  <c r="X191" i="13"/>
  <c r="R191" i="13"/>
  <c r="AV190" i="13"/>
  <c r="AU190" i="13"/>
  <c r="AR190" i="13"/>
  <c r="AI190" i="13"/>
  <c r="AH190" i="13"/>
  <c r="AG190" i="13"/>
  <c r="AF190" i="13"/>
  <c r="AE190" i="13"/>
  <c r="AD190" i="13"/>
  <c r="X190" i="13"/>
  <c r="R190" i="13"/>
  <c r="AV189" i="13"/>
  <c r="AU189" i="13"/>
  <c r="AR189" i="13"/>
  <c r="AI189" i="13"/>
  <c r="AH189" i="13"/>
  <c r="AG189" i="13"/>
  <c r="AF189" i="13"/>
  <c r="AE189" i="13"/>
  <c r="AD189" i="13"/>
  <c r="X189" i="13"/>
  <c r="R189" i="13"/>
  <c r="AV188" i="13"/>
  <c r="AU188" i="13"/>
  <c r="AR188" i="13"/>
  <c r="AI188" i="13"/>
  <c r="AH188" i="13"/>
  <c r="AG188" i="13"/>
  <c r="AF188" i="13"/>
  <c r="AE188" i="13"/>
  <c r="AD188" i="13"/>
  <c r="X188" i="13"/>
  <c r="R188" i="13"/>
  <c r="AV186" i="13"/>
  <c r="AU186" i="13"/>
  <c r="AR186" i="13"/>
  <c r="AI186" i="13"/>
  <c r="AH186" i="13"/>
  <c r="AG186" i="13"/>
  <c r="AF186" i="13"/>
  <c r="AE186" i="13"/>
  <c r="AD186" i="13"/>
  <c r="X186" i="13"/>
  <c r="R186" i="13"/>
  <c r="AV185" i="13"/>
  <c r="AU185" i="13"/>
  <c r="AR185" i="13"/>
  <c r="AI185" i="13"/>
  <c r="AH185" i="13"/>
  <c r="AG185" i="13"/>
  <c r="AF185" i="13"/>
  <c r="AE185" i="13"/>
  <c r="AD185" i="13"/>
  <c r="X185" i="13"/>
  <c r="R185" i="13"/>
  <c r="AV184" i="13"/>
  <c r="AU184" i="13"/>
  <c r="AR184" i="13"/>
  <c r="AI184" i="13"/>
  <c r="AH184" i="13"/>
  <c r="AG184" i="13"/>
  <c r="AF184" i="13"/>
  <c r="AE184" i="13"/>
  <c r="AD184" i="13"/>
  <c r="X184" i="13"/>
  <c r="R184" i="13"/>
  <c r="AV183" i="13"/>
  <c r="AU183" i="13"/>
  <c r="AR183" i="13"/>
  <c r="AI183" i="13"/>
  <c r="AH183" i="13"/>
  <c r="AG183" i="13"/>
  <c r="AF183" i="13"/>
  <c r="AE183" i="13"/>
  <c r="AD183" i="13"/>
  <c r="X183" i="13"/>
  <c r="R183" i="13"/>
  <c r="AV182" i="13"/>
  <c r="AU182" i="13"/>
  <c r="AR182" i="13"/>
  <c r="AI182" i="13"/>
  <c r="AH182" i="13"/>
  <c r="AG182" i="13"/>
  <c r="AF182" i="13"/>
  <c r="AE182" i="13"/>
  <c r="AD182" i="13"/>
  <c r="X182" i="13"/>
  <c r="R182" i="13"/>
  <c r="AV187" i="13"/>
  <c r="AU187" i="13"/>
  <c r="AR187" i="13"/>
  <c r="AI187" i="13"/>
  <c r="AH187" i="13"/>
  <c r="AG187" i="13"/>
  <c r="AF187" i="13"/>
  <c r="AE187" i="13"/>
  <c r="AD187" i="13"/>
  <c r="X187" i="13"/>
  <c r="R187" i="13"/>
  <c r="AV201" i="13"/>
  <c r="AU201" i="13"/>
  <c r="AR201" i="13"/>
  <c r="AI201" i="13"/>
  <c r="AH201" i="13"/>
  <c r="AG201" i="13"/>
  <c r="AF201" i="13"/>
  <c r="AE201" i="13"/>
  <c r="AD201" i="13"/>
  <c r="X201" i="13"/>
  <c r="R201" i="13"/>
  <c r="AV199" i="13"/>
  <c r="AU199" i="13"/>
  <c r="AR199" i="13"/>
  <c r="AI199" i="13"/>
  <c r="AH199" i="13"/>
  <c r="AG199" i="13"/>
  <c r="AF199" i="13"/>
  <c r="AE199" i="13"/>
  <c r="AD199" i="13"/>
  <c r="X199" i="13"/>
  <c r="R199" i="13"/>
  <c r="AV198" i="13"/>
  <c r="AU198" i="13"/>
  <c r="AR198" i="13"/>
  <c r="AI198" i="13"/>
  <c r="AH198" i="13"/>
  <c r="AG198" i="13"/>
  <c r="AF198" i="13"/>
  <c r="AE198" i="13"/>
  <c r="AD198" i="13"/>
  <c r="X198" i="13"/>
  <c r="R198" i="13"/>
  <c r="AV197" i="13"/>
  <c r="AU197" i="13"/>
  <c r="AR197" i="13"/>
  <c r="AI197" i="13"/>
  <c r="AH197" i="13"/>
  <c r="AG197" i="13"/>
  <c r="AF197" i="13"/>
  <c r="AE197" i="13"/>
  <c r="AD197" i="13"/>
  <c r="X197" i="13"/>
  <c r="R197" i="13"/>
  <c r="AV196" i="13"/>
  <c r="AU196" i="13"/>
  <c r="AR196" i="13"/>
  <c r="AI196" i="13"/>
  <c r="AH196" i="13"/>
  <c r="AG196" i="13"/>
  <c r="AF196" i="13"/>
  <c r="AE196" i="13"/>
  <c r="AD196" i="13"/>
  <c r="X196" i="13"/>
  <c r="R196" i="13"/>
  <c r="AV195" i="13"/>
  <c r="AU195" i="13"/>
  <c r="AR195" i="13"/>
  <c r="AI195" i="13"/>
  <c r="AH195" i="13"/>
  <c r="AG195" i="13"/>
  <c r="AF195" i="13"/>
  <c r="AE195" i="13"/>
  <c r="AD195" i="13"/>
  <c r="X195" i="13"/>
  <c r="R195" i="13"/>
  <c r="AV180" i="13"/>
  <c r="AU180" i="13"/>
  <c r="AR180" i="13"/>
  <c r="AI180" i="13"/>
  <c r="AH180" i="13"/>
  <c r="AG180" i="13"/>
  <c r="AF180" i="13"/>
  <c r="AE180" i="13"/>
  <c r="AD180" i="13"/>
  <c r="X180" i="13"/>
  <c r="R180" i="13"/>
  <c r="AU15" i="13"/>
  <c r="AU16" i="13"/>
  <c r="AU17" i="13"/>
  <c r="AU18" i="13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9" i="13"/>
  <c r="AU60" i="13"/>
  <c r="AU61" i="13"/>
  <c r="AU62" i="13"/>
  <c r="AU64" i="13"/>
  <c r="AU65" i="13"/>
  <c r="AU66" i="13"/>
  <c r="AU78" i="13"/>
  <c r="AU84" i="13"/>
  <c r="AU85" i="13"/>
  <c r="AU91" i="13"/>
  <c r="AU98" i="13"/>
  <c r="AU112" i="13"/>
  <c r="AU113" i="13"/>
  <c r="AU120" i="13"/>
  <c r="AU121" i="13"/>
  <c r="AU136" i="13"/>
  <c r="AU144" i="13"/>
  <c r="AU152" i="13"/>
  <c r="AU154" i="13"/>
  <c r="AU162" i="13"/>
  <c r="AU163" i="13"/>
  <c r="AU164" i="13"/>
  <c r="AU165" i="13"/>
  <c r="AU171" i="13"/>
  <c r="AU172" i="13"/>
  <c r="AU173" i="13"/>
  <c r="AU174" i="13"/>
  <c r="AU175" i="13"/>
  <c r="AU176" i="13"/>
  <c r="AU177" i="13"/>
  <c r="AU178" i="13"/>
  <c r="AU179" i="13"/>
  <c r="AU181" i="13"/>
  <c r="AU194" i="13"/>
  <c r="AU202" i="13"/>
  <c r="AU203" i="13"/>
  <c r="AU204" i="13"/>
  <c r="AU210" i="13"/>
  <c r="AU216" i="13"/>
  <c r="AU218" i="13"/>
  <c r="AU236" i="13"/>
  <c r="AU238" i="13"/>
  <c r="AU239" i="13"/>
  <c r="AU240" i="13"/>
  <c r="AU241" i="13"/>
  <c r="AU242" i="13"/>
  <c r="AU243" i="13"/>
  <c r="AU244" i="13"/>
  <c r="AU245" i="13"/>
  <c r="AU246" i="13"/>
  <c r="AU247" i="13"/>
  <c r="AU248" i="13"/>
  <c r="AU249" i="13"/>
  <c r="AU250" i="13"/>
  <c r="AU251" i="13"/>
  <c r="AU252" i="13"/>
  <c r="AU253" i="13"/>
  <c r="AU254" i="13"/>
  <c r="AU255" i="13"/>
  <c r="AU256" i="13"/>
  <c r="AU257" i="13"/>
  <c r="AU258" i="13"/>
  <c r="AU259" i="13"/>
  <c r="AU260" i="13"/>
  <c r="AU261" i="13"/>
  <c r="AU262" i="13"/>
  <c r="AU263" i="13"/>
  <c r="AU264" i="13"/>
  <c r="AU265" i="13"/>
  <c r="AU266" i="13"/>
  <c r="AU267" i="13"/>
  <c r="AU268" i="13"/>
  <c r="AU269" i="13"/>
  <c r="AU270" i="13"/>
  <c r="AU271" i="13"/>
  <c r="AU272" i="13"/>
  <c r="AU273" i="13"/>
  <c r="AU274" i="13"/>
  <c r="AU275" i="13"/>
  <c r="AU276" i="13"/>
  <c r="AU277" i="13"/>
  <c r="AU278" i="13"/>
  <c r="AU279" i="13"/>
  <c r="AU280" i="13"/>
  <c r="AU281" i="13"/>
  <c r="AU282" i="13"/>
  <c r="AU283" i="13"/>
  <c r="AU284" i="13"/>
  <c r="AU285" i="13"/>
  <c r="AU286" i="13"/>
  <c r="AU287" i="13"/>
  <c r="AU288" i="13"/>
  <c r="AU289" i="13"/>
  <c r="AU290" i="13"/>
  <c r="AU291" i="13"/>
  <c r="AU292" i="13"/>
  <c r="AU293" i="13"/>
  <c r="AU294" i="13"/>
  <c r="AU295" i="13"/>
  <c r="AU296" i="13"/>
  <c r="AU297" i="13"/>
  <c r="AU298" i="13"/>
  <c r="AU299" i="13"/>
  <c r="AU300" i="13"/>
  <c r="AU301" i="13"/>
  <c r="AU302" i="13"/>
  <c r="AU303" i="13"/>
  <c r="AU304" i="13"/>
  <c r="AU305" i="13"/>
  <c r="AU306" i="13"/>
  <c r="AU307" i="13"/>
  <c r="AU308" i="13"/>
  <c r="AU309" i="13"/>
  <c r="AU310" i="13"/>
  <c r="AU317" i="13"/>
  <c r="AU331" i="13"/>
  <c r="AU332" i="13"/>
  <c r="AU3" i="13"/>
  <c r="AU4" i="13"/>
  <c r="AU5" i="13"/>
  <c r="AU6" i="13"/>
  <c r="AU7" i="13"/>
  <c r="AU8" i="13"/>
  <c r="AU9" i="13"/>
  <c r="AU10" i="13"/>
  <c r="AU11" i="13"/>
  <c r="AU12" i="13"/>
  <c r="AU13" i="13"/>
  <c r="AU14" i="13"/>
  <c r="AU2" i="13"/>
  <c r="AV179" i="13"/>
  <c r="AR179" i="13"/>
  <c r="AI179" i="13"/>
  <c r="AH179" i="13"/>
  <c r="AG179" i="13"/>
  <c r="AF179" i="13"/>
  <c r="AE179" i="13"/>
  <c r="AD179" i="13"/>
  <c r="X179" i="13"/>
  <c r="R179" i="13"/>
  <c r="AV178" i="13"/>
  <c r="AR178" i="13"/>
  <c r="AI178" i="13"/>
  <c r="AH178" i="13"/>
  <c r="AG178" i="13"/>
  <c r="AF178" i="13"/>
  <c r="AE178" i="13"/>
  <c r="AD178" i="13"/>
  <c r="X178" i="13"/>
  <c r="R178" i="13"/>
  <c r="AV177" i="13"/>
  <c r="AR177" i="13"/>
  <c r="AI177" i="13"/>
  <c r="AH177" i="13"/>
  <c r="AG177" i="13"/>
  <c r="AF177" i="13"/>
  <c r="AE177" i="13"/>
  <c r="AD177" i="13"/>
  <c r="X177" i="13"/>
  <c r="R177" i="13"/>
  <c r="AV176" i="13"/>
  <c r="AR176" i="13"/>
  <c r="AI176" i="13"/>
  <c r="AH176" i="13"/>
  <c r="AG176" i="13"/>
  <c r="AF176" i="13"/>
  <c r="AE176" i="13"/>
  <c r="AD176" i="13"/>
  <c r="X176" i="13"/>
  <c r="R176" i="13"/>
  <c r="AV175" i="13"/>
  <c r="AR175" i="13"/>
  <c r="AI175" i="13"/>
  <c r="AH175" i="13"/>
  <c r="AG175" i="13"/>
  <c r="AF175" i="13"/>
  <c r="AE175" i="13"/>
  <c r="AD175" i="13"/>
  <c r="X175" i="13"/>
  <c r="R175" i="13"/>
  <c r="AV174" i="13"/>
  <c r="AR174" i="13"/>
  <c r="AI174" i="13"/>
  <c r="AH174" i="13"/>
  <c r="AG174" i="13"/>
  <c r="AF174" i="13"/>
  <c r="AE174" i="13"/>
  <c r="AD174" i="13"/>
  <c r="X174" i="13"/>
  <c r="R174" i="13"/>
  <c r="AV7" i="13"/>
  <c r="AR7" i="13"/>
  <c r="AI7" i="13"/>
  <c r="AH7" i="13"/>
  <c r="AG7" i="13"/>
  <c r="AF7" i="13"/>
  <c r="AE7" i="13"/>
  <c r="AD7" i="13"/>
  <c r="X7" i="13"/>
  <c r="R7" i="13"/>
  <c r="AV4" i="13"/>
  <c r="AR4" i="13"/>
  <c r="AI4" i="13"/>
  <c r="AH4" i="13"/>
  <c r="AG4" i="13"/>
  <c r="AF4" i="13"/>
  <c r="AE4" i="13"/>
  <c r="AD4" i="13"/>
  <c r="X4" i="13"/>
  <c r="R4" i="13"/>
  <c r="AV3" i="13"/>
  <c r="AR3" i="13"/>
  <c r="AI3" i="13"/>
  <c r="AH3" i="13"/>
  <c r="AG3" i="13"/>
  <c r="AF3" i="13"/>
  <c r="AE3" i="13"/>
  <c r="AD3" i="13"/>
  <c r="X3" i="13"/>
  <c r="R3" i="13"/>
  <c r="AV2" i="13"/>
  <c r="AR2" i="13"/>
  <c r="AI2" i="13"/>
  <c r="AH2" i="13"/>
  <c r="AG2" i="13"/>
  <c r="AF2" i="13"/>
  <c r="AE2" i="13"/>
  <c r="AD2" i="13"/>
  <c r="X2" i="13"/>
  <c r="R2" i="13"/>
  <c r="AV332" i="13"/>
  <c r="AR332" i="13"/>
  <c r="AI332" i="13"/>
  <c r="AH332" i="13"/>
  <c r="AG332" i="13"/>
  <c r="AF332" i="13"/>
  <c r="AE332" i="13"/>
  <c r="AD332" i="13"/>
  <c r="X332" i="13"/>
  <c r="R332" i="13"/>
  <c r="AV331" i="13"/>
  <c r="AR331" i="13"/>
  <c r="AI331" i="13"/>
  <c r="AH331" i="13"/>
  <c r="AG331" i="13"/>
  <c r="AF331" i="13"/>
  <c r="AE331" i="13"/>
  <c r="AD331" i="13"/>
  <c r="X331" i="13"/>
  <c r="R331" i="13"/>
  <c r="AV98" i="13"/>
  <c r="AR98" i="13"/>
  <c r="AI98" i="13"/>
  <c r="AH98" i="13"/>
  <c r="AG98" i="13"/>
  <c r="AF98" i="13"/>
  <c r="AE98" i="13"/>
  <c r="AD98" i="13"/>
  <c r="X98" i="13"/>
  <c r="R98" i="13"/>
  <c r="AV310" i="13"/>
  <c r="AV317" i="13"/>
  <c r="AR317" i="13"/>
  <c r="AI317" i="13"/>
  <c r="AH317" i="13"/>
  <c r="AG317" i="13"/>
  <c r="AF317" i="13"/>
  <c r="AE317" i="13"/>
  <c r="AD317" i="13"/>
  <c r="X317" i="13"/>
  <c r="R317" i="13"/>
  <c r="AR310" i="13"/>
  <c r="AD310" i="13"/>
  <c r="AE310" i="13"/>
  <c r="AF310" i="13"/>
  <c r="AG310" i="13"/>
  <c r="AH310" i="13"/>
  <c r="AI310" i="13"/>
  <c r="X310" i="13"/>
  <c r="R310" i="13"/>
  <c r="AD246" i="13"/>
  <c r="AV246" i="13"/>
  <c r="AR246" i="13"/>
  <c r="AI246" i="13"/>
  <c r="AH246" i="13"/>
  <c r="AG246" i="13"/>
  <c r="AF246" i="13"/>
  <c r="AE246" i="13"/>
  <c r="X246" i="13"/>
  <c r="R246" i="13"/>
  <c r="AV165" i="13"/>
  <c r="AR165" i="13"/>
  <c r="AI165" i="13"/>
  <c r="AH165" i="13"/>
  <c r="AG165" i="13"/>
  <c r="AF165" i="13"/>
  <c r="AE165" i="13"/>
  <c r="AD165" i="13"/>
  <c r="X165" i="13"/>
  <c r="R165" i="13"/>
  <c r="AV164" i="13"/>
  <c r="AR164" i="13"/>
  <c r="AI164" i="13"/>
  <c r="AH164" i="13"/>
  <c r="AG164" i="13"/>
  <c r="AF164" i="13"/>
  <c r="AE164" i="13"/>
  <c r="AD164" i="13"/>
  <c r="X164" i="13"/>
  <c r="R164" i="13"/>
  <c r="AV254" i="13"/>
  <c r="AR254" i="13"/>
  <c r="AI254" i="13"/>
  <c r="AH254" i="13"/>
  <c r="AG254" i="13"/>
  <c r="AF254" i="13"/>
  <c r="AE254" i="13"/>
  <c r="AD254" i="13"/>
  <c r="X254" i="13"/>
  <c r="R254" i="13"/>
  <c r="AV203" i="13"/>
  <c r="AR203" i="13"/>
  <c r="AI203" i="13"/>
  <c r="AH203" i="13"/>
  <c r="AG203" i="13"/>
  <c r="AF203" i="13"/>
  <c r="AE203" i="13"/>
  <c r="AD203" i="13"/>
  <c r="X203" i="13"/>
  <c r="R203" i="13"/>
  <c r="AV113" i="13"/>
  <c r="AR113" i="13"/>
  <c r="AI113" i="13"/>
  <c r="AH113" i="13"/>
  <c r="AG113" i="13"/>
  <c r="AF113" i="13"/>
  <c r="AE113" i="13"/>
  <c r="AD113" i="13"/>
  <c r="X113" i="13"/>
  <c r="R113" i="13"/>
  <c r="AV62" i="13"/>
  <c r="AR62" i="13"/>
  <c r="AI62" i="13"/>
  <c r="AH62" i="13"/>
  <c r="AG62" i="13"/>
  <c r="AF62" i="13"/>
  <c r="AE62" i="13"/>
  <c r="AD62" i="13"/>
  <c r="X62" i="13"/>
  <c r="R62" i="13"/>
  <c r="AV210" i="13"/>
  <c r="AR210" i="13"/>
  <c r="AI210" i="13"/>
  <c r="AH210" i="13"/>
  <c r="AG210" i="13"/>
  <c r="AF210" i="13"/>
  <c r="AE210" i="13"/>
  <c r="AD210" i="13"/>
  <c r="X210" i="13"/>
  <c r="R210" i="13"/>
  <c r="AV162" i="13"/>
  <c r="AR162" i="13"/>
  <c r="AI162" i="13"/>
  <c r="AH162" i="13"/>
  <c r="AG162" i="13"/>
  <c r="AF162" i="13"/>
  <c r="AE162" i="13"/>
  <c r="AD162" i="13"/>
  <c r="X162" i="13"/>
  <c r="R162" i="13"/>
  <c r="AV163" i="13"/>
  <c r="AV171" i="13"/>
  <c r="AV172" i="13"/>
  <c r="AV173" i="13"/>
  <c r="AV181" i="13"/>
  <c r="AR163" i="13"/>
  <c r="AR171" i="13"/>
  <c r="AR172" i="13"/>
  <c r="AR173" i="13"/>
  <c r="AR181" i="13"/>
  <c r="AR194" i="13"/>
  <c r="AD163" i="13"/>
  <c r="AE163" i="13"/>
  <c r="AF163" i="13"/>
  <c r="AG163" i="13"/>
  <c r="AH163" i="13"/>
  <c r="AI163" i="13"/>
  <c r="AD171" i="13"/>
  <c r="AE171" i="13"/>
  <c r="AF171" i="13"/>
  <c r="AG171" i="13"/>
  <c r="AH171" i="13"/>
  <c r="AI171" i="13"/>
  <c r="AD172" i="13"/>
  <c r="AE172" i="13"/>
  <c r="AF172" i="13"/>
  <c r="AG172" i="13"/>
  <c r="AH172" i="13"/>
  <c r="AI172" i="13"/>
  <c r="AD173" i="13"/>
  <c r="AE173" i="13"/>
  <c r="AF173" i="13"/>
  <c r="AG173" i="13"/>
  <c r="AH173" i="13"/>
  <c r="AI173" i="13"/>
  <c r="X154" i="13"/>
  <c r="X163" i="13"/>
  <c r="X171" i="13"/>
  <c r="X172" i="13"/>
  <c r="X173" i="13"/>
  <c r="X181" i="13"/>
  <c r="X194" i="13"/>
  <c r="R163" i="13"/>
  <c r="R171" i="13"/>
  <c r="R172" i="13"/>
  <c r="R173" i="13"/>
  <c r="R181" i="13"/>
  <c r="AV202" i="13"/>
  <c r="AR202" i="13"/>
  <c r="AI202" i="13"/>
  <c r="AH202" i="13"/>
  <c r="AG202" i="13"/>
  <c r="AF202" i="13"/>
  <c r="AE202" i="13"/>
  <c r="AD202" i="13"/>
  <c r="X202" i="13"/>
  <c r="R202" i="13"/>
  <c r="AV61" i="13"/>
  <c r="AR61" i="13"/>
  <c r="AI61" i="13"/>
  <c r="AH61" i="13"/>
  <c r="AG61" i="13"/>
  <c r="AF61" i="13"/>
  <c r="AE61" i="13"/>
  <c r="AD61" i="13"/>
  <c r="X61" i="13"/>
  <c r="R61" i="13"/>
  <c r="AV112" i="13"/>
  <c r="AR112" i="13"/>
  <c r="AI112" i="13"/>
  <c r="AH112" i="13"/>
  <c r="AG112" i="13"/>
  <c r="AF112" i="13"/>
  <c r="AE112" i="13"/>
  <c r="AD112" i="13"/>
  <c r="X112" i="13"/>
  <c r="R112" i="13"/>
  <c r="AV307" i="13"/>
  <c r="AR307" i="13"/>
  <c r="AI307" i="13"/>
  <c r="AH307" i="13"/>
  <c r="AG307" i="13"/>
  <c r="AF307" i="13"/>
  <c r="AE307" i="13"/>
  <c r="AD307" i="13"/>
  <c r="X307" i="13"/>
  <c r="R307" i="13"/>
  <c r="AV304" i="13"/>
  <c r="AR304" i="13"/>
  <c r="AI304" i="13"/>
  <c r="AH304" i="13"/>
  <c r="AG304" i="13"/>
  <c r="AF304" i="13"/>
  <c r="AE304" i="13"/>
  <c r="AD304" i="13"/>
  <c r="X304" i="13"/>
  <c r="R304" i="13"/>
  <c r="AV282" i="13"/>
  <c r="AR282" i="13"/>
  <c r="AI282" i="13"/>
  <c r="AH282" i="13"/>
  <c r="AG282" i="13"/>
  <c r="AF282" i="13"/>
  <c r="AE282" i="13"/>
  <c r="AD282" i="13"/>
  <c r="X282" i="13"/>
  <c r="R282" i="13"/>
  <c r="AV281" i="13"/>
  <c r="AR281" i="13"/>
  <c r="AI281" i="13"/>
  <c r="AH281" i="13"/>
  <c r="AG281" i="13"/>
  <c r="AF281" i="13"/>
  <c r="AE281" i="13"/>
  <c r="AD281" i="13"/>
  <c r="X281" i="13"/>
  <c r="R281" i="13"/>
  <c r="AV295" i="13"/>
  <c r="AR295" i="13"/>
  <c r="AI295" i="13"/>
  <c r="AH295" i="13"/>
  <c r="AG295" i="13"/>
  <c r="AF295" i="13"/>
  <c r="AE295" i="13"/>
  <c r="AD295" i="13"/>
  <c r="X295" i="13"/>
  <c r="R295" i="13"/>
  <c r="AV297" i="13"/>
  <c r="AR297" i="13"/>
  <c r="AI297" i="13"/>
  <c r="AH297" i="13"/>
  <c r="AG297" i="13"/>
  <c r="AF297" i="13"/>
  <c r="AE297" i="13"/>
  <c r="AD297" i="13"/>
  <c r="X297" i="13"/>
  <c r="R297" i="13"/>
  <c r="AV293" i="13"/>
  <c r="AR293" i="13"/>
  <c r="AI293" i="13"/>
  <c r="AH293" i="13"/>
  <c r="AG293" i="13"/>
  <c r="AF293" i="13"/>
  <c r="AE293" i="13"/>
  <c r="AD293" i="13"/>
  <c r="X293" i="13"/>
  <c r="R293" i="13"/>
  <c r="AV291" i="13"/>
  <c r="AR291" i="13"/>
  <c r="AI291" i="13"/>
  <c r="AH291" i="13"/>
  <c r="AG291" i="13"/>
  <c r="AF291" i="13"/>
  <c r="AE291" i="13"/>
  <c r="AD291" i="13"/>
  <c r="X291" i="13"/>
  <c r="R291" i="13"/>
  <c r="AV288" i="13"/>
  <c r="AR288" i="13"/>
  <c r="AI288" i="13"/>
  <c r="AH288" i="13"/>
  <c r="AG288" i="13"/>
  <c r="AF288" i="13"/>
  <c r="AE288" i="13"/>
  <c r="AD288" i="13"/>
  <c r="X288" i="13"/>
  <c r="R288" i="13"/>
  <c r="AV302" i="13"/>
  <c r="AR302" i="13"/>
  <c r="AI302" i="13"/>
  <c r="AH302" i="13"/>
  <c r="AG302" i="13"/>
  <c r="AF302" i="13"/>
  <c r="AE302" i="13"/>
  <c r="AD302" i="13"/>
  <c r="X302" i="13"/>
  <c r="R302" i="13"/>
  <c r="AV300" i="13"/>
  <c r="AR300" i="13"/>
  <c r="AI300" i="13"/>
  <c r="AH300" i="13"/>
  <c r="AG300" i="13"/>
  <c r="AF300" i="13"/>
  <c r="AE300" i="13"/>
  <c r="AD300" i="13"/>
  <c r="X300" i="13"/>
  <c r="R300" i="13"/>
  <c r="AV299" i="13"/>
  <c r="AR299" i="13"/>
  <c r="AI299" i="13"/>
  <c r="AH299" i="13"/>
  <c r="AG299" i="13"/>
  <c r="AF299" i="13"/>
  <c r="AE299" i="13"/>
  <c r="AD299" i="13"/>
  <c r="X299" i="13"/>
  <c r="R299" i="13"/>
  <c r="AV285" i="13"/>
  <c r="AR285" i="13"/>
  <c r="AI285" i="13"/>
  <c r="AH285" i="13"/>
  <c r="AG285" i="13"/>
  <c r="AF285" i="13"/>
  <c r="AE285" i="13"/>
  <c r="AD285" i="13"/>
  <c r="X285" i="13"/>
  <c r="R285" i="13"/>
  <c r="AV27" i="13"/>
  <c r="AR27" i="13"/>
  <c r="AI27" i="13"/>
  <c r="AH27" i="13"/>
  <c r="AG27" i="13"/>
  <c r="AF27" i="13"/>
  <c r="AE27" i="13"/>
  <c r="AD27" i="13"/>
  <c r="X27" i="13"/>
  <c r="R27" i="13"/>
  <c r="AV25" i="13"/>
  <c r="AR25" i="13"/>
  <c r="AI25" i="13"/>
  <c r="AH25" i="13"/>
  <c r="AG25" i="13"/>
  <c r="AF25" i="13"/>
  <c r="AE25" i="13"/>
  <c r="AD25" i="13"/>
  <c r="X25" i="13"/>
  <c r="R25" i="13"/>
  <c r="AV40" i="13"/>
  <c r="AR40" i="13"/>
  <c r="AI40" i="13"/>
  <c r="AH40" i="13"/>
  <c r="AG40" i="13"/>
  <c r="AF40" i="13"/>
  <c r="AE40" i="13"/>
  <c r="AD40" i="13"/>
  <c r="X40" i="13"/>
  <c r="R40" i="13"/>
  <c r="AV44" i="13"/>
  <c r="AR44" i="13"/>
  <c r="AI44" i="13"/>
  <c r="AH44" i="13"/>
  <c r="AG44" i="13"/>
  <c r="AF44" i="13"/>
  <c r="AE44" i="13"/>
  <c r="AD44" i="13"/>
  <c r="X44" i="13"/>
  <c r="R44" i="13"/>
  <c r="AV42" i="13"/>
  <c r="AR42" i="13"/>
  <c r="AI42" i="13"/>
  <c r="AH42" i="13"/>
  <c r="AG42" i="13"/>
  <c r="AF42" i="13"/>
  <c r="AE42" i="13"/>
  <c r="AD42" i="13"/>
  <c r="X42" i="13"/>
  <c r="R42" i="13"/>
  <c r="AV38" i="13"/>
  <c r="AR38" i="13"/>
  <c r="AI38" i="13"/>
  <c r="AH38" i="13"/>
  <c r="AG38" i="13"/>
  <c r="AF38" i="13"/>
  <c r="AE38" i="13"/>
  <c r="AD38" i="13"/>
  <c r="X38" i="13"/>
  <c r="R38" i="13"/>
  <c r="AV49" i="13"/>
  <c r="AR49" i="13"/>
  <c r="AI49" i="13"/>
  <c r="AH49" i="13"/>
  <c r="AG49" i="13"/>
  <c r="AF49" i="13"/>
  <c r="AE49" i="13"/>
  <c r="AD49" i="13"/>
  <c r="X49" i="13"/>
  <c r="R49" i="13"/>
  <c r="AV46" i="13"/>
  <c r="AR46" i="13"/>
  <c r="AI46" i="13"/>
  <c r="AH46" i="13"/>
  <c r="AG46" i="13"/>
  <c r="AF46" i="13"/>
  <c r="AE46" i="13"/>
  <c r="AD46" i="13"/>
  <c r="X46" i="13"/>
  <c r="R46" i="13"/>
  <c r="AV267" i="13"/>
  <c r="AR267" i="13"/>
  <c r="AI267" i="13"/>
  <c r="AH267" i="13"/>
  <c r="AG267" i="13"/>
  <c r="AF267" i="13"/>
  <c r="AE267" i="13"/>
  <c r="AD267" i="13"/>
  <c r="X267" i="13"/>
  <c r="R267" i="13"/>
  <c r="AV265" i="13"/>
  <c r="AR265" i="13"/>
  <c r="AI265" i="13"/>
  <c r="AH265" i="13"/>
  <c r="AG265" i="13"/>
  <c r="AF265" i="13"/>
  <c r="AE265" i="13"/>
  <c r="AD265" i="13"/>
  <c r="X265" i="13"/>
  <c r="R265" i="13"/>
  <c r="V265" i="13" s="1"/>
  <c r="AV263" i="13"/>
  <c r="AR263" i="13"/>
  <c r="AI263" i="13"/>
  <c r="AH263" i="13"/>
  <c r="AG263" i="13"/>
  <c r="AF263" i="13"/>
  <c r="AE263" i="13"/>
  <c r="AD263" i="13"/>
  <c r="X263" i="13"/>
  <c r="R263" i="13"/>
  <c r="AV262" i="13"/>
  <c r="AR262" i="13"/>
  <c r="AI262" i="13"/>
  <c r="AH262" i="13"/>
  <c r="AG262" i="13"/>
  <c r="AF262" i="13"/>
  <c r="AE262" i="13"/>
  <c r="AD262" i="13"/>
  <c r="X262" i="13"/>
  <c r="R262" i="13"/>
  <c r="AV260" i="13"/>
  <c r="AR260" i="13"/>
  <c r="AI260" i="13"/>
  <c r="AH260" i="13"/>
  <c r="AG260" i="13"/>
  <c r="AF260" i="13"/>
  <c r="AE260" i="13"/>
  <c r="AD260" i="13"/>
  <c r="X260" i="13"/>
  <c r="R260" i="13"/>
  <c r="AV258" i="13"/>
  <c r="AR258" i="13"/>
  <c r="AI258" i="13"/>
  <c r="AH258" i="13"/>
  <c r="AG258" i="13"/>
  <c r="AF258" i="13"/>
  <c r="AE258" i="13"/>
  <c r="AD258" i="13"/>
  <c r="X258" i="13"/>
  <c r="R258" i="13"/>
  <c r="AV256" i="13"/>
  <c r="AR256" i="13"/>
  <c r="AI256" i="13"/>
  <c r="AH256" i="13"/>
  <c r="AG256" i="13"/>
  <c r="AF256" i="13"/>
  <c r="AE256" i="13"/>
  <c r="AD256" i="13"/>
  <c r="X256" i="13"/>
  <c r="R256" i="13"/>
  <c r="AV253" i="13"/>
  <c r="AR253" i="13"/>
  <c r="AI253" i="13"/>
  <c r="AH253" i="13"/>
  <c r="AG253" i="13"/>
  <c r="AF253" i="13"/>
  <c r="AE253" i="13"/>
  <c r="AD253" i="13"/>
  <c r="X253" i="13"/>
  <c r="R253" i="13"/>
  <c r="AV251" i="13"/>
  <c r="AR251" i="13"/>
  <c r="AI251" i="13"/>
  <c r="AH251" i="13"/>
  <c r="AG251" i="13"/>
  <c r="AF251" i="13"/>
  <c r="AE251" i="13"/>
  <c r="AD251" i="13"/>
  <c r="X251" i="13"/>
  <c r="R251" i="13"/>
  <c r="AV249" i="13"/>
  <c r="AR249" i="13"/>
  <c r="AI249" i="13"/>
  <c r="AH249" i="13"/>
  <c r="AG249" i="13"/>
  <c r="AF249" i="13"/>
  <c r="AE249" i="13"/>
  <c r="AD249" i="13"/>
  <c r="X249" i="13"/>
  <c r="R249" i="13"/>
  <c r="AV241" i="13"/>
  <c r="AR241" i="13"/>
  <c r="AI241" i="13"/>
  <c r="AH241" i="13"/>
  <c r="AG241" i="13"/>
  <c r="AF241" i="13"/>
  <c r="AE241" i="13"/>
  <c r="AD241" i="13"/>
  <c r="X241" i="13"/>
  <c r="R241" i="13"/>
  <c r="AV240" i="13"/>
  <c r="AR240" i="13"/>
  <c r="AI240" i="13"/>
  <c r="AH240" i="13"/>
  <c r="AG240" i="13"/>
  <c r="AF240" i="13"/>
  <c r="AE240" i="13"/>
  <c r="AD240" i="13"/>
  <c r="X240" i="13"/>
  <c r="R240" i="13"/>
  <c r="AV238" i="13"/>
  <c r="AR238" i="13"/>
  <c r="AI238" i="13"/>
  <c r="AH238" i="13"/>
  <c r="AG238" i="13"/>
  <c r="AF238" i="13"/>
  <c r="AE238" i="13"/>
  <c r="AD238" i="13"/>
  <c r="X238" i="13"/>
  <c r="R238" i="13"/>
  <c r="AV51" i="13"/>
  <c r="AR51" i="13"/>
  <c r="AI51" i="13"/>
  <c r="AH51" i="13"/>
  <c r="AG51" i="13"/>
  <c r="AF51" i="13"/>
  <c r="AE51" i="13"/>
  <c r="AD51" i="13"/>
  <c r="X51" i="13"/>
  <c r="R51" i="13"/>
  <c r="AV14" i="13"/>
  <c r="AR14" i="13"/>
  <c r="AI14" i="13"/>
  <c r="AH14" i="13"/>
  <c r="AG14" i="13"/>
  <c r="AF14" i="13"/>
  <c r="AE14" i="13"/>
  <c r="AD14" i="13"/>
  <c r="X14" i="13"/>
  <c r="R14" i="13"/>
  <c r="R91" i="13"/>
  <c r="X91" i="13"/>
  <c r="AD91" i="13"/>
  <c r="AE91" i="13"/>
  <c r="AF91" i="13"/>
  <c r="AG91" i="13"/>
  <c r="AH91" i="13"/>
  <c r="AI91" i="13"/>
  <c r="AR91" i="13"/>
  <c r="AV91" i="13"/>
  <c r="R154" i="13"/>
  <c r="AD154" i="13"/>
  <c r="AE154" i="13"/>
  <c r="AF154" i="13"/>
  <c r="AG154" i="13"/>
  <c r="AH154" i="13"/>
  <c r="AI154" i="13"/>
  <c r="AR154" i="13"/>
  <c r="AV154" i="13"/>
  <c r="R120" i="13"/>
  <c r="X120" i="13"/>
  <c r="AD120" i="13"/>
  <c r="AE120" i="13"/>
  <c r="AF120" i="13"/>
  <c r="AG120" i="13"/>
  <c r="AH120" i="13"/>
  <c r="AI120" i="13"/>
  <c r="AR120" i="13"/>
  <c r="AV120" i="13"/>
  <c r="R121" i="13"/>
  <c r="X121" i="13"/>
  <c r="AD121" i="13"/>
  <c r="AE121" i="13"/>
  <c r="AF121" i="13"/>
  <c r="AG121" i="13"/>
  <c r="AH121" i="13"/>
  <c r="AI121" i="13"/>
  <c r="AR121" i="13"/>
  <c r="AV121" i="13"/>
  <c r="R136" i="13"/>
  <c r="X136" i="13"/>
  <c r="AD136" i="13"/>
  <c r="AE136" i="13"/>
  <c r="AF136" i="13"/>
  <c r="AG136" i="13"/>
  <c r="AH136" i="13"/>
  <c r="AI136" i="13"/>
  <c r="AR136" i="13"/>
  <c r="AV136" i="13"/>
  <c r="R144" i="13"/>
  <c r="X144" i="13"/>
  <c r="AD144" i="13"/>
  <c r="AE144" i="13"/>
  <c r="AF144" i="13"/>
  <c r="AG144" i="13"/>
  <c r="AH144" i="13"/>
  <c r="AI144" i="13"/>
  <c r="AR144" i="13"/>
  <c r="AV144" i="13"/>
  <c r="R152" i="13"/>
  <c r="X152" i="13"/>
  <c r="AD152" i="13"/>
  <c r="AE152" i="13"/>
  <c r="AF152" i="13"/>
  <c r="AG152" i="13"/>
  <c r="AH152" i="13"/>
  <c r="AI152" i="13"/>
  <c r="AR152" i="13"/>
  <c r="AV152" i="13"/>
  <c r="R65" i="13"/>
  <c r="X65" i="13"/>
  <c r="AD65" i="13"/>
  <c r="AE65" i="13"/>
  <c r="AF65" i="13"/>
  <c r="AG65" i="13"/>
  <c r="AH65" i="13"/>
  <c r="AI65" i="13"/>
  <c r="AR65" i="13"/>
  <c r="AV65" i="13"/>
  <c r="R216" i="13"/>
  <c r="X216" i="13"/>
  <c r="AD216" i="13"/>
  <c r="AE216" i="13"/>
  <c r="AF216" i="13"/>
  <c r="AG216" i="13"/>
  <c r="AH216" i="13"/>
  <c r="AI216" i="13"/>
  <c r="AR216" i="13"/>
  <c r="AV216" i="13"/>
  <c r="AD181" i="13"/>
  <c r="AE181" i="13"/>
  <c r="AF181" i="13"/>
  <c r="AG181" i="13"/>
  <c r="AH181" i="13"/>
  <c r="AI181" i="13"/>
  <c r="R194" i="13"/>
  <c r="AD194" i="13"/>
  <c r="AE194" i="13"/>
  <c r="AF194" i="13"/>
  <c r="AG194" i="13"/>
  <c r="AH194" i="13"/>
  <c r="AI194" i="13"/>
  <c r="AV194" i="13"/>
  <c r="R204" i="13"/>
  <c r="X204" i="13"/>
  <c r="AD204" i="13"/>
  <c r="AE204" i="13"/>
  <c r="AF204" i="13"/>
  <c r="AG204" i="13"/>
  <c r="AH204" i="13"/>
  <c r="AI204" i="13"/>
  <c r="AR204" i="13"/>
  <c r="AV204" i="13"/>
  <c r="R218" i="13"/>
  <c r="X218" i="13"/>
  <c r="AD218" i="13"/>
  <c r="AE218" i="13"/>
  <c r="AF218" i="13"/>
  <c r="AG218" i="13"/>
  <c r="AH218" i="13"/>
  <c r="AI218" i="13"/>
  <c r="AR218" i="13"/>
  <c r="AV218" i="13"/>
  <c r="R239" i="13"/>
  <c r="X239" i="13"/>
  <c r="AD239" i="13"/>
  <c r="AE239" i="13"/>
  <c r="AF239" i="13"/>
  <c r="AG239" i="13"/>
  <c r="AH239" i="13"/>
  <c r="AI239" i="13"/>
  <c r="AR239" i="13"/>
  <c r="AV239" i="13"/>
  <c r="R244" i="13"/>
  <c r="X244" i="13"/>
  <c r="AD244" i="13"/>
  <c r="AE244" i="13"/>
  <c r="AF244" i="13"/>
  <c r="AG244" i="13"/>
  <c r="AH244" i="13"/>
  <c r="AI244" i="13"/>
  <c r="AR244" i="13"/>
  <c r="AV244" i="13"/>
  <c r="R242" i="13"/>
  <c r="X242" i="13"/>
  <c r="AD242" i="13"/>
  <c r="AE242" i="13"/>
  <c r="AF242" i="13"/>
  <c r="AG242" i="13"/>
  <c r="AH242" i="13"/>
  <c r="AI242" i="13"/>
  <c r="AR242" i="13"/>
  <c r="AV242" i="13"/>
  <c r="R243" i="13"/>
  <c r="X243" i="13"/>
  <c r="AD243" i="13"/>
  <c r="AE243" i="13"/>
  <c r="AF243" i="13"/>
  <c r="AG243" i="13"/>
  <c r="AH243" i="13"/>
  <c r="AI243" i="13"/>
  <c r="AR243" i="13"/>
  <c r="AV243" i="13"/>
  <c r="R236" i="13"/>
  <c r="X236" i="13"/>
  <c r="AD236" i="13"/>
  <c r="AE236" i="13"/>
  <c r="AF236" i="13"/>
  <c r="AG236" i="13"/>
  <c r="AH236" i="13"/>
  <c r="AI236" i="13"/>
  <c r="AR236" i="13"/>
  <c r="AV236" i="13"/>
  <c r="R252" i="13"/>
  <c r="X252" i="13"/>
  <c r="V252" i="13" s="1"/>
  <c r="AD252" i="13"/>
  <c r="AE252" i="13"/>
  <c r="AF252" i="13"/>
  <c r="AG252" i="13"/>
  <c r="AH252" i="13"/>
  <c r="AI252" i="13"/>
  <c r="AR252" i="13"/>
  <c r="AV252" i="13"/>
  <c r="R269" i="13"/>
  <c r="X269" i="13"/>
  <c r="AD269" i="13"/>
  <c r="AE269" i="13"/>
  <c r="AF269" i="13"/>
  <c r="AG269" i="13"/>
  <c r="AH269" i="13"/>
  <c r="AI269" i="13"/>
  <c r="AR269" i="13"/>
  <c r="AV269" i="13"/>
  <c r="R270" i="13"/>
  <c r="X270" i="13"/>
  <c r="AD270" i="13"/>
  <c r="AE270" i="13"/>
  <c r="AF270" i="13"/>
  <c r="AG270" i="13"/>
  <c r="AH270" i="13"/>
  <c r="AI270" i="13"/>
  <c r="AR270" i="13"/>
  <c r="AV270" i="13"/>
  <c r="R271" i="13"/>
  <c r="X271" i="13"/>
  <c r="T271" i="13" s="1"/>
  <c r="AD271" i="13"/>
  <c r="AE271" i="13"/>
  <c r="AF271" i="13"/>
  <c r="AG271" i="13"/>
  <c r="AH271" i="13"/>
  <c r="AI271" i="13"/>
  <c r="AR271" i="13"/>
  <c r="AV271" i="13"/>
  <c r="R272" i="13"/>
  <c r="X272" i="13"/>
  <c r="AD272" i="13"/>
  <c r="AE272" i="13"/>
  <c r="AF272" i="13"/>
  <c r="AG272" i="13"/>
  <c r="AH272" i="13"/>
  <c r="AI272" i="13"/>
  <c r="AR272" i="13"/>
  <c r="AV272" i="13"/>
  <c r="R273" i="13"/>
  <c r="X273" i="13"/>
  <c r="AD273" i="13"/>
  <c r="AE273" i="13"/>
  <c r="AF273" i="13"/>
  <c r="AG273" i="13"/>
  <c r="AH273" i="13"/>
  <c r="AI273" i="13"/>
  <c r="AR273" i="13"/>
  <c r="AV273" i="13"/>
  <c r="R274" i="13"/>
  <c r="X274" i="13"/>
  <c r="AD274" i="13"/>
  <c r="AE274" i="13"/>
  <c r="AF274" i="13"/>
  <c r="AG274" i="13"/>
  <c r="AH274" i="13"/>
  <c r="AI274" i="13"/>
  <c r="AR274" i="13"/>
  <c r="AV274" i="13"/>
  <c r="R255" i="13"/>
  <c r="X255" i="13"/>
  <c r="AD255" i="13"/>
  <c r="AE255" i="13"/>
  <c r="AF255" i="13"/>
  <c r="AG255" i="13"/>
  <c r="AH255" i="13"/>
  <c r="AI255" i="13"/>
  <c r="AR255" i="13"/>
  <c r="AV255" i="13"/>
  <c r="R257" i="13"/>
  <c r="X257" i="13"/>
  <c r="AD257" i="13"/>
  <c r="AE257" i="13"/>
  <c r="AF257" i="13"/>
  <c r="AG257" i="13"/>
  <c r="AH257" i="13"/>
  <c r="AI257" i="13"/>
  <c r="AR257" i="13"/>
  <c r="AV257" i="13"/>
  <c r="R259" i="13"/>
  <c r="X259" i="13"/>
  <c r="AD259" i="13"/>
  <c r="AE259" i="13"/>
  <c r="AF259" i="13"/>
  <c r="AG259" i="13"/>
  <c r="AH259" i="13"/>
  <c r="AI259" i="13"/>
  <c r="AR259" i="13"/>
  <c r="AV259" i="13"/>
  <c r="R261" i="13"/>
  <c r="X261" i="13"/>
  <c r="AD261" i="13"/>
  <c r="AE261" i="13"/>
  <c r="AF261" i="13"/>
  <c r="AG261" i="13"/>
  <c r="AH261" i="13"/>
  <c r="AI261" i="13"/>
  <c r="AR261" i="13"/>
  <c r="AV261" i="13"/>
  <c r="R280" i="13"/>
  <c r="X280" i="13"/>
  <c r="V280" i="13" s="1"/>
  <c r="AD280" i="13"/>
  <c r="AE280" i="13"/>
  <c r="AF280" i="13"/>
  <c r="AG280" i="13"/>
  <c r="AH280" i="13"/>
  <c r="AI280" i="13"/>
  <c r="AR280" i="13"/>
  <c r="AV280" i="13"/>
  <c r="R275" i="13"/>
  <c r="X275" i="13"/>
  <c r="AD275" i="13"/>
  <c r="AE275" i="13"/>
  <c r="AF275" i="13"/>
  <c r="AG275" i="13"/>
  <c r="AH275" i="13"/>
  <c r="AI275" i="13"/>
  <c r="AR275" i="13"/>
  <c r="AV275" i="13"/>
  <c r="R276" i="13"/>
  <c r="X276" i="13"/>
  <c r="AD276" i="13"/>
  <c r="AE276" i="13"/>
  <c r="AF276" i="13"/>
  <c r="AG276" i="13"/>
  <c r="AH276" i="13"/>
  <c r="AI276" i="13"/>
  <c r="AR276" i="13"/>
  <c r="AV276" i="13"/>
  <c r="R277" i="13"/>
  <c r="X277" i="13"/>
  <c r="AD277" i="13"/>
  <c r="AE277" i="13"/>
  <c r="AF277" i="13"/>
  <c r="AG277" i="13"/>
  <c r="AH277" i="13"/>
  <c r="AI277" i="13"/>
  <c r="AR277" i="13"/>
  <c r="AV277" i="13"/>
  <c r="R278" i="13"/>
  <c r="X278" i="13"/>
  <c r="AD278" i="13"/>
  <c r="AE278" i="13"/>
  <c r="AF278" i="13"/>
  <c r="AG278" i="13"/>
  <c r="AH278" i="13"/>
  <c r="AI278" i="13"/>
  <c r="AR278" i="13"/>
  <c r="AV278" i="13"/>
  <c r="R279" i="13"/>
  <c r="X279" i="13"/>
  <c r="AD279" i="13"/>
  <c r="AE279" i="13"/>
  <c r="AF279" i="13"/>
  <c r="AG279" i="13"/>
  <c r="AH279" i="13"/>
  <c r="AI279" i="13"/>
  <c r="AR279" i="13"/>
  <c r="AV279" i="13"/>
  <c r="R264" i="13"/>
  <c r="X264" i="13"/>
  <c r="T264" i="13" s="1"/>
  <c r="AD264" i="13"/>
  <c r="AE264" i="13"/>
  <c r="AF264" i="13"/>
  <c r="AG264" i="13"/>
  <c r="AH264" i="13"/>
  <c r="AI264" i="13"/>
  <c r="AR264" i="13"/>
  <c r="AV264" i="13"/>
  <c r="R266" i="13"/>
  <c r="X266" i="13"/>
  <c r="AD266" i="13"/>
  <c r="AE266" i="13"/>
  <c r="AF266" i="13"/>
  <c r="AG266" i="13"/>
  <c r="AH266" i="13"/>
  <c r="AI266" i="13"/>
  <c r="AR266" i="13"/>
  <c r="AV266" i="13"/>
  <c r="R268" i="13"/>
  <c r="X268" i="13"/>
  <c r="AD268" i="13"/>
  <c r="AE268" i="13"/>
  <c r="AF268" i="13"/>
  <c r="AG268" i="13"/>
  <c r="AH268" i="13"/>
  <c r="AI268" i="13"/>
  <c r="AR268" i="13"/>
  <c r="AV268" i="13"/>
  <c r="R245" i="13"/>
  <c r="X245" i="13"/>
  <c r="AD245" i="13"/>
  <c r="AE245" i="13"/>
  <c r="AF245" i="13"/>
  <c r="AG245" i="13"/>
  <c r="AH245" i="13"/>
  <c r="AI245" i="13"/>
  <c r="AR245" i="13"/>
  <c r="AV245" i="13"/>
  <c r="R247" i="13"/>
  <c r="X247" i="13"/>
  <c r="AD247" i="13"/>
  <c r="AE247" i="13"/>
  <c r="AF247" i="13"/>
  <c r="AG247" i="13"/>
  <c r="AH247" i="13"/>
  <c r="AI247" i="13"/>
  <c r="AR247" i="13"/>
  <c r="AV247" i="13"/>
  <c r="R248" i="13"/>
  <c r="X248" i="13"/>
  <c r="AD248" i="13"/>
  <c r="AE248" i="13"/>
  <c r="AF248" i="13"/>
  <c r="AG248" i="13"/>
  <c r="AH248" i="13"/>
  <c r="AI248" i="13"/>
  <c r="AR248" i="13"/>
  <c r="AV248" i="13"/>
  <c r="R250" i="13"/>
  <c r="X250" i="13"/>
  <c r="AD250" i="13"/>
  <c r="AE250" i="13"/>
  <c r="AF250" i="13"/>
  <c r="AG250" i="13"/>
  <c r="AH250" i="13"/>
  <c r="AI250" i="13"/>
  <c r="AR250" i="13"/>
  <c r="AV250" i="13"/>
  <c r="R309" i="13"/>
  <c r="X309" i="13"/>
  <c r="AD309" i="13"/>
  <c r="AE309" i="13"/>
  <c r="AF309" i="13"/>
  <c r="AG309" i="13"/>
  <c r="AH309" i="13"/>
  <c r="AI309" i="13"/>
  <c r="AR309" i="13"/>
  <c r="AV309" i="13"/>
  <c r="R286" i="13"/>
  <c r="X286" i="13"/>
  <c r="AD286" i="13"/>
  <c r="AE286" i="13"/>
  <c r="AF286" i="13"/>
  <c r="AG286" i="13"/>
  <c r="AH286" i="13"/>
  <c r="AI286" i="13"/>
  <c r="AR286" i="13"/>
  <c r="AV286" i="13"/>
  <c r="R301" i="13"/>
  <c r="X301" i="13"/>
  <c r="AD301" i="13"/>
  <c r="AE301" i="13"/>
  <c r="AF301" i="13"/>
  <c r="AG301" i="13"/>
  <c r="AH301" i="13"/>
  <c r="AI301" i="13"/>
  <c r="AR301" i="13"/>
  <c r="AV301" i="13"/>
  <c r="R303" i="13"/>
  <c r="X303" i="13"/>
  <c r="AD303" i="13"/>
  <c r="AE303" i="13"/>
  <c r="AF303" i="13"/>
  <c r="AG303" i="13"/>
  <c r="AH303" i="13"/>
  <c r="AI303" i="13"/>
  <c r="AR303" i="13"/>
  <c r="AV303" i="13"/>
  <c r="R294" i="13"/>
  <c r="X294" i="13"/>
  <c r="T294" i="13" s="1"/>
  <c r="AD294" i="13"/>
  <c r="AE294" i="13"/>
  <c r="AF294" i="13"/>
  <c r="AG294" i="13"/>
  <c r="AH294" i="13"/>
  <c r="AI294" i="13"/>
  <c r="AR294" i="13"/>
  <c r="AV294" i="13"/>
  <c r="R298" i="13"/>
  <c r="X298" i="13"/>
  <c r="AD298" i="13"/>
  <c r="AE298" i="13"/>
  <c r="AF298" i="13"/>
  <c r="AG298" i="13"/>
  <c r="AH298" i="13"/>
  <c r="AI298" i="13"/>
  <c r="AR298" i="13"/>
  <c r="AV298" i="13"/>
  <c r="R296" i="13"/>
  <c r="X296" i="13"/>
  <c r="AD296" i="13"/>
  <c r="AE296" i="13"/>
  <c r="AF296" i="13"/>
  <c r="AG296" i="13"/>
  <c r="AH296" i="13"/>
  <c r="AI296" i="13"/>
  <c r="AR296" i="13"/>
  <c r="AV296" i="13"/>
  <c r="R287" i="13"/>
  <c r="X287" i="13"/>
  <c r="V287" i="13" s="1"/>
  <c r="AD287" i="13"/>
  <c r="AE287" i="13"/>
  <c r="AF287" i="13"/>
  <c r="AG287" i="13"/>
  <c r="AH287" i="13"/>
  <c r="AI287" i="13"/>
  <c r="AR287" i="13"/>
  <c r="AV287" i="13"/>
  <c r="R289" i="13"/>
  <c r="X289" i="13"/>
  <c r="AD289" i="13"/>
  <c r="AE289" i="13"/>
  <c r="AF289" i="13"/>
  <c r="AG289" i="13"/>
  <c r="AH289" i="13"/>
  <c r="AI289" i="13"/>
  <c r="AR289" i="13"/>
  <c r="AV289" i="13"/>
  <c r="R290" i="13"/>
  <c r="X290" i="13"/>
  <c r="AD290" i="13"/>
  <c r="AE290" i="13"/>
  <c r="AF290" i="13"/>
  <c r="AG290" i="13"/>
  <c r="AH290" i="13"/>
  <c r="AI290" i="13"/>
  <c r="AR290" i="13"/>
  <c r="AV290" i="13"/>
  <c r="R292" i="13"/>
  <c r="X292" i="13"/>
  <c r="AD292" i="13"/>
  <c r="AE292" i="13"/>
  <c r="AF292" i="13"/>
  <c r="AG292" i="13"/>
  <c r="AH292" i="13"/>
  <c r="AI292" i="13"/>
  <c r="AR292" i="13"/>
  <c r="AV292" i="13"/>
  <c r="R283" i="13"/>
  <c r="X283" i="13"/>
  <c r="AD283" i="13"/>
  <c r="AE283" i="13"/>
  <c r="AF283" i="13"/>
  <c r="AG283" i="13"/>
  <c r="AH283" i="13"/>
  <c r="AI283" i="13"/>
  <c r="AR283" i="13"/>
  <c r="AV283" i="13"/>
  <c r="R284" i="13"/>
  <c r="X284" i="13"/>
  <c r="AD284" i="13"/>
  <c r="AE284" i="13"/>
  <c r="AF284" i="13"/>
  <c r="AG284" i="13"/>
  <c r="AH284" i="13"/>
  <c r="AI284" i="13"/>
  <c r="AR284" i="13"/>
  <c r="AV284" i="13"/>
  <c r="R305" i="13"/>
  <c r="X305" i="13"/>
  <c r="AD305" i="13"/>
  <c r="AE305" i="13"/>
  <c r="AF305" i="13"/>
  <c r="AG305" i="13"/>
  <c r="AH305" i="13"/>
  <c r="AI305" i="13"/>
  <c r="AR305" i="13"/>
  <c r="AV305" i="13"/>
  <c r="R306" i="13"/>
  <c r="X306" i="13"/>
  <c r="AD306" i="13"/>
  <c r="AE306" i="13"/>
  <c r="AF306" i="13"/>
  <c r="AG306" i="13"/>
  <c r="AH306" i="13"/>
  <c r="AI306" i="13"/>
  <c r="AR306" i="13"/>
  <c r="AV306" i="13"/>
  <c r="R308" i="13"/>
  <c r="X308" i="13"/>
  <c r="AD308" i="13"/>
  <c r="AE308" i="13"/>
  <c r="AF308" i="13"/>
  <c r="AG308" i="13"/>
  <c r="AH308" i="13"/>
  <c r="AI308" i="13"/>
  <c r="AR308" i="13"/>
  <c r="AV308" i="13"/>
  <c r="X85" i="13"/>
  <c r="AD85" i="13"/>
  <c r="AE85" i="13"/>
  <c r="AF85" i="13"/>
  <c r="AG85" i="13"/>
  <c r="AH85" i="13"/>
  <c r="AI85" i="13"/>
  <c r="AR85" i="13"/>
  <c r="AV85" i="13"/>
  <c r="AV12" i="13"/>
  <c r="AV13" i="13"/>
  <c r="AV50" i="13"/>
  <c r="AV47" i="13"/>
  <c r="AV48" i="13"/>
  <c r="AV36" i="13"/>
  <c r="AV37" i="13"/>
  <c r="AV21" i="13"/>
  <c r="AV22" i="13"/>
  <c r="AV23" i="13"/>
  <c r="AV24" i="13"/>
  <c r="AV20" i="13"/>
  <c r="AV18" i="13"/>
  <c r="AV19" i="13"/>
  <c r="AV17" i="13"/>
  <c r="AV15" i="13"/>
  <c r="AV16" i="13"/>
  <c r="AV39" i="13"/>
  <c r="AV43" i="13"/>
  <c r="AV45" i="13"/>
  <c r="AV41" i="13"/>
  <c r="AV26" i="13"/>
  <c r="AV28" i="13"/>
  <c r="AV31" i="13"/>
  <c r="AV32" i="13"/>
  <c r="AV29" i="13"/>
  <c r="AV30" i="13"/>
  <c r="AV33" i="13"/>
  <c r="AV34" i="13"/>
  <c r="AV35" i="13"/>
  <c r="AV9" i="13"/>
  <c r="AV8" i="13"/>
  <c r="AV6" i="13"/>
  <c r="AV5" i="13"/>
  <c r="AV52" i="13"/>
  <c r="AV53" i="13"/>
  <c r="AV54" i="13"/>
  <c r="AV55" i="13"/>
  <c r="AV56" i="13"/>
  <c r="AV57" i="13"/>
  <c r="AV59" i="13"/>
  <c r="AV60" i="13"/>
  <c r="AV64" i="13"/>
  <c r="AV66" i="13"/>
  <c r="AV78" i="13"/>
  <c r="AV84" i="13"/>
  <c r="AR12" i="13"/>
  <c r="AR13" i="13"/>
  <c r="AR50" i="13"/>
  <c r="AR47" i="13"/>
  <c r="AR48" i="13"/>
  <c r="AR36" i="13"/>
  <c r="AR37" i="13"/>
  <c r="AR21" i="13"/>
  <c r="AR22" i="13"/>
  <c r="AR23" i="13"/>
  <c r="AR24" i="13"/>
  <c r="AR20" i="13"/>
  <c r="AR18" i="13"/>
  <c r="AR19" i="13"/>
  <c r="AR17" i="13"/>
  <c r="AR15" i="13"/>
  <c r="AR16" i="13"/>
  <c r="AR39" i="13"/>
  <c r="AR43" i="13"/>
  <c r="AR45" i="13"/>
  <c r="AR41" i="13"/>
  <c r="AR26" i="13"/>
  <c r="AR28" i="13"/>
  <c r="AR31" i="13"/>
  <c r="AR32" i="13"/>
  <c r="AR29" i="13"/>
  <c r="AR30" i="13"/>
  <c r="AR33" i="13"/>
  <c r="AR34" i="13"/>
  <c r="AR35" i="13"/>
  <c r="AR9" i="13"/>
  <c r="AR8" i="13"/>
  <c r="AR6" i="13"/>
  <c r="AR5" i="13"/>
  <c r="AR52" i="13"/>
  <c r="AR53" i="13"/>
  <c r="AR54" i="13"/>
  <c r="AR55" i="13"/>
  <c r="AR56" i="13"/>
  <c r="AR57" i="13"/>
  <c r="AR59" i="13"/>
  <c r="AR60" i="13"/>
  <c r="AR64" i="13"/>
  <c r="AR66" i="13"/>
  <c r="AR78" i="13"/>
  <c r="AR84" i="13"/>
  <c r="AD12" i="13"/>
  <c r="AE12" i="13"/>
  <c r="AF12" i="13"/>
  <c r="AG12" i="13"/>
  <c r="AH12" i="13"/>
  <c r="AI12" i="13"/>
  <c r="AD13" i="13"/>
  <c r="AE13" i="13"/>
  <c r="AF13" i="13"/>
  <c r="AG13" i="13"/>
  <c r="AH13" i="13"/>
  <c r="AI13" i="13"/>
  <c r="AD50" i="13"/>
  <c r="AE50" i="13"/>
  <c r="AF50" i="13"/>
  <c r="AG50" i="13"/>
  <c r="AH50" i="13"/>
  <c r="AI50" i="13"/>
  <c r="AD47" i="13"/>
  <c r="AE47" i="13"/>
  <c r="AF47" i="13"/>
  <c r="AG47" i="13"/>
  <c r="AH47" i="13"/>
  <c r="AI47" i="13"/>
  <c r="AD48" i="13"/>
  <c r="AE48" i="13"/>
  <c r="AF48" i="13"/>
  <c r="AG48" i="13"/>
  <c r="AH48" i="13"/>
  <c r="AI48" i="13"/>
  <c r="AD36" i="13"/>
  <c r="AE36" i="13"/>
  <c r="AF36" i="13"/>
  <c r="AG36" i="13"/>
  <c r="AH36" i="13"/>
  <c r="AI36" i="13"/>
  <c r="AD37" i="13"/>
  <c r="AE37" i="13"/>
  <c r="AF37" i="13"/>
  <c r="AG37" i="13"/>
  <c r="AH37" i="13"/>
  <c r="AI37" i="13"/>
  <c r="AD21" i="13"/>
  <c r="AE21" i="13"/>
  <c r="AF21" i="13"/>
  <c r="AG21" i="13"/>
  <c r="AH21" i="13"/>
  <c r="AI21" i="13"/>
  <c r="AD22" i="13"/>
  <c r="AE22" i="13"/>
  <c r="AF22" i="13"/>
  <c r="AG22" i="13"/>
  <c r="AH22" i="13"/>
  <c r="AI22" i="13"/>
  <c r="AD23" i="13"/>
  <c r="AE23" i="13"/>
  <c r="AF23" i="13"/>
  <c r="AG23" i="13"/>
  <c r="AH23" i="13"/>
  <c r="AI23" i="13"/>
  <c r="AD24" i="13"/>
  <c r="AE24" i="13"/>
  <c r="AF24" i="13"/>
  <c r="AG24" i="13"/>
  <c r="AH24" i="13"/>
  <c r="AI24" i="13"/>
  <c r="AD20" i="13"/>
  <c r="AE20" i="13"/>
  <c r="AF20" i="13"/>
  <c r="AG20" i="13"/>
  <c r="AH20" i="13"/>
  <c r="AI20" i="13"/>
  <c r="AD18" i="13"/>
  <c r="AE18" i="13"/>
  <c r="AF18" i="13"/>
  <c r="AG18" i="13"/>
  <c r="AH18" i="13"/>
  <c r="AI18" i="13"/>
  <c r="AD19" i="13"/>
  <c r="AE19" i="13"/>
  <c r="AF19" i="13"/>
  <c r="AG19" i="13"/>
  <c r="AH19" i="13"/>
  <c r="AI19" i="13"/>
  <c r="AD17" i="13"/>
  <c r="AE17" i="13"/>
  <c r="AF17" i="13"/>
  <c r="AG17" i="13"/>
  <c r="AH17" i="13"/>
  <c r="AI17" i="13"/>
  <c r="AD15" i="13"/>
  <c r="AE15" i="13"/>
  <c r="AF15" i="13"/>
  <c r="AG15" i="13"/>
  <c r="AH15" i="13"/>
  <c r="AI15" i="13"/>
  <c r="AD16" i="13"/>
  <c r="AE16" i="13"/>
  <c r="AF16" i="13"/>
  <c r="AG16" i="13"/>
  <c r="AH16" i="13"/>
  <c r="AI16" i="13"/>
  <c r="AD39" i="13"/>
  <c r="AE39" i="13"/>
  <c r="AF39" i="13"/>
  <c r="AG39" i="13"/>
  <c r="AH39" i="13"/>
  <c r="AI39" i="13"/>
  <c r="AD43" i="13"/>
  <c r="AE43" i="13"/>
  <c r="AF43" i="13"/>
  <c r="AG43" i="13"/>
  <c r="AH43" i="13"/>
  <c r="AI43" i="13"/>
  <c r="AD45" i="13"/>
  <c r="AE45" i="13"/>
  <c r="AF45" i="13"/>
  <c r="AG45" i="13"/>
  <c r="AH45" i="13"/>
  <c r="AI45" i="13"/>
  <c r="AD41" i="13"/>
  <c r="AE41" i="13"/>
  <c r="AF41" i="13"/>
  <c r="AG41" i="13"/>
  <c r="AH41" i="13"/>
  <c r="AI41" i="13"/>
  <c r="AD26" i="13"/>
  <c r="AE26" i="13"/>
  <c r="AF26" i="13"/>
  <c r="AG26" i="13"/>
  <c r="AH26" i="13"/>
  <c r="AI26" i="13"/>
  <c r="AD28" i="13"/>
  <c r="AE28" i="13"/>
  <c r="AF28" i="13"/>
  <c r="AG28" i="13"/>
  <c r="AH28" i="13"/>
  <c r="AI28" i="13"/>
  <c r="AD31" i="13"/>
  <c r="AE31" i="13"/>
  <c r="AF31" i="13"/>
  <c r="AG31" i="13"/>
  <c r="AH31" i="13"/>
  <c r="AI31" i="13"/>
  <c r="AD32" i="13"/>
  <c r="AE32" i="13"/>
  <c r="AF32" i="13"/>
  <c r="AG32" i="13"/>
  <c r="AH32" i="13"/>
  <c r="AI32" i="13"/>
  <c r="AD29" i="13"/>
  <c r="AE29" i="13"/>
  <c r="AF29" i="13"/>
  <c r="AG29" i="13"/>
  <c r="AH29" i="13"/>
  <c r="AI29" i="13"/>
  <c r="AD30" i="13"/>
  <c r="AE30" i="13"/>
  <c r="AF30" i="13"/>
  <c r="AG30" i="13"/>
  <c r="AH30" i="13"/>
  <c r="AI30" i="13"/>
  <c r="AD33" i="13"/>
  <c r="AE33" i="13"/>
  <c r="AF33" i="13"/>
  <c r="AG33" i="13"/>
  <c r="AH33" i="13"/>
  <c r="AI33" i="13"/>
  <c r="AD34" i="13"/>
  <c r="AE34" i="13"/>
  <c r="AF34" i="13"/>
  <c r="AG34" i="13"/>
  <c r="AH34" i="13"/>
  <c r="AI34" i="13"/>
  <c r="AD35" i="13"/>
  <c r="AE35" i="13"/>
  <c r="AF35" i="13"/>
  <c r="AG35" i="13"/>
  <c r="AH35" i="13"/>
  <c r="AI35" i="13"/>
  <c r="AD9" i="13"/>
  <c r="AE9" i="13"/>
  <c r="AF9" i="13"/>
  <c r="AG9" i="13"/>
  <c r="AH9" i="13"/>
  <c r="AI9" i="13"/>
  <c r="AD8" i="13"/>
  <c r="AE8" i="13"/>
  <c r="AF8" i="13"/>
  <c r="AG8" i="13"/>
  <c r="AH8" i="13"/>
  <c r="AI8" i="13"/>
  <c r="AD6" i="13"/>
  <c r="AE6" i="13"/>
  <c r="AF6" i="13"/>
  <c r="AG6" i="13"/>
  <c r="AH6" i="13"/>
  <c r="AI6" i="13"/>
  <c r="AD5" i="13"/>
  <c r="AE5" i="13"/>
  <c r="AF5" i="13"/>
  <c r="AG5" i="13"/>
  <c r="AH5" i="13"/>
  <c r="AI5" i="13"/>
  <c r="AD52" i="13"/>
  <c r="AE52" i="13"/>
  <c r="AF52" i="13"/>
  <c r="AG52" i="13"/>
  <c r="AH52" i="13"/>
  <c r="AI52" i="13"/>
  <c r="AD53" i="13"/>
  <c r="AE53" i="13"/>
  <c r="AF53" i="13"/>
  <c r="AG53" i="13"/>
  <c r="AH53" i="13"/>
  <c r="AI53" i="13"/>
  <c r="AD54" i="13"/>
  <c r="AE54" i="13"/>
  <c r="AF54" i="13"/>
  <c r="AG54" i="13"/>
  <c r="AH54" i="13"/>
  <c r="AI54" i="13"/>
  <c r="AD55" i="13"/>
  <c r="AE55" i="13"/>
  <c r="AF55" i="13"/>
  <c r="AG55" i="13"/>
  <c r="AH55" i="13"/>
  <c r="AI55" i="13"/>
  <c r="AD56" i="13"/>
  <c r="AE56" i="13"/>
  <c r="AF56" i="13"/>
  <c r="AG56" i="13"/>
  <c r="AH56" i="13"/>
  <c r="AI56" i="13"/>
  <c r="AD57" i="13"/>
  <c r="AE57" i="13"/>
  <c r="AF57" i="13"/>
  <c r="AG57" i="13"/>
  <c r="AH57" i="13"/>
  <c r="AI57" i="13"/>
  <c r="AD59" i="13"/>
  <c r="AE59" i="13"/>
  <c r="AF59" i="13"/>
  <c r="AG59" i="13"/>
  <c r="AH59" i="13"/>
  <c r="AI59" i="13"/>
  <c r="AD60" i="13"/>
  <c r="AE60" i="13"/>
  <c r="AF60" i="13"/>
  <c r="AG60" i="13"/>
  <c r="AH60" i="13"/>
  <c r="AI60" i="13"/>
  <c r="AD64" i="13"/>
  <c r="AE64" i="13"/>
  <c r="AF64" i="13"/>
  <c r="AG64" i="13"/>
  <c r="AH64" i="13"/>
  <c r="AI64" i="13"/>
  <c r="AD66" i="13"/>
  <c r="AE66" i="13"/>
  <c r="AF66" i="13"/>
  <c r="AG66" i="13"/>
  <c r="AH66" i="13"/>
  <c r="AI66" i="13"/>
  <c r="AD78" i="13"/>
  <c r="AE78" i="13"/>
  <c r="AF78" i="13"/>
  <c r="AG78" i="13"/>
  <c r="AH78" i="13"/>
  <c r="AI78" i="13"/>
  <c r="AD84" i="13"/>
  <c r="AE84" i="13"/>
  <c r="AF84" i="13"/>
  <c r="AG84" i="13"/>
  <c r="AH84" i="13"/>
  <c r="AI84" i="13"/>
  <c r="X12" i="13"/>
  <c r="X13" i="13"/>
  <c r="X50" i="13"/>
  <c r="X47" i="13"/>
  <c r="X48" i="13"/>
  <c r="X36" i="13"/>
  <c r="X37" i="13"/>
  <c r="X21" i="13"/>
  <c r="X22" i="13"/>
  <c r="X23" i="13"/>
  <c r="X24" i="13"/>
  <c r="X20" i="13"/>
  <c r="X18" i="13"/>
  <c r="X19" i="13"/>
  <c r="X17" i="13"/>
  <c r="X15" i="13"/>
  <c r="X16" i="13"/>
  <c r="X39" i="13"/>
  <c r="X43" i="13"/>
  <c r="X45" i="13"/>
  <c r="X41" i="13"/>
  <c r="X26" i="13"/>
  <c r="X28" i="13"/>
  <c r="X31" i="13"/>
  <c r="X32" i="13"/>
  <c r="X29" i="13"/>
  <c r="X30" i="13"/>
  <c r="X33" i="13"/>
  <c r="X34" i="13"/>
  <c r="X35" i="13"/>
  <c r="X9" i="13"/>
  <c r="X8" i="13"/>
  <c r="X6" i="13"/>
  <c r="X5" i="13"/>
  <c r="X52" i="13"/>
  <c r="X53" i="13"/>
  <c r="X54" i="13"/>
  <c r="X55" i="13"/>
  <c r="X56" i="13"/>
  <c r="X57" i="13"/>
  <c r="X59" i="13"/>
  <c r="X60" i="13"/>
  <c r="X64" i="13"/>
  <c r="X66" i="13"/>
  <c r="X78" i="13"/>
  <c r="X84" i="13"/>
  <c r="R12" i="13"/>
  <c r="R13" i="13"/>
  <c r="R50" i="13"/>
  <c r="R47" i="13"/>
  <c r="R48" i="13"/>
  <c r="R36" i="13"/>
  <c r="R37" i="13"/>
  <c r="R21" i="13"/>
  <c r="R22" i="13"/>
  <c r="R23" i="13"/>
  <c r="R24" i="13"/>
  <c r="R20" i="13"/>
  <c r="R18" i="13"/>
  <c r="R19" i="13"/>
  <c r="R17" i="13"/>
  <c r="R15" i="13"/>
  <c r="R16" i="13"/>
  <c r="R39" i="13"/>
  <c r="R43" i="13"/>
  <c r="R45" i="13"/>
  <c r="R41" i="13"/>
  <c r="R26" i="13"/>
  <c r="R28" i="13"/>
  <c r="R31" i="13"/>
  <c r="R32" i="13"/>
  <c r="R29" i="13"/>
  <c r="R30" i="13"/>
  <c r="R33" i="13"/>
  <c r="R34" i="13"/>
  <c r="R35" i="13"/>
  <c r="R9" i="13"/>
  <c r="R8" i="13"/>
  <c r="R6" i="13"/>
  <c r="R5" i="13"/>
  <c r="R52" i="13"/>
  <c r="R53" i="13"/>
  <c r="R54" i="13"/>
  <c r="R55" i="13"/>
  <c r="R56" i="13"/>
  <c r="R57" i="13"/>
  <c r="R59" i="13"/>
  <c r="R60" i="13"/>
  <c r="R64" i="13"/>
  <c r="R66" i="13"/>
  <c r="R78" i="13"/>
  <c r="R84" i="13"/>
  <c r="R85" i="13"/>
  <c r="AR10" i="13"/>
  <c r="AR11" i="13"/>
  <c r="AH11" i="13"/>
  <c r="AI11" i="13"/>
  <c r="AH10" i="13"/>
  <c r="AI10" i="13"/>
  <c r="AF11" i="13"/>
  <c r="AG11" i="13"/>
  <c r="AF10" i="13"/>
  <c r="AG10" i="13"/>
  <c r="AE11" i="13"/>
  <c r="AE10" i="13"/>
  <c r="AD11" i="13"/>
  <c r="AD10" i="13"/>
  <c r="B36" i="8"/>
  <c r="AV10" i="13"/>
  <c r="X10" i="13"/>
  <c r="R10" i="13"/>
  <c r="AV11" i="13"/>
  <c r="R11" i="13"/>
  <c r="X11" i="13"/>
  <c r="AH10" i="12"/>
  <c r="AH11" i="12" s="1"/>
  <c r="AM26" i="12"/>
  <c r="AM35" i="12" s="1"/>
  <c r="AT35" i="12" s="1"/>
  <c r="AL26" i="12"/>
  <c r="AL35" i="12" s="1"/>
  <c r="AS35" i="12" s="1"/>
  <c r="AI26" i="12"/>
  <c r="AI35" i="12" s="1"/>
  <c r="AP35" i="12" s="1"/>
  <c r="AI24" i="12"/>
  <c r="AI33" i="12" s="1"/>
  <c r="AP3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P17" i="12"/>
  <c r="AM17" i="12"/>
  <c r="AL17" i="12"/>
  <c r="AI17" i="12"/>
  <c r="AM16" i="12"/>
  <c r="AM25" i="12" s="1"/>
  <c r="AL16" i="12"/>
  <c r="AS16" i="12" s="1"/>
  <c r="AI16" i="12"/>
  <c r="AI25" i="12" s="1"/>
  <c r="AP15" i="12"/>
  <c r="AM15" i="12"/>
  <c r="AM24" i="12" s="1"/>
  <c r="AL15" i="12"/>
  <c r="AL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P12" i="12" s="1"/>
  <c r="AM11" i="12"/>
  <c r="AM20" i="12" s="1"/>
  <c r="AL11" i="12"/>
  <c r="AL20" i="12" s="1"/>
  <c r="AK11" i="12"/>
  <c r="AK20" i="12" s="1"/>
  <c r="AJ11" i="12"/>
  <c r="AJ20" i="12" s="1"/>
  <c r="AI11" i="12"/>
  <c r="AI20" i="12" s="1"/>
  <c r="AP10" i="12"/>
  <c r="AM10" i="12"/>
  <c r="AT10" i="12" s="1"/>
  <c r="AL10" i="12"/>
  <c r="AL19" i="12" s="1"/>
  <c r="AK10" i="12"/>
  <c r="AR10" i="12" s="1"/>
  <c r="AJ10" i="12"/>
  <c r="AQ10" i="12" s="1"/>
  <c r="AI10" i="12"/>
  <c r="AK8" i="12"/>
  <c r="AK17" i="12" s="1"/>
  <c r="AJ8" i="12"/>
  <c r="AJ17" i="12" s="1"/>
  <c r="AK7" i="12"/>
  <c r="AK16" i="12" s="1"/>
  <c r="AR16" i="12" s="1"/>
  <c r="AJ7" i="12"/>
  <c r="AJ16" i="12" s="1"/>
  <c r="AJ25" i="12" s="1"/>
  <c r="AK6" i="12"/>
  <c r="AK15" i="12" s="1"/>
  <c r="AK24" i="12" s="1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E8" i="12"/>
  <c r="E17" i="12" s="1"/>
  <c r="D8" i="12"/>
  <c r="E7" i="12"/>
  <c r="E16" i="12" s="1"/>
  <c r="L16" i="12" s="1"/>
  <c r="D7" i="12"/>
  <c r="E6" i="12"/>
  <c r="E15" i="12" s="1"/>
  <c r="D6" i="12"/>
  <c r="D15" i="12" s="1"/>
  <c r="E5" i="12"/>
  <c r="E14" i="12" s="1"/>
  <c r="D5" i="12"/>
  <c r="E4" i="12"/>
  <c r="E13" i="12" s="1"/>
  <c r="D4" i="12"/>
  <c r="U4" i="12"/>
  <c r="U13" i="12" s="1"/>
  <c r="U22" i="12" s="1"/>
  <c r="AB22" i="12" s="1"/>
  <c r="U5" i="12"/>
  <c r="U14" i="12" s="1"/>
  <c r="AB14" i="12" s="1"/>
  <c r="U6" i="12"/>
  <c r="U7" i="12"/>
  <c r="U16" i="12" s="1"/>
  <c r="U8" i="12"/>
  <c r="T5" i="12"/>
  <c r="T7" i="12"/>
  <c r="T8" i="12"/>
  <c r="T6" i="12"/>
  <c r="T4" i="12"/>
  <c r="T13" i="12" s="1"/>
  <c r="T22" i="12" s="1"/>
  <c r="T29" i="12"/>
  <c r="AA29" i="12" s="1"/>
  <c r="W26" i="12"/>
  <c r="V26" i="12"/>
  <c r="S24" i="12"/>
  <c r="AA23" i="12"/>
  <c r="V23" i="12"/>
  <c r="AC23" i="12" s="1"/>
  <c r="S22" i="12"/>
  <c r="V19" i="12"/>
  <c r="T19" i="12"/>
  <c r="T28" i="12" s="1"/>
  <c r="AA28" i="12" s="1"/>
  <c r="S19" i="12"/>
  <c r="S28" i="12" s="1"/>
  <c r="Z28" i="12" s="1"/>
  <c r="W17" i="12"/>
  <c r="AD17" i="12" s="1"/>
  <c r="V17" i="12"/>
  <c r="AC17" i="12" s="1"/>
  <c r="U17" i="12"/>
  <c r="U26" i="12" s="1"/>
  <c r="U35" i="12" s="1"/>
  <c r="AB35" i="12" s="1"/>
  <c r="T17" i="12"/>
  <c r="AA17" i="12" s="1"/>
  <c r="S17" i="12"/>
  <c r="S26" i="12" s="1"/>
  <c r="S35" i="12" s="1"/>
  <c r="Z35" i="12" s="1"/>
  <c r="W16" i="12"/>
  <c r="V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T14" i="12"/>
  <c r="T23" i="12" s="1"/>
  <c r="T32" i="12" s="1"/>
  <c r="AA32" i="12" s="1"/>
  <c r="S14" i="12"/>
  <c r="W13" i="12"/>
  <c r="W22" i="12" s="1"/>
  <c r="AD22" i="12" s="1"/>
  <c r="V13" i="12"/>
  <c r="V22" i="12" s="1"/>
  <c r="AC22" i="12" s="1"/>
  <c r="S13" i="12"/>
  <c r="Z13" i="12" s="1"/>
  <c r="W12" i="12"/>
  <c r="W21" i="12" s="1"/>
  <c r="V12" i="12"/>
  <c r="AC12" i="12" s="1"/>
  <c r="U12" i="12"/>
  <c r="AB12" i="12" s="1"/>
  <c r="T12" i="12"/>
  <c r="AA12" i="12" s="1"/>
  <c r="S12" i="12"/>
  <c r="Z12" i="12" s="1"/>
  <c r="AA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W10" i="12"/>
  <c r="W19" i="12" s="1"/>
  <c r="V10" i="12"/>
  <c r="AC10" i="12" s="1"/>
  <c r="U10" i="12"/>
  <c r="AB10" i="12" s="1"/>
  <c r="T10" i="12"/>
  <c r="AA10" i="12" s="1"/>
  <c r="S10" i="12"/>
  <c r="Z10" i="12" s="1"/>
  <c r="R10" i="12"/>
  <c r="Y10" i="12" s="1"/>
  <c r="R2" i="12"/>
  <c r="R3" i="12" s="1"/>
  <c r="R4" i="12" s="1"/>
  <c r="G34" i="12"/>
  <c r="N34" i="12" s="1"/>
  <c r="G32" i="12"/>
  <c r="N32" i="12" s="1"/>
  <c r="D28" i="12"/>
  <c r="K28" i="12" s="1"/>
  <c r="B11" i="12"/>
  <c r="I11" i="12" s="1"/>
  <c r="E19" i="12"/>
  <c r="L19" i="12" s="1"/>
  <c r="G20" i="12"/>
  <c r="N20" i="12" s="1"/>
  <c r="F21" i="12"/>
  <c r="M21" i="12" s="1"/>
  <c r="G21" i="12"/>
  <c r="G30" i="12" s="1"/>
  <c r="N30" i="12" s="1"/>
  <c r="F22" i="12"/>
  <c r="M22" i="12" s="1"/>
  <c r="G23" i="12"/>
  <c r="G24" i="12"/>
  <c r="G33" i="12" s="1"/>
  <c r="N33" i="12" s="1"/>
  <c r="G25" i="12"/>
  <c r="N25" i="12" s="1"/>
  <c r="F26" i="12"/>
  <c r="M26" i="12" s="1"/>
  <c r="D19" i="12"/>
  <c r="K19" i="12" s="1"/>
  <c r="C25" i="12"/>
  <c r="J25" i="12" s="1"/>
  <c r="N24" i="12"/>
  <c r="N23" i="12"/>
  <c r="C23" i="12"/>
  <c r="J23" i="12" s="1"/>
  <c r="N21" i="12"/>
  <c r="D10" i="12"/>
  <c r="D11" i="12"/>
  <c r="D20" i="12" s="1"/>
  <c r="D12" i="12"/>
  <c r="K12" i="12" s="1"/>
  <c r="D13" i="12"/>
  <c r="D22" i="12" s="1"/>
  <c r="D14" i="12"/>
  <c r="D23" i="12" s="1"/>
  <c r="D16" i="12"/>
  <c r="K16" i="12" s="1"/>
  <c r="D17" i="12"/>
  <c r="K17" i="12" s="1"/>
  <c r="E10" i="12"/>
  <c r="F10" i="12"/>
  <c r="F19" i="12" s="1"/>
  <c r="G10" i="12"/>
  <c r="G19" i="12" s="1"/>
  <c r="E11" i="12"/>
  <c r="E20" i="12" s="1"/>
  <c r="F11" i="12"/>
  <c r="F20" i="12" s="1"/>
  <c r="G11" i="12"/>
  <c r="E12" i="12"/>
  <c r="E21" i="12" s="1"/>
  <c r="F12" i="12"/>
  <c r="M12" i="12" s="1"/>
  <c r="G12" i="12"/>
  <c r="N12" i="12" s="1"/>
  <c r="F13" i="12"/>
  <c r="M13" i="12" s="1"/>
  <c r="G13" i="12"/>
  <c r="N13" i="12" s="1"/>
  <c r="F14" i="12"/>
  <c r="M14" i="12" s="1"/>
  <c r="G14" i="12"/>
  <c r="N14" i="12" s="1"/>
  <c r="F15" i="12"/>
  <c r="F24" i="12" s="1"/>
  <c r="G15" i="12"/>
  <c r="F16" i="12"/>
  <c r="M16" i="12" s="1"/>
  <c r="G16" i="12"/>
  <c r="N16" i="12" s="1"/>
  <c r="F17" i="12"/>
  <c r="M17" i="12" s="1"/>
  <c r="G17" i="12"/>
  <c r="N17" i="12" s="1"/>
  <c r="M15" i="12"/>
  <c r="N15" i="12"/>
  <c r="K10" i="12"/>
  <c r="B2" i="12"/>
  <c r="B3" i="12" s="1"/>
  <c r="B4" i="12" s="1"/>
  <c r="B5" i="12" s="1"/>
  <c r="B6" i="12" s="1"/>
  <c r="B7" i="12" s="1"/>
  <c r="J11" i="12"/>
  <c r="K11" i="12"/>
  <c r="N11" i="12"/>
  <c r="J14" i="12"/>
  <c r="L10" i="12"/>
  <c r="I10" i="12"/>
  <c r="C11" i="12"/>
  <c r="C20" i="12" s="1"/>
  <c r="C12" i="12"/>
  <c r="J12" i="12" s="1"/>
  <c r="C13" i="12"/>
  <c r="C22" i="12" s="1"/>
  <c r="C14" i="12"/>
  <c r="C15" i="12"/>
  <c r="C24" i="12" s="1"/>
  <c r="C16" i="12"/>
  <c r="J16" i="12" s="1"/>
  <c r="C17" i="12"/>
  <c r="J17" i="12" s="1"/>
  <c r="C10" i="12"/>
  <c r="C19" i="12" s="1"/>
  <c r="B10" i="12"/>
  <c r="T194" i="14" l="1"/>
  <c r="T250" i="14"/>
  <c r="T306" i="14"/>
  <c r="V328" i="14"/>
  <c r="V165" i="14"/>
  <c r="V221" i="14"/>
  <c r="V277" i="14"/>
  <c r="T244" i="14"/>
  <c r="T300" i="14"/>
  <c r="T186" i="14"/>
  <c r="V188" i="14"/>
  <c r="T242" i="14"/>
  <c r="T273" i="14"/>
  <c r="T298" i="14"/>
  <c r="T329" i="14"/>
  <c r="T215" i="14"/>
  <c r="T271" i="14"/>
  <c r="T213" i="14"/>
  <c r="V240" i="14"/>
  <c r="V296" i="14"/>
  <c r="T180" i="14"/>
  <c r="T236" i="14"/>
  <c r="T292" i="14"/>
  <c r="T178" i="14"/>
  <c r="T209" i="14"/>
  <c r="T234" i="14"/>
  <c r="T265" i="14"/>
  <c r="T290" i="14"/>
  <c r="T321" i="14"/>
  <c r="T272" i="14"/>
  <c r="T217" i="14"/>
  <c r="T182" i="14"/>
  <c r="T269" i="14"/>
  <c r="T294" i="14"/>
  <c r="T325" i="14"/>
  <c r="T211" i="14"/>
  <c r="V238" i="14"/>
  <c r="T267" i="14"/>
  <c r="T323" i="14"/>
  <c r="T176" i="14"/>
  <c r="T207" i="14"/>
  <c r="T232" i="14"/>
  <c r="T263" i="14"/>
  <c r="T288" i="14"/>
  <c r="T319" i="14"/>
  <c r="T184" i="14"/>
  <c r="T327" i="14"/>
  <c r="T174" i="14"/>
  <c r="V203" i="14"/>
  <c r="T205" i="14"/>
  <c r="T230" i="14"/>
  <c r="V259" i="14"/>
  <c r="T261" i="14"/>
  <c r="T286" i="14"/>
  <c r="V315" i="14"/>
  <c r="T317" i="14"/>
  <c r="V201" i="14"/>
  <c r="V257" i="14"/>
  <c r="V313" i="14"/>
  <c r="T224" i="14"/>
  <c r="T280" i="14"/>
  <c r="T166" i="14"/>
  <c r="V168" i="14"/>
  <c r="T197" i="14"/>
  <c r="T222" i="14"/>
  <c r="T253" i="14"/>
  <c r="T278" i="14"/>
  <c r="T309" i="14"/>
  <c r="V193" i="14"/>
  <c r="T195" i="14"/>
  <c r="V249" i="14"/>
  <c r="T251" i="14"/>
  <c r="V305" i="14"/>
  <c r="T307" i="14"/>
  <c r="T187" i="14"/>
  <c r="T212" i="14"/>
  <c r="V214" i="14"/>
  <c r="T243" i="14"/>
  <c r="T268" i="14"/>
  <c r="T299" i="14"/>
  <c r="T324" i="14"/>
  <c r="T179" i="14"/>
  <c r="T204" i="14"/>
  <c r="V206" i="14"/>
  <c r="T235" i="14"/>
  <c r="T260" i="14"/>
  <c r="V262" i="14"/>
  <c r="T291" i="14"/>
  <c r="T316" i="14"/>
  <c r="V318" i="14"/>
  <c r="T258" i="14"/>
  <c r="T289" i="14"/>
  <c r="T314" i="14"/>
  <c r="V216" i="14"/>
  <c r="T183" i="14"/>
  <c r="T181" i="14"/>
  <c r="T175" i="14"/>
  <c r="T200" i="14"/>
  <c r="V202" i="14"/>
  <c r="T231" i="14"/>
  <c r="T256" i="14"/>
  <c r="T287" i="14"/>
  <c r="T312" i="14"/>
  <c r="T189" i="14"/>
  <c r="T301" i="14"/>
  <c r="T185" i="14"/>
  <c r="T241" i="14"/>
  <c r="T239" i="14"/>
  <c r="T264" i="14"/>
  <c r="T320" i="14"/>
  <c r="T177" i="14"/>
  <c r="T233" i="14"/>
  <c r="T173" i="14"/>
  <c r="T198" i="14"/>
  <c r="T229" i="14"/>
  <c r="T254" i="14"/>
  <c r="T285" i="14"/>
  <c r="T310" i="14"/>
  <c r="T245" i="14"/>
  <c r="T297" i="14"/>
  <c r="T208" i="14"/>
  <c r="T295" i="14"/>
  <c r="T237" i="14"/>
  <c r="T293" i="14"/>
  <c r="V169" i="14"/>
  <c r="T171" i="14"/>
  <c r="V225" i="14"/>
  <c r="T227" i="14"/>
  <c r="V281" i="14"/>
  <c r="T283" i="14"/>
  <c r="T330" i="13"/>
  <c r="T329" i="13"/>
  <c r="T328" i="13"/>
  <c r="T327" i="13"/>
  <c r="T326" i="13"/>
  <c r="T325" i="13"/>
  <c r="V314" i="13"/>
  <c r="V99" i="13"/>
  <c r="V312" i="13"/>
  <c r="V104" i="13"/>
  <c r="T320" i="13"/>
  <c r="T110" i="13"/>
  <c r="V103" i="13"/>
  <c r="T319" i="13"/>
  <c r="V313" i="13"/>
  <c r="T101" i="13"/>
  <c r="V109" i="13"/>
  <c r="V323" i="13"/>
  <c r="V322" i="13"/>
  <c r="V321" i="13"/>
  <c r="T318" i="13"/>
  <c r="T316" i="13"/>
  <c r="T315" i="13"/>
  <c r="T314" i="13"/>
  <c r="T313" i="13"/>
  <c r="T312" i="13"/>
  <c r="V311" i="13"/>
  <c r="T324" i="13"/>
  <c r="T87" i="13"/>
  <c r="T95" i="13"/>
  <c r="V303" i="13"/>
  <c r="V276" i="13"/>
  <c r="T236" i="13"/>
  <c r="V216" i="13"/>
  <c r="V74" i="13"/>
  <c r="V82" i="13"/>
  <c r="V92" i="13"/>
  <c r="T99" i="13"/>
  <c r="V298" i="13"/>
  <c r="V269" i="13"/>
  <c r="T102" i="13"/>
  <c r="T91" i="13"/>
  <c r="V300" i="13"/>
  <c r="T182" i="13"/>
  <c r="T118" i="13"/>
  <c r="V296" i="13"/>
  <c r="V279" i="13"/>
  <c r="T270" i="13"/>
  <c r="V107" i="13"/>
  <c r="T111" i="13"/>
  <c r="T109" i="13"/>
  <c r="T108" i="13"/>
  <c r="T107" i="13"/>
  <c r="T106" i="13"/>
  <c r="T104" i="13"/>
  <c r="T103" i="13"/>
  <c r="V102" i="13"/>
  <c r="V101" i="13"/>
  <c r="T100" i="13"/>
  <c r="T84" i="13"/>
  <c r="T305" i="13"/>
  <c r="T250" i="13"/>
  <c r="V259" i="13"/>
  <c r="V239" i="13"/>
  <c r="V136" i="13"/>
  <c r="T117" i="13"/>
  <c r="V69" i="13"/>
  <c r="V277" i="13"/>
  <c r="V96" i="13"/>
  <c r="T90" i="13"/>
  <c r="T97" i="13"/>
  <c r="T96" i="13"/>
  <c r="V105" i="13"/>
  <c r="V187" i="13"/>
  <c r="V70" i="13"/>
  <c r="T60" i="13"/>
  <c r="T19" i="13"/>
  <c r="T68" i="13"/>
  <c r="T105" i="13"/>
  <c r="V79" i="13"/>
  <c r="V88" i="13"/>
  <c r="V94" i="13"/>
  <c r="T259" i="13"/>
  <c r="T25" i="13"/>
  <c r="T146" i="13"/>
  <c r="V93" i="13"/>
  <c r="T175" i="13"/>
  <c r="V97" i="13"/>
  <c r="V95" i="13"/>
  <c r="T94" i="13"/>
  <c r="T93" i="13"/>
  <c r="T92" i="13"/>
  <c r="V126" i="13"/>
  <c r="V77" i="13"/>
  <c r="T301" i="13"/>
  <c r="V275" i="13"/>
  <c r="V243" i="13"/>
  <c r="T65" i="13"/>
  <c r="V192" i="13"/>
  <c r="V63" i="13"/>
  <c r="T170" i="13"/>
  <c r="V72" i="13"/>
  <c r="V75" i="13"/>
  <c r="V282" i="13"/>
  <c r="T230" i="13"/>
  <c r="V64" i="13"/>
  <c r="V17" i="13"/>
  <c r="V284" i="13"/>
  <c r="T248" i="13"/>
  <c r="V257" i="13"/>
  <c r="T218" i="13"/>
  <c r="T121" i="13"/>
  <c r="V86" i="13"/>
  <c r="V89" i="13"/>
  <c r="V209" i="13"/>
  <c r="V2" i="13"/>
  <c r="V141" i="13"/>
  <c r="V26" i="13"/>
  <c r="V163" i="13"/>
  <c r="T88" i="13"/>
  <c r="T86" i="13"/>
  <c r="T289" i="13"/>
  <c r="T266" i="13"/>
  <c r="V272" i="13"/>
  <c r="T3" i="13"/>
  <c r="V148" i="13"/>
  <c r="T275" i="13"/>
  <c r="V229" i="13"/>
  <c r="T80" i="13"/>
  <c r="T83" i="13"/>
  <c r="T278" i="13"/>
  <c r="V24" i="13"/>
  <c r="V124" i="13"/>
  <c r="T73" i="13"/>
  <c r="V90" i="13"/>
  <c r="V87" i="13"/>
  <c r="V83" i="13"/>
  <c r="T82" i="13"/>
  <c r="T81" i="13"/>
  <c r="V80" i="13"/>
  <c r="T79" i="13"/>
  <c r="T204" i="13"/>
  <c r="T200" i="13"/>
  <c r="T213" i="13"/>
  <c r="V16" i="13"/>
  <c r="V120" i="13"/>
  <c r="T70" i="13"/>
  <c r="T78" i="13"/>
  <c r="T292" i="13"/>
  <c r="V245" i="13"/>
  <c r="V274" i="13"/>
  <c r="T71" i="13"/>
  <c r="T164" i="13"/>
  <c r="V235" i="13"/>
  <c r="V310" i="13"/>
  <c r="V193" i="13"/>
  <c r="V208" i="13"/>
  <c r="V225" i="13"/>
  <c r="T290" i="13"/>
  <c r="V268" i="13"/>
  <c r="V273" i="13"/>
  <c r="T210" i="13"/>
  <c r="V219" i="13"/>
  <c r="V153" i="13"/>
  <c r="V221" i="13"/>
  <c r="T48" i="13"/>
  <c r="T13" i="13"/>
  <c r="V14" i="13"/>
  <c r="T203" i="13"/>
  <c r="V251" i="13"/>
  <c r="T304" i="13"/>
  <c r="V306" i="13"/>
  <c r="T309" i="13"/>
  <c r="T261" i="13"/>
  <c r="V244" i="13"/>
  <c r="V144" i="13"/>
  <c r="V195" i="13"/>
  <c r="V125" i="13"/>
  <c r="V68" i="13"/>
  <c r="T219" i="13"/>
  <c r="T141" i="13"/>
  <c r="T58" i="13"/>
  <c r="T130" i="13"/>
  <c r="V13" i="13"/>
  <c r="T74" i="13"/>
  <c r="T247" i="13"/>
  <c r="V226" i="13"/>
  <c r="V262" i="13"/>
  <c r="V76" i="13"/>
  <c r="T119" i="13"/>
  <c r="V51" i="13"/>
  <c r="V46" i="13"/>
  <c r="V253" i="13"/>
  <c r="T124" i="13"/>
  <c r="V67" i="13"/>
  <c r="T156" i="13"/>
  <c r="V220" i="13"/>
  <c r="T17" i="13"/>
  <c r="V25" i="13"/>
  <c r="V151" i="13"/>
  <c r="V146" i="13"/>
  <c r="V289" i="13"/>
  <c r="V166" i="13"/>
  <c r="V118" i="13"/>
  <c r="T273" i="13"/>
  <c r="T69" i="13"/>
  <c r="T302" i="13"/>
  <c r="T148" i="13"/>
  <c r="V44" i="13"/>
  <c r="V278" i="13"/>
  <c r="T27" i="13"/>
  <c r="T300" i="13"/>
  <c r="V182" i="13"/>
  <c r="T157" i="13"/>
  <c r="T272" i="13"/>
  <c r="V224" i="13"/>
  <c r="T246" i="13"/>
  <c r="T286" i="13"/>
  <c r="V152" i="13"/>
  <c r="T77" i="13"/>
  <c r="T76" i="13"/>
  <c r="T75" i="13"/>
  <c r="V73" i="13"/>
  <c r="T67" i="13"/>
  <c r="V121" i="13"/>
  <c r="V223" i="13"/>
  <c r="V119" i="13"/>
  <c r="T30" i="13"/>
  <c r="V240" i="13"/>
  <c r="T38" i="13"/>
  <c r="V295" i="13"/>
  <c r="V194" i="13"/>
  <c r="V191" i="13"/>
  <c r="V127" i="13"/>
  <c r="T169" i="13"/>
  <c r="V250" i="13"/>
  <c r="T29" i="13"/>
  <c r="T181" i="13"/>
  <c r="V150" i="13"/>
  <c r="T239" i="13"/>
  <c r="V248" i="13"/>
  <c r="V58" i="13"/>
  <c r="V32" i="13"/>
  <c r="V173" i="13"/>
  <c r="T116" i="13"/>
  <c r="T145" i="13"/>
  <c r="T226" i="13"/>
  <c r="V31" i="13"/>
  <c r="T285" i="13"/>
  <c r="V172" i="13"/>
  <c r="T133" i="13"/>
  <c r="T220" i="13"/>
  <c r="V147" i="13"/>
  <c r="T268" i="13"/>
  <c r="V210" i="13"/>
  <c r="T2" i="13"/>
  <c r="V197" i="13"/>
  <c r="V11" i="13"/>
  <c r="T14" i="13"/>
  <c r="V203" i="13"/>
  <c r="T7" i="13"/>
  <c r="T206" i="13"/>
  <c r="V283" i="13"/>
  <c r="V247" i="13"/>
  <c r="V255" i="13"/>
  <c r="V204" i="13"/>
  <c r="T120" i="13"/>
  <c r="V171" i="13"/>
  <c r="T188" i="13"/>
  <c r="T47" i="13"/>
  <c r="V35" i="13"/>
  <c r="T293" i="13"/>
  <c r="T254" i="13"/>
  <c r="T197" i="13"/>
  <c r="T161" i="13"/>
  <c r="V174" i="13"/>
  <c r="T241" i="13"/>
  <c r="T42" i="13"/>
  <c r="T192" i="13"/>
  <c r="T186" i="13"/>
  <c r="V186" i="13"/>
  <c r="T18" i="13"/>
  <c r="V202" i="13"/>
  <c r="V140" i="13"/>
  <c r="T232" i="13"/>
  <c r="T20" i="13"/>
  <c r="T24" i="13"/>
  <c r="T288" i="13"/>
  <c r="T45" i="13"/>
  <c r="T4" i="13"/>
  <c r="V305" i="13"/>
  <c r="V9" i="13"/>
  <c r="T46" i="13"/>
  <c r="V114" i="13"/>
  <c r="T281" i="13"/>
  <c r="V15" i="13"/>
  <c r="V246" i="13"/>
  <c r="V170" i="13"/>
  <c r="T253" i="13"/>
  <c r="V307" i="13"/>
  <c r="V154" i="13"/>
  <c r="V57" i="13"/>
  <c r="T307" i="13"/>
  <c r="V161" i="13"/>
  <c r="V41" i="13"/>
  <c r="T55" i="13"/>
  <c r="T287" i="13"/>
  <c r="T136" i="13"/>
  <c r="V301" i="13"/>
  <c r="V237" i="13"/>
  <c r="T142" i="13"/>
  <c r="T28" i="13"/>
  <c r="T217" i="13"/>
  <c r="T56" i="13"/>
  <c r="T147" i="13"/>
  <c r="T43" i="13"/>
  <c r="T22" i="13"/>
  <c r="V294" i="13"/>
  <c r="V27" i="13"/>
  <c r="V50" i="13"/>
  <c r="T51" i="13"/>
  <c r="T198" i="13"/>
  <c r="T234" i="13"/>
  <c r="T224" i="13"/>
  <c r="T174" i="13"/>
  <c r="T98" i="13"/>
  <c r="T187" i="13"/>
  <c r="V59" i="13"/>
  <c r="T260" i="13"/>
  <c r="T299" i="13"/>
  <c r="V196" i="13"/>
  <c r="T26" i="13"/>
  <c r="T23" i="13"/>
  <c r="V85" i="13"/>
  <c r="T308" i="13"/>
  <c r="V286" i="13"/>
  <c r="T280" i="13"/>
  <c r="V242" i="13"/>
  <c r="T152" i="13"/>
  <c r="T310" i="13"/>
  <c r="T132" i="13"/>
  <c r="T284" i="13"/>
  <c r="V290" i="13"/>
  <c r="V142" i="13"/>
  <c r="V231" i="13"/>
  <c r="V42" i="13"/>
  <c r="T61" i="13"/>
  <c r="T209" i="13"/>
  <c r="V133" i="13"/>
  <c r="V30" i="13"/>
  <c r="V332" i="13"/>
  <c r="V200" i="13"/>
  <c r="T153" i="13"/>
  <c r="T221" i="13"/>
  <c r="V29" i="13"/>
  <c r="V302" i="13"/>
  <c r="T154" i="13"/>
  <c r="V189" i="13"/>
  <c r="T126" i="13"/>
  <c r="T167" i="13"/>
  <c r="T298" i="13"/>
  <c r="T231" i="13"/>
  <c r="V218" i="13"/>
  <c r="T179" i="13"/>
  <c r="T195" i="13"/>
  <c r="T215" i="13"/>
  <c r="T139" i="13"/>
  <c r="T243" i="13"/>
  <c r="T172" i="13"/>
  <c r="V293" i="13"/>
  <c r="V258" i="13"/>
  <c r="V285" i="13"/>
  <c r="T263" i="13"/>
  <c r="T62" i="13"/>
  <c r="V3" i="13"/>
  <c r="V183" i="13"/>
  <c r="V158" i="13"/>
  <c r="T158" i="13"/>
  <c r="V281" i="13"/>
  <c r="V165" i="13"/>
  <c r="T150" i="13"/>
  <c r="V201" i="13"/>
  <c r="T229" i="13"/>
  <c r="V213" i="13"/>
  <c r="T137" i="13"/>
  <c r="V241" i="13"/>
  <c r="T207" i="13"/>
  <c r="V131" i="13"/>
  <c r="V207" i="13"/>
  <c r="V18" i="13"/>
  <c r="T85" i="13"/>
  <c r="T177" i="13"/>
  <c r="T63" i="13"/>
  <c r="V139" i="13"/>
  <c r="T151" i="13"/>
  <c r="T283" i="13"/>
  <c r="V266" i="13"/>
  <c r="V198" i="13"/>
  <c r="V137" i="13"/>
  <c r="V60" i="13"/>
  <c r="V19" i="13"/>
  <c r="V156" i="13"/>
  <c r="V263" i="13"/>
  <c r="T54" i="13"/>
  <c r="T10" i="13"/>
  <c r="T123" i="13"/>
  <c r="T251" i="13"/>
  <c r="V304" i="13"/>
  <c r="V145" i="13"/>
  <c r="T173" i="13"/>
  <c r="V211" i="13"/>
  <c r="V227" i="13"/>
  <c r="T265" i="13"/>
  <c r="V288" i="13"/>
  <c r="V129" i="13"/>
  <c r="V222" i="13"/>
  <c r="T190" i="13"/>
  <c r="V254" i="13"/>
  <c r="T238" i="13"/>
  <c r="T159" i="13"/>
  <c r="T201" i="13"/>
  <c r="V39" i="13"/>
  <c r="V164" i="13"/>
  <c r="V199" i="13"/>
  <c r="V181" i="13"/>
  <c r="T35" i="13"/>
  <c r="T233" i="13"/>
  <c r="T332" i="13"/>
  <c r="V309" i="13"/>
  <c r="V98" i="13"/>
  <c r="V160" i="13"/>
  <c r="V116" i="13"/>
  <c r="T303" i="13"/>
  <c r="T276" i="13"/>
  <c r="V134" i="13"/>
  <c r="T205" i="13"/>
  <c r="V113" i="13"/>
  <c r="V128" i="13"/>
  <c r="V168" i="13"/>
  <c r="V297" i="13"/>
  <c r="T122" i="13"/>
  <c r="T53" i="13"/>
  <c r="V175" i="13"/>
  <c r="V143" i="13"/>
  <c r="T235" i="13"/>
  <c r="T16" i="13"/>
  <c r="V37" i="13"/>
  <c r="V249" i="13"/>
  <c r="T282" i="13"/>
  <c r="T180" i="13"/>
  <c r="V230" i="13"/>
  <c r="T66" i="13"/>
  <c r="T5" i="13"/>
  <c r="T178" i="13"/>
  <c r="T208" i="13"/>
  <c r="T225" i="13"/>
  <c r="V179" i="13"/>
  <c r="T6" i="13"/>
  <c r="T112" i="13"/>
  <c r="T193" i="13"/>
  <c r="V178" i="13"/>
  <c r="V117" i="13"/>
  <c r="V47" i="13"/>
  <c r="V331" i="13"/>
  <c r="T189" i="13"/>
  <c r="V177" i="13"/>
  <c r="T9" i="13"/>
  <c r="T262" i="13"/>
  <c r="V236" i="13"/>
  <c r="V112" i="13"/>
  <c r="T34" i="13"/>
  <c r="T12" i="13"/>
  <c r="V267" i="13"/>
  <c r="T291" i="13"/>
  <c r="T171" i="13"/>
  <c r="V206" i="13"/>
  <c r="V212" i="13"/>
  <c r="V135" i="13"/>
  <c r="V228" i="13"/>
  <c r="T331" i="13"/>
  <c r="T114" i="13"/>
  <c r="V308" i="13"/>
  <c r="V234" i="13"/>
  <c r="V169" i="13"/>
  <c r="V91" i="13"/>
  <c r="V176" i="13"/>
  <c r="V185" i="13"/>
  <c r="T40" i="13"/>
  <c r="V317" i="13"/>
  <c r="V155" i="13"/>
  <c r="T32" i="13"/>
  <c r="T144" i="13"/>
  <c r="T162" i="13"/>
  <c r="T31" i="13"/>
  <c r="V261" i="13"/>
  <c r="V4" i="13"/>
  <c r="V123" i="13"/>
  <c r="T49" i="13"/>
  <c r="T184" i="13"/>
  <c r="T149" i="13"/>
  <c r="T269" i="13"/>
  <c r="V84" i="13"/>
  <c r="T21" i="13"/>
  <c r="V115" i="13"/>
  <c r="T131" i="13"/>
  <c r="V78" i="13"/>
  <c r="T52" i="13"/>
  <c r="T44" i="13"/>
  <c r="V214" i="13"/>
  <c r="V138" i="13"/>
  <c r="V180" i="13"/>
  <c r="T15" i="13"/>
  <c r="T36" i="13"/>
  <c r="V132" i="13"/>
  <c r="T258" i="13"/>
  <c r="V48" i="13"/>
  <c r="V256" i="13"/>
  <c r="T237" i="13"/>
  <c r="T257" i="13"/>
  <c r="V238" i="13"/>
  <c r="V8" i="13"/>
  <c r="V188" i="13"/>
  <c r="T125" i="13"/>
  <c r="T166" i="13"/>
  <c r="T256" i="13"/>
  <c r="T50" i="13"/>
  <c r="V157" i="13"/>
  <c r="T255" i="13"/>
  <c r="T33" i="13"/>
  <c r="T163" i="13"/>
  <c r="T191" i="13"/>
  <c r="T317" i="13"/>
  <c r="T176" i="13"/>
  <c r="V233" i="13"/>
  <c r="V167" i="13"/>
  <c r="V65" i="13"/>
  <c r="T72" i="13"/>
  <c r="T202" i="13"/>
  <c r="V292" i="13"/>
  <c r="V264" i="13"/>
  <c r="V56" i="13"/>
  <c r="V28" i="13"/>
  <c r="V149" i="13"/>
  <c r="T59" i="13"/>
  <c r="T57" i="13"/>
  <c r="V291" i="13"/>
  <c r="V55" i="13"/>
  <c r="T228" i="13"/>
  <c r="V54" i="13"/>
  <c r="T227" i="13"/>
  <c r="T199" i="13"/>
  <c r="T143" i="13"/>
  <c r="T115" i="13"/>
  <c r="V53" i="13"/>
  <c r="V49" i="13"/>
  <c r="V21" i="13"/>
  <c r="V122" i="13"/>
  <c r="V260" i="13"/>
  <c r="V232" i="13"/>
  <c r="V52" i="13"/>
  <c r="V205" i="13"/>
  <c r="T113" i="13"/>
  <c r="V23" i="13"/>
  <c r="T252" i="13"/>
  <c r="T196" i="13"/>
  <c r="T168" i="13"/>
  <c r="T140" i="13"/>
  <c r="V22" i="13"/>
  <c r="T279" i="13"/>
  <c r="T223" i="13"/>
  <c r="T306" i="13"/>
  <c r="T222" i="13"/>
  <c r="T194" i="13"/>
  <c r="T138" i="13"/>
  <c r="V20" i="13"/>
  <c r="T277" i="13"/>
  <c r="T249" i="13"/>
  <c r="T165" i="13"/>
  <c r="V12" i="13"/>
  <c r="T129" i="13"/>
  <c r="T37" i="13"/>
  <c r="V299" i="13"/>
  <c r="V271" i="13"/>
  <c r="V215" i="13"/>
  <c r="V159" i="13"/>
  <c r="V7" i="13"/>
  <c r="T160" i="13"/>
  <c r="V270" i="13"/>
  <c r="V130" i="13"/>
  <c r="V62" i="13"/>
  <c r="V34" i="13"/>
  <c r="V6" i="13"/>
  <c r="T244" i="13"/>
  <c r="T214" i="13"/>
  <c r="T41" i="13"/>
  <c r="T297" i="13"/>
  <c r="T185" i="13"/>
  <c r="T296" i="13"/>
  <c r="T212" i="13"/>
  <c r="T128" i="13"/>
  <c r="V162" i="13"/>
  <c r="V38" i="13"/>
  <c r="T39" i="13"/>
  <c r="T267" i="13"/>
  <c r="T211" i="13"/>
  <c r="T127" i="13"/>
  <c r="V217" i="13"/>
  <c r="V36" i="13"/>
  <c r="T64" i="13"/>
  <c r="V61" i="13"/>
  <c r="V33" i="13"/>
  <c r="V5" i="13"/>
  <c r="T274" i="13"/>
  <c r="T134" i="13"/>
  <c r="T242" i="13"/>
  <c r="T240" i="13"/>
  <c r="V190" i="13"/>
  <c r="V10" i="13"/>
  <c r="T11" i="13"/>
  <c r="T155" i="13"/>
  <c r="T8" i="13"/>
  <c r="V184" i="13"/>
  <c r="T135" i="13"/>
  <c r="V45" i="13"/>
  <c r="T245" i="13"/>
  <c r="V43" i="13"/>
  <c r="T216" i="13"/>
  <c r="V40" i="13"/>
  <c r="V66" i="13"/>
  <c r="T295" i="13"/>
  <c r="T183" i="13"/>
  <c r="K20" i="12"/>
  <c r="D29" i="12"/>
  <c r="K29" i="12" s="1"/>
  <c r="E24" i="12"/>
  <c r="L15" i="12"/>
  <c r="L17" i="12"/>
  <c r="E26" i="12"/>
  <c r="L26" i="12" s="1"/>
  <c r="F33" i="12"/>
  <c r="M33" i="12" s="1"/>
  <c r="M24" i="12"/>
  <c r="W30" i="12"/>
  <c r="AD30" i="12" s="1"/>
  <c r="AD21" i="12"/>
  <c r="L21" i="12"/>
  <c r="E30" i="12"/>
  <c r="L30" i="12" s="1"/>
  <c r="J24" i="12"/>
  <c r="C33" i="12"/>
  <c r="J33" i="12" s="1"/>
  <c r="AR17" i="12"/>
  <c r="AK26" i="12"/>
  <c r="AK35" i="12" s="1"/>
  <c r="AR35" i="12" s="1"/>
  <c r="J19" i="12"/>
  <c r="C28" i="12"/>
  <c r="J28" i="12" s="1"/>
  <c r="M20" i="12"/>
  <c r="F29" i="12"/>
  <c r="M29" i="12" s="1"/>
  <c r="C31" i="12"/>
  <c r="J31" i="12" s="1"/>
  <c r="J22" i="12"/>
  <c r="L20" i="12"/>
  <c r="E29" i="12"/>
  <c r="L29" i="12" s="1"/>
  <c r="N19" i="12"/>
  <c r="G28" i="12"/>
  <c r="N28" i="12" s="1"/>
  <c r="J20" i="12"/>
  <c r="C29" i="12"/>
  <c r="J29" i="12" s="1"/>
  <c r="M19" i="12"/>
  <c r="F28" i="12"/>
  <c r="M28" i="12" s="1"/>
  <c r="C26" i="12"/>
  <c r="E28" i="12"/>
  <c r="L28" i="12" s="1"/>
  <c r="D25" i="12"/>
  <c r="J10" i="12"/>
  <c r="C34" i="12"/>
  <c r="J34" i="12" s="1"/>
  <c r="N10" i="12"/>
  <c r="D21" i="12"/>
  <c r="F35" i="12"/>
  <c r="M35" i="12" s="1"/>
  <c r="Z17" i="12"/>
  <c r="AD12" i="12"/>
  <c r="M10" i="12"/>
  <c r="AO10" i="12"/>
  <c r="G26" i="12"/>
  <c r="R5" i="12"/>
  <c r="R6" i="12" s="1"/>
  <c r="R7" i="12" s="1"/>
  <c r="R8" i="12" s="1"/>
  <c r="B12" i="12"/>
  <c r="J15" i="12"/>
  <c r="G29" i="12"/>
  <c r="N29" i="12" s="1"/>
  <c r="U19" i="12"/>
  <c r="U28" i="12" s="1"/>
  <c r="AB28" i="12" s="1"/>
  <c r="V32" i="12"/>
  <c r="AC32" i="12" s="1"/>
  <c r="S21" i="12"/>
  <c r="U21" i="12"/>
  <c r="J13" i="12"/>
  <c r="F30" i="12"/>
  <c r="M30" i="12" s="1"/>
  <c r="S29" i="12"/>
  <c r="Z29" i="12" s="1"/>
  <c r="AC13" i="12"/>
  <c r="V21" i="12"/>
  <c r="L12" i="12"/>
  <c r="C21" i="12"/>
  <c r="F23" i="12"/>
  <c r="G22" i="12"/>
  <c r="F25" i="12"/>
  <c r="F31" i="12"/>
  <c r="M31" i="12" s="1"/>
  <c r="R11" i="12"/>
  <c r="M11" i="12"/>
  <c r="L11" i="12"/>
  <c r="C32" i="12"/>
  <c r="J32" i="12" s="1"/>
  <c r="AH6" i="12"/>
  <c r="AH7" i="12" s="1"/>
  <c r="AH8" i="12" s="1"/>
  <c r="Z11" i="12"/>
  <c r="AL23" i="12"/>
  <c r="AS23" i="12" s="1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H13" i="12" s="1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O11" i="12"/>
  <c r="AS13" i="12"/>
  <c r="AP11" i="12"/>
  <c r="AT13" i="12"/>
  <c r="AP19" i="12"/>
  <c r="AT21" i="12"/>
  <c r="AP26" i="12"/>
  <c r="AQ11" i="12"/>
  <c r="AQ19" i="12"/>
  <c r="AR11" i="12"/>
  <c r="AI22" i="12"/>
  <c r="AM32" i="12"/>
  <c r="AT32" i="12" s="1"/>
  <c r="AT11" i="12"/>
  <c r="AP16" i="12"/>
  <c r="AT19" i="12"/>
  <c r="AK22" i="12"/>
  <c r="AP24" i="12"/>
  <c r="AT26" i="12"/>
  <c r="AQ16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8" i="12"/>
  <c r="N22" i="12" l="1"/>
  <c r="G31" i="12"/>
  <c r="N31" i="12" s="1"/>
  <c r="B13" i="12"/>
  <c r="I12" i="12"/>
  <c r="M23" i="12"/>
  <c r="F32" i="12"/>
  <c r="M32" i="12" s="1"/>
  <c r="J21" i="12"/>
  <c r="C30" i="12"/>
  <c r="J30" i="12" s="1"/>
  <c r="V30" i="12"/>
  <c r="AC30" i="12" s="1"/>
  <c r="AC21" i="12"/>
  <c r="AO12" i="12"/>
  <c r="AR26" i="12"/>
  <c r="K21" i="12"/>
  <c r="D30" i="12"/>
  <c r="K30" i="12" s="1"/>
  <c r="AL32" i="12"/>
  <c r="AS32" i="12" s="1"/>
  <c r="R12" i="12"/>
  <c r="Y11" i="12"/>
  <c r="AR21" i="12"/>
  <c r="M25" i="12"/>
  <c r="F34" i="12"/>
  <c r="M34" i="12" s="1"/>
  <c r="U30" i="12"/>
  <c r="AB30" i="12" s="1"/>
  <c r="AB21" i="12"/>
  <c r="AR19" i="12"/>
  <c r="S30" i="12"/>
  <c r="Z30" i="12" s="1"/>
  <c r="Z21" i="12"/>
  <c r="J26" i="12"/>
  <c r="C35" i="12"/>
  <c r="J35" i="12" s="1"/>
  <c r="D34" i="12"/>
  <c r="K34" i="12" s="1"/>
  <c r="K25" i="12"/>
  <c r="N26" i="12"/>
  <c r="G35" i="12"/>
  <c r="N35" i="12" s="1"/>
  <c r="AS25" i="12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3" i="12" l="1"/>
  <c r="B14" i="12"/>
  <c r="Y12" i="12"/>
  <c r="R13" i="12"/>
  <c r="AH15" i="12"/>
  <c r="AO14" i="12"/>
  <c r="R14" i="12" l="1"/>
  <c r="Y13" i="12"/>
  <c r="I14" i="12"/>
  <c r="B15" i="12"/>
  <c r="AH16" i="12"/>
  <c r="AO15" i="12"/>
  <c r="B16" i="12" l="1"/>
  <c r="I15" i="12"/>
  <c r="R15" i="12"/>
  <c r="Y14" i="12"/>
  <c r="AH17" i="12"/>
  <c r="AO16" i="12"/>
  <c r="R16" i="12" l="1"/>
  <c r="Y15" i="12"/>
  <c r="B17" i="12"/>
  <c r="I16" i="12"/>
  <c r="AO17" i="12"/>
  <c r="AH19" i="12"/>
  <c r="B19" i="12" l="1"/>
  <c r="I17" i="12"/>
  <c r="R17" i="12"/>
  <c r="Y16" i="12"/>
  <c r="AH20" i="12"/>
  <c r="AO19" i="12"/>
  <c r="Y17" i="12" l="1"/>
  <c r="R19" i="12"/>
  <c r="I19" i="12"/>
  <c r="B20" i="12"/>
  <c r="AO20" i="12"/>
  <c r="AH21" i="12"/>
  <c r="B21" i="12" l="1"/>
  <c r="I20" i="12"/>
  <c r="Y19" i="12"/>
  <c r="R20" i="12"/>
  <c r="AO21" i="12"/>
  <c r="AH22" i="12"/>
  <c r="Y20" i="12" l="1"/>
  <c r="R21" i="12"/>
  <c r="I21" i="12"/>
  <c r="B22" i="12"/>
  <c r="AH23" i="12"/>
  <c r="AO22" i="12"/>
  <c r="Y21" i="12" l="1"/>
  <c r="R22" i="12"/>
  <c r="B23" i="12"/>
  <c r="I22" i="12"/>
  <c r="AH24" i="12"/>
  <c r="AO23" i="12"/>
  <c r="R23" i="12" l="1"/>
  <c r="Y22" i="12"/>
  <c r="B24" i="12"/>
  <c r="I23" i="12"/>
  <c r="AH25" i="12"/>
  <c r="AO24" i="12"/>
  <c r="B25" i="12" l="1"/>
  <c r="I24" i="12"/>
  <c r="R24" i="12"/>
  <c r="Y23" i="12"/>
  <c r="AO25" i="12"/>
  <c r="AH26" i="12"/>
  <c r="R25" i="12" l="1"/>
  <c r="Y24" i="12"/>
  <c r="I25" i="12"/>
  <c r="B26" i="12"/>
  <c r="AH28" i="12"/>
  <c r="AO26" i="12"/>
  <c r="B28" i="12" l="1"/>
  <c r="I26" i="12"/>
  <c r="Y25" i="12"/>
  <c r="R26" i="12"/>
  <c r="AO28" i="12"/>
  <c r="AH29" i="12"/>
  <c r="R28" i="12" l="1"/>
  <c r="Y26" i="12"/>
  <c r="I28" i="12"/>
  <c r="B29" i="12"/>
  <c r="AH30" i="12"/>
  <c r="AO29" i="12"/>
  <c r="I29" i="12" l="1"/>
  <c r="B30" i="12"/>
  <c r="R29" i="12"/>
  <c r="Y28" i="12"/>
  <c r="AH31" i="12"/>
  <c r="AO30" i="12"/>
  <c r="B31" i="12" l="1"/>
  <c r="I30" i="12"/>
  <c r="R30" i="12"/>
  <c r="Y29" i="12"/>
  <c r="AH32" i="12"/>
  <c r="AO31" i="12"/>
  <c r="Y30" i="12" l="1"/>
  <c r="R31" i="12"/>
  <c r="B32" i="12"/>
  <c r="I31" i="12"/>
  <c r="AH33" i="12"/>
  <c r="AO32" i="12"/>
  <c r="B33" i="12" l="1"/>
  <c r="I32" i="12"/>
  <c r="R32" i="12"/>
  <c r="Y31" i="12"/>
  <c r="AO33" i="12"/>
  <c r="AH34" i="12"/>
  <c r="R33" i="12" l="1"/>
  <c r="Y32" i="12"/>
  <c r="I33" i="12"/>
  <c r="B34" i="12"/>
  <c r="AH35" i="12"/>
  <c r="AO35" i="12" s="1"/>
  <c r="AO34" i="12"/>
  <c r="B35" i="12" l="1"/>
  <c r="I35" i="12" s="1"/>
  <c r="I34" i="12"/>
  <c r="Y33" i="12"/>
  <c r="R34" i="12"/>
  <c r="Y34" i="12" l="1"/>
  <c r="R35" i="12"/>
  <c r="Y3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E5AECD15-2AA7-4D1B-83EF-75589100D90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06653A45-471D-4DE0-B32C-73D80F8FDF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91A8928E-5A9B-45E7-B3CB-70F7EB18012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3A2E6979-DDEC-41C0-B825-42CEE5EAADA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D3C4CA8D-0AC6-4217-B44A-8B5A1123BBC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8B0E4059-DE1D-46A4-ADC4-CCC7EFE66CD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194D4B41-4860-466E-9A94-55BF5AB4554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9846C68C-3CDE-40DE-A321-0F8C7C717F3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63532DDA-2FAD-484B-A3E2-FCE1E88B42B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32D7C249-3425-40A6-803F-4F1FB0CC5AC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E5A50019-A21E-4FDE-B635-B7B0046BE92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T1" authorId="0" shapeId="0" xr:uid="{2E41CB7F-A0E1-438F-AF28-83C4FDEC29E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V1" authorId="0" shapeId="0" xr:uid="{B6EC4547-D8EB-42FB-92DF-A90FA014DB2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W1" authorId="0" shapeId="0" xr:uid="{238E804C-2BCF-4233-9478-4D470129F8E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Z1" authorId="0" shapeId="0" xr:uid="{3C027164-C2C5-436A-BBA1-BB1DD9F9B4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AA1" authorId="0" shapeId="0" xr:uid="{2EAD0CC5-E053-4BEC-AAFC-9566A2800CA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AC1" authorId="0" shapeId="0" xr:uid="{5AE1F1D5-2DB5-4557-B060-2FF9F811EC3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D1" authorId="0" shapeId="0" xr:uid="{10E8C520-6671-4698-A473-9A5D9E545C0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E1" authorId="0" shapeId="0" xr:uid="{F862645E-8273-4631-AF90-A5E46DFD09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F1" authorId="0" shapeId="0" xr:uid="{7A861E87-B637-4B97-8B8C-2F9B62517CC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G1" authorId="0" shapeId="0" xr:uid="{17B6B5DF-8F35-4C05-965C-64194196E88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H1" authorId="0" shapeId="0" xr:uid="{114B5058-8821-4A86-9DD6-41DD2F73CC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I1" authorId="0" shapeId="0" xr:uid="{CB62FB1B-92C9-4981-9970-1ACE5EAFAF9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J1" authorId="0" shapeId="0" xr:uid="{4CB419A4-B22D-463E-9EC4-6753A585F00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K1" authorId="0" shapeId="0" xr:uid="{C10B11E6-46E4-43B1-90C9-7E5212F9D8A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L1" authorId="0" shapeId="0" xr:uid="{25AB5E8F-F9DB-455A-9EB8-D680A1F4F02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M1" authorId="0" shapeId="0" xr:uid="{E9A97530-7B14-45E9-AEDE-C7840E4CF598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R1" authorId="0" shapeId="0" xr:uid="{20C05EE6-042D-435A-9235-8E3CA005E67E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S1" authorId="0" shapeId="0" xr:uid="{592651FF-92E7-4022-8B3B-D5E260FAC44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T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V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W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Z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AA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AC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D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E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F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G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H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I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J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K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L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M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R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S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<sst xmlns="http://schemas.openxmlformats.org/spreadsheetml/2006/main" count="6191" uniqueCount="336">
  <si>
    <t>Vásárlási ár</t>
  </si>
  <si>
    <t>Üzemeltetési költség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</si>
  <si>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</si>
  <si>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</si>
  <si>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</si>
  <si>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</si>
  <si>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</si>
  <si>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</si>
  <si>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</si>
  <si>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</si>
  <si>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</si>
  <si>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</si>
  <si>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</si>
  <si>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</si>
  <si>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</si>
  <si>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</si>
  <si>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</si>
  <si>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</si>
  <si>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</si>
  <si>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</si>
  <si>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</si>
  <si>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</si>
  <si>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Doors</t>
  </si>
  <si>
    <t>Stairs</t>
  </si>
  <si>
    <t>ppl/tick</t>
  </si>
  <si>
    <t>Loading speed</t>
  </si>
  <si>
    <t>Color</t>
  </si>
  <si>
    <t>diesel</t>
  </si>
  <si>
    <t>cng</t>
  </si>
  <si>
    <t>Type</t>
  </si>
  <si>
    <t>CC1</t>
  </si>
  <si>
    <t>Usage</t>
  </si>
  <si>
    <t>City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</si>
  <si>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</si>
  <si>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</si>
  <si>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</si>
  <si>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</si>
  <si>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</si>
  <si>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</si>
  <si>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</si>
  <si>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</si>
  <si>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</si>
  <si>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CC2</t>
  </si>
  <si>
    <t>CC3</t>
  </si>
  <si>
    <t>Új</t>
  </si>
  <si>
    <t>Flag</t>
  </si>
  <si>
    <t>Volan</t>
  </si>
  <si>
    <t>Intercity</t>
  </si>
  <si>
    <t>Tourist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</si>
  <si>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</si>
  <si>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</si>
  <si>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</si>
  <si>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</si>
  <si>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</si>
  <si>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</si>
  <si>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</si>
  <si>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</si>
  <si>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</si>
  <si>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</si>
  <si>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</si>
  <si>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</si>
  <si>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</si>
  <si>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</si>
  <si>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</si>
  <si>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</si>
  <si>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</si>
  <si>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</si>
  <si>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</si>
  <si>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</si>
  <si>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</si>
  <si>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</si>
  <si>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</si>
  <si>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</si>
  <si>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</si>
  <si>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</si>
  <si>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</si>
  <si>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</si>
  <si>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</si>
  <si>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</si>
  <si>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</si>
  <si>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</si>
  <si>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</si>
  <si>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</si>
  <si>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</si>
  <si>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</si>
  <si>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BKV</t>
  </si>
  <si>
    <t>LiveryText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</si>
  <si>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</si>
  <si>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</si>
  <si>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városi</t>
  </si>
  <si>
    <t>AAA</t>
  </si>
  <si>
    <t>Manufacturer</t>
  </si>
  <si>
    <t>Ikarus</t>
  </si>
  <si>
    <t>E98</t>
  </si>
  <si>
    <t>Ik30_a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</si>
  <si>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</si>
  <si>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</si>
  <si>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</si>
  <si>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</si>
  <si>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</si>
  <si>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</si>
  <si>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</si>
  <si>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</si>
  <si>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</si>
  <si>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</si>
  <si>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</si>
  <si>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</si>
  <si>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</si>
  <si>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</si>
  <si>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</si>
  <si>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</si>
  <si>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</si>
  <si>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</si>
  <si>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</si>
  <si>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</si>
  <si>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</si>
  <si>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</si>
  <si>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</si>
  <si>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</si>
  <si>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</si>
  <si>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</si>
  <si>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</si>
  <si>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</si>
  <si>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</si>
  <si>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</si>
  <si>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</si>
  <si>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</si>
  <si>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</si>
  <si>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</si>
  <si>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</si>
  <si>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</si>
  <si>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3tengelyes</t>
  </si>
  <si>
    <t>4tengelyes</t>
  </si>
  <si>
    <t>IC620?</t>
  </si>
  <si>
    <t>IC622?</t>
  </si>
  <si>
    <t>60+tr</t>
  </si>
  <si>
    <t>Ik622_a</t>
  </si>
  <si>
    <t>Ik622_b</t>
  </si>
  <si>
    <t>Ik630_a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</si>
  <si>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</si>
  <si>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</si>
  <si>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</si>
  <si>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</si>
  <si>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</si>
  <si>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</si>
  <si>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</si>
  <si>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</si>
  <si>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</si>
  <si>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</si>
  <si>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</si>
  <si>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</si>
  <si>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</si>
  <si>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</si>
  <si>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</si>
  <si>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</si>
  <si>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</si>
  <si>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</si>
  <si>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</si>
  <si>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</si>
  <si>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</si>
  <si>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</si>
  <si>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</si>
  <si>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</si>
  <si>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</si>
  <si>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</si>
  <si>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</si>
  <si>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</si>
  <si>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</si>
  <si>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</si>
  <si>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</si>
  <si>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</si>
  <si>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</si>
  <si>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</si>
  <si>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</si>
  <si>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</si>
  <si>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</si>
  <si>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</si>
  <si>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</si>
  <si>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</si>
  <si>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</si>
  <si>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</si>
  <si>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</si>
  <si>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</si>
  <si>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</si>
  <si>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</si>
  <si>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</si>
  <si>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</si>
  <si>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</si>
  <si>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</si>
  <si>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</si>
  <si>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</si>
  <si>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</si>
  <si>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</si>
  <si>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</si>
  <si>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</si>
  <si>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</si>
  <si>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</si>
  <si>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</si>
  <si>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</si>
  <si>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</si>
  <si>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</si>
  <si>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</si>
  <si>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</si>
  <si>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</si>
  <si>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</si>
  <si>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</si>
  <si>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</si>
  <si>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</si>
  <si>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</si>
  <si>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</si>
  <si>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</si>
  <si>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</si>
  <si>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</si>
  <si>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</si>
  <si>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</si>
  <si>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</si>
  <si>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</si>
  <si>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</si>
  <si>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</si>
  <si>
    <t>TR5</t>
  </si>
  <si>
    <t>TR35</t>
  </si>
  <si>
    <t>IkITC601_a</t>
  </si>
  <si>
    <t>IkITC600_a</t>
  </si>
  <si>
    <t>ITC600</t>
  </si>
  <si>
    <t>ITC601</t>
  </si>
  <si>
    <t>601+tr</t>
  </si>
  <si>
    <t>Ik386_a</t>
  </si>
  <si>
    <t>E94L</t>
  </si>
  <si>
    <t>280.37</t>
  </si>
  <si>
    <t>280.00</t>
  </si>
  <si>
    <t>250.59</t>
  </si>
  <si>
    <t>256.44</t>
  </si>
  <si>
    <t>260.00</t>
  </si>
  <si>
    <t>260.31</t>
  </si>
  <si>
    <t>260.32</t>
  </si>
  <si>
    <t>260.46</t>
  </si>
  <si>
    <t>263.10</t>
  </si>
  <si>
    <t>263.01</t>
  </si>
  <si>
    <t>263.04</t>
  </si>
  <si>
    <t>263.06</t>
  </si>
  <si>
    <t>Ik280_h</t>
  </si>
  <si>
    <t>Ik263_d</t>
  </si>
  <si>
    <t>Ik253_a</t>
  </si>
  <si>
    <t>Sor1</t>
  </si>
  <si>
    <t>Sor2</t>
  </si>
  <si>
    <t>Sor3</t>
  </si>
  <si>
    <t>első szériás</t>
  </si>
  <si>
    <t>E92.20</t>
  </si>
  <si>
    <t>Ik325_a</t>
  </si>
  <si>
    <t>C56</t>
  </si>
  <si>
    <t>C56.42</t>
  </si>
  <si>
    <t>IkC56_a</t>
  </si>
  <si>
    <t>IkC56_b</t>
  </si>
  <si>
    <t>C56.22</t>
  </si>
  <si>
    <t>Ik256_d</t>
  </si>
  <si>
    <t>256.42</t>
  </si>
  <si>
    <t>hosszabb</t>
  </si>
  <si>
    <t>C80</t>
  </si>
  <si>
    <t>IkC80_a</t>
  </si>
  <si>
    <t>IkC80_b</t>
  </si>
  <si>
    <t>C80.40A</t>
  </si>
  <si>
    <t>C80.30A</t>
  </si>
  <si>
    <t>IkC83_a</t>
  </si>
  <si>
    <t>IkC83_b</t>
  </si>
  <si>
    <t>C83</t>
  </si>
  <si>
    <t>C83.30</t>
  </si>
  <si>
    <t>C83.40</t>
  </si>
  <si>
    <t>C60</t>
  </si>
  <si>
    <t>IkC60_a</t>
  </si>
  <si>
    <t>C60.30A</t>
  </si>
  <si>
    <t>Suburb</t>
  </si>
  <si>
    <t>petrol</t>
  </si>
  <si>
    <t>N2h</t>
  </si>
  <si>
    <t>favázas</t>
  </si>
  <si>
    <t>MavagN2h_a</t>
  </si>
  <si>
    <t>Mávag</t>
  </si>
  <si>
    <t>Wood frame</t>
  </si>
  <si>
    <t>N26</t>
  </si>
  <si>
    <t>NI56</t>
  </si>
  <si>
    <t>MavagN26_a</t>
  </si>
  <si>
    <t>MavagNI56_a</t>
  </si>
  <si>
    <t>M5</t>
  </si>
  <si>
    <t>MavagM5_a</t>
  </si>
  <si>
    <t>TR3,5</t>
  </si>
  <si>
    <t>CC4</t>
  </si>
  <si>
    <t>CC5</t>
  </si>
  <si>
    <t>CC6</t>
  </si>
  <si>
    <t>CC7</t>
  </si>
  <si>
    <t>CC8</t>
  </si>
  <si>
    <t>280.54</t>
  </si>
  <si>
    <t>280.03</t>
  </si>
  <si>
    <t>Ik280_c</t>
  </si>
  <si>
    <t>280.52</t>
  </si>
  <si>
    <t>280.40A</t>
  </si>
  <si>
    <t>280.52G</t>
  </si>
  <si>
    <t>Standard1</t>
  </si>
  <si>
    <t>Stripe1</t>
  </si>
  <si>
    <t>Baseline1</t>
  </si>
  <si>
    <t>Dualbaseline1</t>
  </si>
  <si>
    <t>Endcaps1</t>
  </si>
  <si>
    <t>Fullbaseline1</t>
  </si>
  <si>
    <t>Full1</t>
  </si>
  <si>
    <t>Full2</t>
  </si>
  <si>
    <t>Standard2</t>
  </si>
  <si>
    <t>Stripe2</t>
  </si>
  <si>
    <t>Baseline2</t>
  </si>
  <si>
    <t>Dualbaseline2</t>
  </si>
  <si>
    <t>Fullbaseline2</t>
  </si>
  <si>
    <t>Halfhalf2</t>
  </si>
  <si>
    <t>Endcaps2</t>
  </si>
  <si>
    <t>Silverarrow1</t>
  </si>
  <si>
    <t>Fullsilverarrow1</t>
  </si>
  <si>
    <t>Fullsilverarrow2</t>
  </si>
  <si>
    <t>Whitestripe2</t>
  </si>
  <si>
    <t>Upper2</t>
  </si>
  <si>
    <t>Fullhalfhalf1</t>
  </si>
  <si>
    <t>Fullhalfhalf2</t>
  </si>
  <si>
    <t>Pannon2</t>
  </si>
  <si>
    <t>Alba2</t>
  </si>
  <si>
    <t>Gyors1</t>
  </si>
  <si>
    <t>Silverfront1</t>
  </si>
  <si>
    <t>260.46 Low rear door</t>
  </si>
  <si>
    <t>Ik260_c</t>
  </si>
  <si>
    <t>260.43</t>
  </si>
  <si>
    <t>ComLevel</t>
  </si>
  <si>
    <t>PPLevel</t>
  </si>
  <si>
    <t>MainLevel</t>
  </si>
  <si>
    <t>Ik255_b</t>
  </si>
  <si>
    <t>szellőzős</t>
  </si>
  <si>
    <t>rövid</t>
  </si>
  <si>
    <t>1-1-0</t>
  </si>
  <si>
    <t>Ik256_e</t>
  </si>
  <si>
    <t>1-2-0</t>
  </si>
  <si>
    <t>IkC56_c</t>
  </si>
  <si>
    <t>C56.32</t>
  </si>
  <si>
    <t>Striped2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</si>
</sst>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0" xfId="0" applyFill="1"/>
    <xf numFmtId="49" fontId="0" fillId="0" borderId="0" xfId="0" applyNumberFormat="1"/>
    <xf numFmtId="0" fontId="0" fillId="3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center" vertical="center" textRotation="180" wrapText="1"/>
    </xf>
    <xf numFmtId="1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/>
    <xf numFmtId="2" fontId="6" fillId="4" borderId="0" xfId="0" applyNumberFormat="1" applyFont="1" applyFill="1" applyAlignment="1">
      <alignment horizontal="center" vertical="center" textRotation="180" wrapText="1"/>
    </xf>
    <xf numFmtId="2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 textRotation="180" wrapText="1"/>
    </xf>
    <xf numFmtId="164" fontId="6" fillId="0" borderId="0" xfId="0" applyNumberFormat="1" applyFont="1" applyAlignment="1">
      <alignment horizontal="center"/>
    </xf>
    <xf numFmtId="1" fontId="6" fillId="4" borderId="0" xfId="0" applyNumberFormat="1" applyFont="1" applyFill="1" applyAlignment="1">
      <alignment horizontal="center" vertical="center" textRotation="180" wrapText="1"/>
    </xf>
  </cellXfs>
  <cellStyles count="1">
    <cellStyle name="Normá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darkUp">
          <f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darkUp">
          <f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darkUp">
          <f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Y332"/>
  <sheetViews>
    <sheetView zoomScale="70" zoomScaleNormal="70" workbookViewId="0">
      <selection activeCell="E19" sqref="E19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9" style="37" customWidth="1"/>
    <col min="20" max="20" width="6.5" style="31" bestFit="1" customWidth="1"/>
    <col min="21" max="21" width="6.5" style="37" customWidth="1"/>
    <col min="22" max="22" width="5.5" style="31" bestFit="1" customWidth="1"/>
    <col min="23" max="23" width="5.5" style="25" bestFit="1" customWidth="1"/>
    <col min="24" max="24" width="3.796875" style="31" bestFit="1" customWidth="1"/>
    <col min="25" max="25" width="3.796875" style="25" bestFit="1" customWidth="1"/>
    <col min="26" max="26" width="3.69921875" style="25" bestFit="1" customWidth="1"/>
    <col min="27" max="27" width="3.796875" style="25" bestFit="1" customWidth="1"/>
    <col min="28" max="28" width="3.796875" style="37" customWidth="1"/>
    <col min="29" max="29" width="7.796875" style="30" bestFit="1" customWidth="1"/>
    <col min="30" max="35" width="4.69921875" style="31" customWidth="1"/>
    <col min="36" max="38" width="4.69921875" style="25" customWidth="1"/>
    <col min="39" max="39" width="17.59765625" style="23" bestFit="1" customWidth="1"/>
    <col min="40" max="40" width="17.59765625" style="23" customWidth="1"/>
    <col min="41" max="41" width="11.5" style="26" bestFit="1" customWidth="1"/>
    <col min="42" max="42" width="8" style="28" bestFit="1" customWidth="1"/>
    <col min="43" max="43" width="6.3984375" style="26" customWidth="1"/>
    <col min="44" max="44" width="9.09765625" style="32"/>
    <col min="45" max="45" width="15.59765625" style="23" bestFit="1" customWidth="1"/>
    <col min="46" max="46" width="9.09765625" style="23"/>
    <col min="47" max="47" width="12.69921875" style="23" customWidth="1"/>
    <col min="48" max="48" width="9.09765625" style="34"/>
    <col min="49" max="51" width="4" style="23" customWidth="1"/>
    <col min="52" max="16384" width="9.09765625" style="23"/>
  </cols>
  <sheetData>
    <row r="1" spans="1:51" s="24" customFormat="1" ht="64.2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36" t="s">
        <v>325</v>
      </c>
      <c r="T1" s="29" t="s">
        <v>56</v>
      </c>
      <c r="U1" s="36" t="s">
        <v>326</v>
      </c>
      <c r="V1" s="29" t="s">
        <v>57</v>
      </c>
      <c r="W1" s="24" t="s">
        <v>63</v>
      </c>
      <c r="X1" s="29" t="s">
        <v>62</v>
      </c>
      <c r="Y1" s="24" t="s">
        <v>58</v>
      </c>
      <c r="Z1" s="24" t="s">
        <v>61</v>
      </c>
      <c r="AA1" s="24" t="s">
        <v>60</v>
      </c>
      <c r="AB1" s="36" t="s">
        <v>324</v>
      </c>
      <c r="AC1" s="38" t="s">
        <v>59</v>
      </c>
      <c r="AD1" s="29" t="s">
        <v>64</v>
      </c>
      <c r="AE1" s="29" t="s">
        <v>65</v>
      </c>
      <c r="AF1" s="29" t="s">
        <v>66</v>
      </c>
      <c r="AG1" s="29" t="s">
        <v>67</v>
      </c>
      <c r="AH1" s="29" t="s">
        <v>68</v>
      </c>
      <c r="AI1" s="29" t="s">
        <v>69</v>
      </c>
      <c r="AJ1" s="24" t="s">
        <v>81</v>
      </c>
      <c r="AK1" s="24" t="s">
        <v>82</v>
      </c>
      <c r="AL1" s="24" t="s">
        <v>83</v>
      </c>
      <c r="AM1" s="24" t="s">
        <v>70</v>
      </c>
      <c r="AN1" s="24" t="s">
        <v>91</v>
      </c>
      <c r="AO1" s="24" t="s">
        <v>29</v>
      </c>
      <c r="AP1" s="27" t="s">
        <v>71</v>
      </c>
      <c r="AQ1" s="24" t="s">
        <v>72</v>
      </c>
      <c r="AR1" s="29" t="s">
        <v>74</v>
      </c>
      <c r="AS1" s="24" t="s">
        <v>73</v>
      </c>
      <c r="AT1" s="24" t="s">
        <v>31</v>
      </c>
      <c r="AU1" s="24" t="s">
        <v>45</v>
      </c>
      <c r="AV1" s="33" t="s">
        <v>34</v>
      </c>
      <c r="AW1" s="24" t="s">
        <v>243</v>
      </c>
      <c r="AX1" s="24" t="s">
        <v>244</v>
      </c>
      <c r="AY1" s="24" t="s">
        <v>245</v>
      </c>
    </row>
    <row r="2" spans="1:51">
      <c r="A2" s="25" t="s">
        <v>272</v>
      </c>
      <c r="B2" s="23" t="s">
        <v>273</v>
      </c>
      <c r="D2" s="23">
        <v>1</v>
      </c>
      <c r="E2" s="25" t="s">
        <v>30</v>
      </c>
      <c r="F2" s="25" t="s">
        <v>295</v>
      </c>
      <c r="G2" s="23" t="s">
        <v>271</v>
      </c>
      <c r="H2" s="23" t="s">
        <v>274</v>
      </c>
      <c r="I2" s="25">
        <v>1929</v>
      </c>
      <c r="J2" s="35">
        <v>30</v>
      </c>
      <c r="K2" s="35">
        <v>40</v>
      </c>
      <c r="L2" s="35">
        <v>20</v>
      </c>
      <c r="M2" s="25">
        <v>5</v>
      </c>
      <c r="R2" s="30">
        <f t="shared" ref="R2:R65" si="0">SUM(M2:Q2)</f>
        <v>5</v>
      </c>
      <c r="S2" s="37">
        <v>1</v>
      </c>
      <c r="T2" s="30">
        <f>S2*IF(OR(G2="diesel", G2="petrol"), ((Z2+(X2/10))/2)+(R2/14), IF(OR(G2="cng", G2="hybrid"), ((Z2+(X2/10))/2*1.2)+(R2/14), IF(OR(G2="hydrogen", G2="electric"), ((Z2+(X2/10))/2*1.5)+(R2/14), 0)))</f>
        <v>6.6891428571428566</v>
      </c>
      <c r="U2" s="37">
        <v>1</v>
      </c>
      <c r="V2" s="30">
        <f>U2*IF(G2="petrol", ((Z2+(AA2/15)+X2)/10*1.5)+(R2/14), IF(G2="diesel", ((Z2+(AA2/15)+X2)/10)+(R2/14), IF(OR(G2="cng", G2="hybrid"), ((Z2+(AA2/15)+X2)/10*0.8)+(R2/14), IF(OR(G2="hydrogen", G2="electric"), ((Z2+(AA2/15)+X2)/10*0.5)+(R2/14), 0))))</f>
        <v>11.653142857142857</v>
      </c>
      <c r="W2" s="25">
        <v>60</v>
      </c>
      <c r="X2" s="31">
        <f t="shared" ref="X2:X65" si="1">Y2*1.36</f>
        <v>66.64</v>
      </c>
      <c r="Y2" s="25">
        <v>49</v>
      </c>
      <c r="Z2" s="25">
        <v>6</v>
      </c>
      <c r="AA2" s="25">
        <v>40</v>
      </c>
      <c r="AB2" s="37">
        <v>1</v>
      </c>
      <c r="AC2" s="30">
        <f>AB2*IF(AT2="Regional", 185, IF(AT2="Intercity", 150, IF(AT2="Tourist", 100, 200)))</f>
        <v>200</v>
      </c>
      <c r="AD2" s="31">
        <f t="shared" ref="AD2:AD65" si="2">IF(AJ2&gt;8, AJ2-8, AJ2)</f>
        <v>1</v>
      </c>
      <c r="AE2" s="31">
        <f t="shared" ref="AE2:AE65" si="3">IF(AJ2&gt;8, 8, "")</f>
        <v>8</v>
      </c>
      <c r="AF2" s="31" t="str">
        <f t="shared" ref="AF2:AF65" si="4">IF(AK2&gt;8, AK2-8, IF(AK2=0, "", AK2))</f>
        <v/>
      </c>
      <c r="AG2" s="31" t="str">
        <f t="shared" ref="AG2:AG65" si="5">IF(AK2&gt;8, 8, "")</f>
        <v/>
      </c>
      <c r="AH2" s="31" t="str">
        <f t="shared" ref="AH2:AH65" si="6">IF(AL2&gt;8, AL2-8, IF(AL2=0, "", AL2))</f>
        <v/>
      </c>
      <c r="AI2" s="31" t="str">
        <f t="shared" ref="AI2:AI65" si="7">IF(AL2&gt;8, 8, "")</f>
        <v/>
      </c>
      <c r="AJ2" s="25">
        <v>9</v>
      </c>
      <c r="AK2" s="25">
        <v>0</v>
      </c>
      <c r="AL2" s="25">
        <v>0</v>
      </c>
      <c r="AM2" s="23" t="s">
        <v>110</v>
      </c>
      <c r="AN2" s="23" t="s">
        <v>275</v>
      </c>
      <c r="AO2" s="25" t="s">
        <v>272</v>
      </c>
      <c r="AR2" s="32" t="str">
        <f t="shared" ref="AR2:AR65" si="8">IF(Q2&gt;0, "5 doors", IF(P2&gt;0, "4 doors", IF(O2&gt;0, "3 doors", IF(N2&gt;0, "2 doors", "1 door"))))</f>
        <v>1 door</v>
      </c>
      <c r="AS2" s="23" t="s">
        <v>276</v>
      </c>
      <c r="AT2" s="23" t="s">
        <v>32</v>
      </c>
      <c r="AU2" s="23" t="str">
        <f>IF(ISNUMBER(SEARCH("CC", E2)), "CC", "Hungary")</f>
        <v>CC</v>
      </c>
      <c r="AV2" s="34">
        <f t="shared" ref="AV2:AV65" si="9">(AW2*100)+AX2+(AY2/100)</f>
        <v>130</v>
      </c>
      <c r="AW2" s="23">
        <v>1</v>
      </c>
      <c r="AX2" s="23">
        <v>30</v>
      </c>
      <c r="AY2" s="23">
        <v>0</v>
      </c>
    </row>
    <row r="3" spans="1:51">
      <c r="A3" s="25" t="s">
        <v>277</v>
      </c>
      <c r="B3" s="23" t="s">
        <v>273</v>
      </c>
      <c r="D3" s="23">
        <v>1</v>
      </c>
      <c r="E3" s="25" t="s">
        <v>30</v>
      </c>
      <c r="F3" s="25" t="s">
        <v>295</v>
      </c>
      <c r="G3" s="23" t="s">
        <v>271</v>
      </c>
      <c r="H3" s="23" t="s">
        <v>279</v>
      </c>
      <c r="I3" s="25">
        <v>1929</v>
      </c>
      <c r="J3" s="35">
        <v>30</v>
      </c>
      <c r="K3" s="35">
        <v>40</v>
      </c>
      <c r="L3" s="35">
        <v>20</v>
      </c>
      <c r="M3" s="25">
        <v>5</v>
      </c>
      <c r="R3" s="30">
        <f t="shared" si="0"/>
        <v>5</v>
      </c>
      <c r="S3" s="37">
        <v>1</v>
      </c>
      <c r="T3" s="30">
        <f t="shared" ref="T3:T78" si="10">S3*IF(OR(G3="diesel", G3="petrol"), ((Z3+(X3/10))/2)+(R3/14), IF(OR(G3="cng", G3="hybrid"), ((Z3+(X3/10))/2*1.2)+(R3/14), IF(OR(G3="hydrogen", G3="electric"), ((Z3+(X3/10))/2*1.5)+(R3/14), 0)))</f>
        <v>7.1891428571428566</v>
      </c>
      <c r="U3" s="37">
        <v>1</v>
      </c>
      <c r="V3" s="30">
        <f t="shared" ref="V3:V66" si="11">U3*IF(G3="petrol", ((Z3+(AA3/15)+X3)/10*1.5)+(R3/14), IF(G3="diesel", ((Z3+(AA3/15)+X3)/10)+(R3/14), IF(OR(G3="cng", G3="hybrid"), ((Z3+(AA3/15)+X3)/10*0.8)+(R3/14), IF(OR(G3="hydrogen", G3="electric"), ((Z3+(AA3/15)+X3)/10*0.5)+(R3/14), 0))))</f>
        <v>11.903142857142857</v>
      </c>
      <c r="W3" s="25">
        <v>60</v>
      </c>
      <c r="X3" s="31">
        <f t="shared" si="1"/>
        <v>66.64</v>
      </c>
      <c r="Y3" s="25">
        <v>49</v>
      </c>
      <c r="Z3" s="25">
        <v>7</v>
      </c>
      <c r="AA3" s="25">
        <v>50</v>
      </c>
      <c r="AB3" s="37">
        <v>1</v>
      </c>
      <c r="AC3" s="30">
        <f t="shared" ref="AC3:AC66" si="12">AB3*IF(AT3="Regional", 185, IF(AT3="Intercity", 150, IF(AT3="Tourist", 100, 200)))</f>
        <v>200</v>
      </c>
      <c r="AD3" s="31">
        <f t="shared" si="2"/>
        <v>2</v>
      </c>
      <c r="AE3" s="31">
        <f t="shared" si="3"/>
        <v>8</v>
      </c>
      <c r="AF3" s="31" t="str">
        <f t="shared" si="4"/>
        <v/>
      </c>
      <c r="AG3" s="31" t="str">
        <f t="shared" si="5"/>
        <v/>
      </c>
      <c r="AH3" s="31" t="str">
        <f t="shared" si="6"/>
        <v/>
      </c>
      <c r="AI3" s="31" t="str">
        <f t="shared" si="7"/>
        <v/>
      </c>
      <c r="AJ3" s="25">
        <v>10</v>
      </c>
      <c r="AK3" s="25">
        <v>0</v>
      </c>
      <c r="AL3" s="25">
        <v>0</v>
      </c>
      <c r="AM3" s="23" t="s">
        <v>110</v>
      </c>
      <c r="AN3" s="23" t="s">
        <v>275</v>
      </c>
      <c r="AO3" s="25" t="s">
        <v>277</v>
      </c>
      <c r="AR3" s="32" t="str">
        <f t="shared" si="8"/>
        <v>1 door</v>
      </c>
      <c r="AS3" s="23" t="s">
        <v>276</v>
      </c>
      <c r="AT3" s="23" t="s">
        <v>32</v>
      </c>
      <c r="AU3" s="23" t="str">
        <f t="shared" ref="AU3:AU66" si="13">IF(ISNUMBER(SEARCH("CC", E3)), "CC", "Hungary")</f>
        <v>CC</v>
      </c>
      <c r="AV3" s="34">
        <f t="shared" si="9"/>
        <v>132</v>
      </c>
      <c r="AW3" s="23">
        <v>1</v>
      </c>
      <c r="AX3" s="23">
        <v>32</v>
      </c>
      <c r="AY3" s="23">
        <v>0</v>
      </c>
    </row>
    <row r="4" spans="1:51">
      <c r="A4" s="25" t="s">
        <v>278</v>
      </c>
      <c r="B4" s="23" t="s">
        <v>273</v>
      </c>
      <c r="D4" s="23">
        <v>1</v>
      </c>
      <c r="E4" s="25" t="s">
        <v>30</v>
      </c>
      <c r="F4" s="25" t="s">
        <v>295</v>
      </c>
      <c r="G4" s="23" t="s">
        <v>271</v>
      </c>
      <c r="H4" s="23" t="s">
        <v>280</v>
      </c>
      <c r="I4" s="25">
        <v>1929</v>
      </c>
      <c r="J4" s="35">
        <v>30</v>
      </c>
      <c r="K4" s="35">
        <v>40</v>
      </c>
      <c r="L4" s="35">
        <v>20</v>
      </c>
      <c r="M4" s="25">
        <v>5</v>
      </c>
      <c r="R4" s="30">
        <f t="shared" si="0"/>
        <v>5</v>
      </c>
      <c r="S4" s="37">
        <v>1</v>
      </c>
      <c r="T4" s="30">
        <f t="shared" si="10"/>
        <v>7.6891428571428566</v>
      </c>
      <c r="U4" s="37">
        <v>1</v>
      </c>
      <c r="V4" s="30">
        <f t="shared" si="11"/>
        <v>12.183142857142858</v>
      </c>
      <c r="W4" s="25">
        <v>60</v>
      </c>
      <c r="X4" s="31">
        <f t="shared" si="1"/>
        <v>66.64</v>
      </c>
      <c r="Y4" s="25">
        <v>49</v>
      </c>
      <c r="Z4" s="25">
        <v>8</v>
      </c>
      <c r="AA4" s="25">
        <v>63</v>
      </c>
      <c r="AB4" s="37">
        <v>1</v>
      </c>
      <c r="AC4" s="30">
        <f t="shared" si="12"/>
        <v>200</v>
      </c>
      <c r="AD4" s="31">
        <f t="shared" si="2"/>
        <v>4</v>
      </c>
      <c r="AE4" s="31">
        <f t="shared" si="3"/>
        <v>8</v>
      </c>
      <c r="AF4" s="31" t="str">
        <f t="shared" si="4"/>
        <v/>
      </c>
      <c r="AG4" s="31" t="str">
        <f t="shared" si="5"/>
        <v/>
      </c>
      <c r="AH4" s="31" t="str">
        <f t="shared" si="6"/>
        <v/>
      </c>
      <c r="AI4" s="31" t="str">
        <f t="shared" si="7"/>
        <v/>
      </c>
      <c r="AJ4" s="25">
        <v>12</v>
      </c>
      <c r="AK4" s="25">
        <v>0</v>
      </c>
      <c r="AL4" s="25">
        <v>0</v>
      </c>
      <c r="AM4" s="23" t="s">
        <v>110</v>
      </c>
      <c r="AN4" s="23" t="s">
        <v>275</v>
      </c>
      <c r="AO4" s="25" t="s">
        <v>278</v>
      </c>
      <c r="AR4" s="32" t="str">
        <f t="shared" si="8"/>
        <v>1 door</v>
      </c>
      <c r="AS4" s="23" t="s">
        <v>276</v>
      </c>
      <c r="AT4" s="23" t="s">
        <v>32</v>
      </c>
      <c r="AU4" s="23" t="str">
        <f t="shared" si="13"/>
        <v>CC</v>
      </c>
      <c r="AV4" s="34">
        <f t="shared" si="9"/>
        <v>134</v>
      </c>
      <c r="AW4" s="23">
        <v>1</v>
      </c>
      <c r="AX4" s="23">
        <v>34</v>
      </c>
      <c r="AY4" s="23">
        <v>0</v>
      </c>
    </row>
    <row r="5" spans="1:51">
      <c r="A5" s="25" t="s">
        <v>219</v>
      </c>
      <c r="D5" s="23">
        <v>2</v>
      </c>
      <c r="E5" s="25" t="s">
        <v>30</v>
      </c>
      <c r="F5" s="25" t="s">
        <v>295</v>
      </c>
      <c r="G5" s="23" t="s">
        <v>27</v>
      </c>
      <c r="H5" s="23" t="s">
        <v>142</v>
      </c>
      <c r="I5" s="25">
        <v>1947</v>
      </c>
      <c r="J5" s="35">
        <v>30</v>
      </c>
      <c r="K5" s="35">
        <v>40</v>
      </c>
      <c r="L5" s="35">
        <v>20</v>
      </c>
      <c r="M5" s="25">
        <v>8</v>
      </c>
      <c r="N5" s="25">
        <v>12</v>
      </c>
      <c r="R5" s="30">
        <f t="shared" si="0"/>
        <v>20</v>
      </c>
      <c r="S5" s="37">
        <v>1</v>
      </c>
      <c r="T5" s="30">
        <f t="shared" si="10"/>
        <v>9.1645714285714295</v>
      </c>
      <c r="U5" s="37">
        <v>1</v>
      </c>
      <c r="V5" s="30">
        <f t="shared" si="11"/>
        <v>12.767238095238097</v>
      </c>
      <c r="W5" s="25">
        <v>58</v>
      </c>
      <c r="X5" s="31">
        <f t="shared" si="1"/>
        <v>104.72000000000001</v>
      </c>
      <c r="Y5" s="25">
        <v>77</v>
      </c>
      <c r="Z5" s="25">
        <v>5</v>
      </c>
      <c r="AA5" s="25">
        <v>55</v>
      </c>
      <c r="AB5" s="37">
        <v>1</v>
      </c>
      <c r="AC5" s="30">
        <f t="shared" si="12"/>
        <v>200</v>
      </c>
      <c r="AD5" s="31">
        <f t="shared" si="2"/>
        <v>1</v>
      </c>
      <c r="AE5" s="31">
        <f t="shared" si="3"/>
        <v>8</v>
      </c>
      <c r="AF5" s="31" t="str">
        <f t="shared" si="4"/>
        <v/>
      </c>
      <c r="AG5" s="31" t="str">
        <f t="shared" si="5"/>
        <v/>
      </c>
      <c r="AH5" s="31" t="str">
        <f t="shared" si="6"/>
        <v/>
      </c>
      <c r="AI5" s="31" t="str">
        <f t="shared" si="7"/>
        <v/>
      </c>
      <c r="AJ5" s="25">
        <v>9</v>
      </c>
      <c r="AK5" s="25">
        <v>0</v>
      </c>
      <c r="AL5" s="25">
        <v>0</v>
      </c>
      <c r="AM5" s="23" t="s">
        <v>110</v>
      </c>
      <c r="AN5" s="23" t="s">
        <v>275</v>
      </c>
      <c r="AO5" s="25" t="s">
        <v>219</v>
      </c>
      <c r="AR5" s="32" t="str">
        <f t="shared" si="8"/>
        <v>2 doors</v>
      </c>
      <c r="AT5" s="23" t="s">
        <v>32</v>
      </c>
      <c r="AU5" s="23" t="str">
        <f t="shared" si="13"/>
        <v>CC</v>
      </c>
      <c r="AV5" s="34">
        <f t="shared" si="9"/>
        <v>300</v>
      </c>
      <c r="AW5" s="23">
        <v>3</v>
      </c>
      <c r="AX5" s="23">
        <v>0</v>
      </c>
      <c r="AY5" s="23">
        <v>0</v>
      </c>
    </row>
    <row r="6" spans="1:51">
      <c r="A6" s="25" t="s">
        <v>219</v>
      </c>
      <c r="D6" s="23">
        <v>2</v>
      </c>
      <c r="E6" s="25" t="s">
        <v>85</v>
      </c>
      <c r="F6" s="25" t="s">
        <v>85</v>
      </c>
      <c r="G6" s="23" t="s">
        <v>27</v>
      </c>
      <c r="H6" s="23" t="s">
        <v>142</v>
      </c>
      <c r="I6" s="25">
        <v>1947</v>
      </c>
      <c r="J6" s="35">
        <v>30</v>
      </c>
      <c r="K6" s="35">
        <v>40</v>
      </c>
      <c r="L6" s="35">
        <v>20</v>
      </c>
      <c r="M6" s="25">
        <v>8</v>
      </c>
      <c r="N6" s="25">
        <v>12</v>
      </c>
      <c r="R6" s="30">
        <f t="shared" si="0"/>
        <v>20</v>
      </c>
      <c r="S6" s="37">
        <v>1</v>
      </c>
      <c r="T6" s="30">
        <f t="shared" si="10"/>
        <v>9.1645714285714295</v>
      </c>
      <c r="U6" s="37">
        <v>1</v>
      </c>
      <c r="V6" s="30">
        <f t="shared" si="11"/>
        <v>12.767238095238097</v>
      </c>
      <c r="W6" s="25">
        <v>58</v>
      </c>
      <c r="X6" s="31">
        <f t="shared" si="1"/>
        <v>104.72000000000001</v>
      </c>
      <c r="Y6" s="25">
        <v>77</v>
      </c>
      <c r="Z6" s="25">
        <v>5</v>
      </c>
      <c r="AA6" s="25">
        <v>55</v>
      </c>
      <c r="AB6" s="37">
        <v>1</v>
      </c>
      <c r="AC6" s="30">
        <f t="shared" si="12"/>
        <v>200</v>
      </c>
      <c r="AD6" s="31">
        <f t="shared" si="2"/>
        <v>1</v>
      </c>
      <c r="AE6" s="31">
        <f t="shared" si="3"/>
        <v>8</v>
      </c>
      <c r="AF6" s="31" t="str">
        <f t="shared" si="4"/>
        <v/>
      </c>
      <c r="AG6" s="31" t="str">
        <f t="shared" si="5"/>
        <v/>
      </c>
      <c r="AH6" s="31" t="str">
        <f t="shared" si="6"/>
        <v/>
      </c>
      <c r="AI6" s="31" t="str">
        <f t="shared" si="7"/>
        <v/>
      </c>
      <c r="AJ6" s="25">
        <v>9</v>
      </c>
      <c r="AK6" s="25">
        <v>0</v>
      </c>
      <c r="AL6" s="25">
        <v>0</v>
      </c>
      <c r="AM6" s="23" t="s">
        <v>110</v>
      </c>
      <c r="AN6" s="23" t="s">
        <v>275</v>
      </c>
      <c r="AO6" s="25" t="s">
        <v>219</v>
      </c>
      <c r="AR6" s="32" t="str">
        <f t="shared" si="8"/>
        <v>2 doors</v>
      </c>
      <c r="AT6" s="23" t="s">
        <v>32</v>
      </c>
      <c r="AU6" s="23" t="str">
        <f t="shared" si="13"/>
        <v>Hungary</v>
      </c>
      <c r="AV6" s="34">
        <f t="shared" si="9"/>
        <v>300.01</v>
      </c>
      <c r="AW6" s="23">
        <v>3</v>
      </c>
      <c r="AX6" s="23">
        <v>0</v>
      </c>
      <c r="AY6" s="23">
        <v>1</v>
      </c>
    </row>
    <row r="7" spans="1:51">
      <c r="A7" s="25" t="s">
        <v>281</v>
      </c>
      <c r="D7" s="23">
        <v>2</v>
      </c>
      <c r="E7" s="25" t="s">
        <v>30</v>
      </c>
      <c r="F7" s="25" t="s">
        <v>303</v>
      </c>
      <c r="G7" s="23" t="s">
        <v>27</v>
      </c>
      <c r="H7" s="23" t="s">
        <v>282</v>
      </c>
      <c r="I7" s="25">
        <v>1947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0"/>
        <v>10</v>
      </c>
      <c r="S7" s="37">
        <v>1</v>
      </c>
      <c r="T7" s="30">
        <f t="shared" si="10"/>
        <v>8.4502857142857142</v>
      </c>
      <c r="U7" s="37">
        <v>1</v>
      </c>
      <c r="V7" s="30">
        <f t="shared" si="11"/>
        <v>12.052952380952382</v>
      </c>
      <c r="W7" s="25">
        <v>76</v>
      </c>
      <c r="X7" s="31">
        <f t="shared" si="1"/>
        <v>104.72000000000001</v>
      </c>
      <c r="Y7" s="25">
        <v>77</v>
      </c>
      <c r="Z7" s="25">
        <v>5</v>
      </c>
      <c r="AA7" s="25">
        <v>55</v>
      </c>
      <c r="AB7" s="37">
        <v>1</v>
      </c>
      <c r="AC7" s="30">
        <f t="shared" si="12"/>
        <v>150</v>
      </c>
      <c r="AD7" s="31">
        <f t="shared" si="2"/>
        <v>1</v>
      </c>
      <c r="AE7" s="31">
        <f t="shared" si="3"/>
        <v>8</v>
      </c>
      <c r="AF7" s="31" t="str">
        <f t="shared" si="4"/>
        <v/>
      </c>
      <c r="AG7" s="31" t="str">
        <f t="shared" si="5"/>
        <v/>
      </c>
      <c r="AH7" s="31" t="str">
        <f t="shared" si="6"/>
        <v/>
      </c>
      <c r="AI7" s="31" t="str">
        <f t="shared" si="7"/>
        <v/>
      </c>
      <c r="AJ7" s="25">
        <v>9</v>
      </c>
      <c r="AK7" s="25">
        <v>0</v>
      </c>
      <c r="AL7" s="25">
        <v>0</v>
      </c>
      <c r="AM7" s="23" t="s">
        <v>110</v>
      </c>
      <c r="AN7" s="23" t="s">
        <v>275</v>
      </c>
      <c r="AO7" s="25" t="s">
        <v>281</v>
      </c>
      <c r="AR7" s="32" t="str">
        <f t="shared" si="8"/>
        <v>2 doors</v>
      </c>
      <c r="AT7" s="23" t="s">
        <v>47</v>
      </c>
      <c r="AU7" s="23" t="str">
        <f t="shared" si="13"/>
        <v>CC</v>
      </c>
      <c r="AV7" s="34">
        <f t="shared" si="9"/>
        <v>310</v>
      </c>
      <c r="AW7" s="23">
        <v>3</v>
      </c>
      <c r="AX7" s="23">
        <v>10</v>
      </c>
      <c r="AY7" s="23">
        <v>0</v>
      </c>
    </row>
    <row r="8" spans="1:51">
      <c r="A8" s="25" t="s">
        <v>220</v>
      </c>
      <c r="D8" s="23">
        <v>2</v>
      </c>
      <c r="E8" s="25" t="s">
        <v>30</v>
      </c>
      <c r="F8" s="25" t="s">
        <v>295</v>
      </c>
      <c r="G8" s="23" t="s">
        <v>27</v>
      </c>
      <c r="H8" s="23" t="s">
        <v>141</v>
      </c>
      <c r="I8" s="25">
        <v>1948</v>
      </c>
      <c r="J8" s="35">
        <v>30</v>
      </c>
      <c r="K8" s="35">
        <v>40</v>
      </c>
      <c r="L8" s="35">
        <v>20</v>
      </c>
      <c r="M8" s="25">
        <v>8</v>
      </c>
      <c r="N8" s="25">
        <v>8</v>
      </c>
      <c r="R8" s="30">
        <f t="shared" si="0"/>
        <v>16</v>
      </c>
      <c r="S8" s="37">
        <v>1</v>
      </c>
      <c r="T8" s="30">
        <f t="shared" si="10"/>
        <v>6.4068571428571435</v>
      </c>
      <c r="U8" s="37">
        <v>1</v>
      </c>
      <c r="V8" s="30">
        <f t="shared" si="11"/>
        <v>8.3508571428571425</v>
      </c>
      <c r="W8" s="25">
        <v>53</v>
      </c>
      <c r="X8" s="31">
        <f t="shared" si="1"/>
        <v>65.28</v>
      </c>
      <c r="Y8" s="25">
        <v>48</v>
      </c>
      <c r="Z8" s="25">
        <v>4</v>
      </c>
      <c r="AA8" s="25">
        <v>42</v>
      </c>
      <c r="AB8" s="37">
        <v>1</v>
      </c>
      <c r="AC8" s="30">
        <f t="shared" si="12"/>
        <v>200</v>
      </c>
      <c r="AD8" s="31">
        <f t="shared" si="2"/>
        <v>8</v>
      </c>
      <c r="AE8" s="31" t="str">
        <f t="shared" si="3"/>
        <v/>
      </c>
      <c r="AF8" s="31" t="str">
        <f t="shared" si="4"/>
        <v/>
      </c>
      <c r="AG8" s="31" t="str">
        <f t="shared" si="5"/>
        <v/>
      </c>
      <c r="AH8" s="31" t="str">
        <f t="shared" si="6"/>
        <v/>
      </c>
      <c r="AI8" s="31" t="str">
        <f t="shared" si="7"/>
        <v/>
      </c>
      <c r="AJ8" s="25">
        <v>8</v>
      </c>
      <c r="AK8" s="25">
        <v>0</v>
      </c>
      <c r="AL8" s="25">
        <v>0</v>
      </c>
      <c r="AM8" s="23" t="s">
        <v>110</v>
      </c>
      <c r="AN8" s="23" t="s">
        <v>275</v>
      </c>
      <c r="AO8" s="25" t="s">
        <v>283</v>
      </c>
      <c r="AR8" s="32" t="str">
        <f t="shared" si="8"/>
        <v>2 doors</v>
      </c>
      <c r="AT8" s="23" t="s">
        <v>32</v>
      </c>
      <c r="AU8" s="23" t="str">
        <f t="shared" si="13"/>
        <v>CC</v>
      </c>
      <c r="AV8" s="34">
        <f t="shared" si="9"/>
        <v>320</v>
      </c>
      <c r="AW8" s="23">
        <v>3</v>
      </c>
      <c r="AX8" s="23">
        <v>20</v>
      </c>
      <c r="AY8" s="23">
        <v>0</v>
      </c>
    </row>
    <row r="9" spans="1:51">
      <c r="A9" s="25" t="s">
        <v>220</v>
      </c>
      <c r="D9" s="23">
        <v>2</v>
      </c>
      <c r="E9" s="25" t="s">
        <v>85</v>
      </c>
      <c r="F9" s="25" t="s">
        <v>85</v>
      </c>
      <c r="G9" s="23" t="s">
        <v>27</v>
      </c>
      <c r="H9" s="23" t="s">
        <v>141</v>
      </c>
      <c r="I9" s="25">
        <v>1948</v>
      </c>
      <c r="J9" s="35">
        <v>30</v>
      </c>
      <c r="K9" s="35">
        <v>40</v>
      </c>
      <c r="L9" s="35">
        <v>20</v>
      </c>
      <c r="M9" s="25">
        <v>8</v>
      </c>
      <c r="N9" s="25">
        <v>8</v>
      </c>
      <c r="R9" s="30">
        <f t="shared" si="0"/>
        <v>16</v>
      </c>
      <c r="S9" s="37">
        <v>1</v>
      </c>
      <c r="T9" s="30">
        <f t="shared" si="10"/>
        <v>6.4068571428571435</v>
      </c>
      <c r="U9" s="37">
        <v>1</v>
      </c>
      <c r="V9" s="30">
        <f t="shared" si="11"/>
        <v>8.3508571428571425</v>
      </c>
      <c r="W9" s="25">
        <v>53</v>
      </c>
      <c r="X9" s="31">
        <f t="shared" si="1"/>
        <v>65.28</v>
      </c>
      <c r="Y9" s="25">
        <v>48</v>
      </c>
      <c r="Z9" s="25">
        <v>4</v>
      </c>
      <c r="AA9" s="25">
        <v>42</v>
      </c>
      <c r="AB9" s="37">
        <v>1</v>
      </c>
      <c r="AC9" s="30">
        <f t="shared" si="12"/>
        <v>200</v>
      </c>
      <c r="AD9" s="31">
        <f t="shared" si="2"/>
        <v>8</v>
      </c>
      <c r="AE9" s="31" t="str">
        <f t="shared" si="3"/>
        <v/>
      </c>
      <c r="AF9" s="31" t="str">
        <f t="shared" si="4"/>
        <v/>
      </c>
      <c r="AG9" s="31" t="str">
        <f t="shared" si="5"/>
        <v/>
      </c>
      <c r="AH9" s="31" t="str">
        <f t="shared" si="6"/>
        <v/>
      </c>
      <c r="AI9" s="31" t="str">
        <f t="shared" si="7"/>
        <v/>
      </c>
      <c r="AJ9" s="25">
        <v>8</v>
      </c>
      <c r="AK9" s="25">
        <v>0</v>
      </c>
      <c r="AL9" s="25">
        <v>0</v>
      </c>
      <c r="AM9" s="23" t="s">
        <v>110</v>
      </c>
      <c r="AN9" s="23" t="s">
        <v>275</v>
      </c>
      <c r="AO9" s="25" t="s">
        <v>283</v>
      </c>
      <c r="AR9" s="32" t="str">
        <f t="shared" si="8"/>
        <v>2 doors</v>
      </c>
      <c r="AT9" s="23" t="s">
        <v>32</v>
      </c>
      <c r="AU9" s="23" t="str">
        <f t="shared" si="13"/>
        <v>Hungary</v>
      </c>
      <c r="AV9" s="34">
        <f t="shared" si="9"/>
        <v>320.01</v>
      </c>
      <c r="AW9" s="23">
        <v>3</v>
      </c>
      <c r="AX9" s="23">
        <v>20</v>
      </c>
      <c r="AY9" s="23">
        <v>1</v>
      </c>
    </row>
    <row r="10" spans="1:51">
      <c r="A10" s="25">
        <v>30</v>
      </c>
      <c r="D10" s="23">
        <v>2</v>
      </c>
      <c r="E10" s="25" t="s">
        <v>30</v>
      </c>
      <c r="F10" s="25" t="s">
        <v>311</v>
      </c>
      <c r="G10" s="23" t="s">
        <v>27</v>
      </c>
      <c r="H10" s="23" t="s">
        <v>94</v>
      </c>
      <c r="I10" s="25">
        <v>1951</v>
      </c>
      <c r="J10" s="35">
        <v>30</v>
      </c>
      <c r="K10" s="35">
        <v>40</v>
      </c>
      <c r="L10" s="35">
        <v>20</v>
      </c>
      <c r="M10" s="25">
        <v>5</v>
      </c>
      <c r="N10" s="25">
        <v>5</v>
      </c>
      <c r="R10" s="30">
        <f t="shared" si="0"/>
        <v>10</v>
      </c>
      <c r="S10" s="37">
        <v>1</v>
      </c>
      <c r="T10" s="30">
        <f t="shared" si="10"/>
        <v>6.9302857142857146</v>
      </c>
      <c r="U10" s="37">
        <v>1</v>
      </c>
      <c r="V10" s="30">
        <f t="shared" si="11"/>
        <v>9.8129523809523818</v>
      </c>
      <c r="W10" s="25">
        <v>55</v>
      </c>
      <c r="X10" s="31">
        <f t="shared" si="1"/>
        <v>84.320000000000007</v>
      </c>
      <c r="Y10" s="25">
        <v>62</v>
      </c>
      <c r="Z10" s="25">
        <v>4</v>
      </c>
      <c r="AA10" s="25">
        <v>40</v>
      </c>
      <c r="AB10" s="37">
        <v>1</v>
      </c>
      <c r="AC10" s="30">
        <f t="shared" si="12"/>
        <v>200</v>
      </c>
      <c r="AD10" s="31">
        <f t="shared" si="2"/>
        <v>1</v>
      </c>
      <c r="AE10" s="31">
        <f t="shared" si="3"/>
        <v>8</v>
      </c>
      <c r="AF10" s="31" t="str">
        <f t="shared" si="4"/>
        <v/>
      </c>
      <c r="AG10" s="31" t="str">
        <f t="shared" si="5"/>
        <v/>
      </c>
      <c r="AH10" s="31" t="str">
        <f t="shared" si="6"/>
        <v/>
      </c>
      <c r="AI10" s="31" t="str">
        <f t="shared" si="7"/>
        <v/>
      </c>
      <c r="AJ10" s="25">
        <v>9</v>
      </c>
      <c r="AK10" s="25">
        <v>0</v>
      </c>
      <c r="AL10" s="25">
        <v>0</v>
      </c>
      <c r="AM10" s="23" t="s">
        <v>110</v>
      </c>
      <c r="AN10" s="23" t="s">
        <v>92</v>
      </c>
      <c r="AO10" s="25">
        <v>30</v>
      </c>
      <c r="AR10" s="32" t="str">
        <f t="shared" si="8"/>
        <v>2 doors</v>
      </c>
      <c r="AT10" s="23" t="s">
        <v>32</v>
      </c>
      <c r="AU10" s="23" t="str">
        <f t="shared" si="13"/>
        <v>CC</v>
      </c>
      <c r="AV10" s="34">
        <f t="shared" si="9"/>
        <v>360</v>
      </c>
      <c r="AW10" s="23">
        <v>3</v>
      </c>
      <c r="AX10" s="23">
        <v>60</v>
      </c>
      <c r="AY10" s="23">
        <v>0</v>
      </c>
    </row>
    <row r="11" spans="1:51">
      <c r="A11" s="25">
        <v>30</v>
      </c>
      <c r="D11" s="23">
        <v>2</v>
      </c>
      <c r="E11" s="25" t="s">
        <v>42</v>
      </c>
      <c r="F11" s="25" t="s">
        <v>295</v>
      </c>
      <c r="G11" s="23" t="s">
        <v>27</v>
      </c>
      <c r="H11" s="23" t="s">
        <v>94</v>
      </c>
      <c r="I11" s="25">
        <v>1951</v>
      </c>
      <c r="J11" s="35">
        <v>30</v>
      </c>
      <c r="K11" s="35">
        <v>40</v>
      </c>
      <c r="L11" s="35">
        <v>20</v>
      </c>
      <c r="M11" s="25">
        <v>5</v>
      </c>
      <c r="N11" s="25">
        <v>5</v>
      </c>
      <c r="R11" s="30">
        <f t="shared" si="0"/>
        <v>10</v>
      </c>
      <c r="S11" s="37">
        <v>1</v>
      </c>
      <c r="T11" s="30">
        <f t="shared" si="10"/>
        <v>6.9302857142857146</v>
      </c>
      <c r="U11" s="37">
        <v>1</v>
      </c>
      <c r="V11" s="30">
        <f t="shared" si="11"/>
        <v>9.8129523809523818</v>
      </c>
      <c r="W11" s="25">
        <v>55</v>
      </c>
      <c r="X11" s="31">
        <f t="shared" si="1"/>
        <v>84.320000000000007</v>
      </c>
      <c r="Y11" s="25">
        <v>62</v>
      </c>
      <c r="Z11" s="25">
        <v>4</v>
      </c>
      <c r="AA11" s="25">
        <v>40</v>
      </c>
      <c r="AB11" s="37">
        <v>1</v>
      </c>
      <c r="AC11" s="30">
        <f t="shared" si="12"/>
        <v>200</v>
      </c>
      <c r="AD11" s="31">
        <f t="shared" si="2"/>
        <v>1</v>
      </c>
      <c r="AE11" s="31">
        <f t="shared" si="3"/>
        <v>8</v>
      </c>
      <c r="AF11" s="31" t="str">
        <f t="shared" si="4"/>
        <v/>
      </c>
      <c r="AG11" s="31" t="str">
        <f t="shared" si="5"/>
        <v/>
      </c>
      <c r="AH11" s="31" t="str">
        <f t="shared" si="6"/>
        <v/>
      </c>
      <c r="AI11" s="31" t="str">
        <f t="shared" si="7"/>
        <v/>
      </c>
      <c r="AJ11" s="25">
        <v>9</v>
      </c>
      <c r="AK11" s="25">
        <v>0</v>
      </c>
      <c r="AL11" s="25">
        <v>0</v>
      </c>
      <c r="AM11" s="23" t="s">
        <v>110</v>
      </c>
      <c r="AN11" s="23" t="s">
        <v>92</v>
      </c>
      <c r="AO11" s="25">
        <v>30</v>
      </c>
      <c r="AR11" s="32" t="str">
        <f t="shared" si="8"/>
        <v>2 doors</v>
      </c>
      <c r="AT11" s="23" t="s">
        <v>32</v>
      </c>
      <c r="AU11" s="23" t="str">
        <f t="shared" si="13"/>
        <v>CC</v>
      </c>
      <c r="AV11" s="34">
        <f t="shared" si="9"/>
        <v>360.01</v>
      </c>
      <c r="AW11" s="23">
        <v>3</v>
      </c>
      <c r="AX11" s="23">
        <v>60</v>
      </c>
      <c r="AY11" s="23">
        <v>1</v>
      </c>
    </row>
    <row r="12" spans="1:51">
      <c r="A12" s="25">
        <v>30</v>
      </c>
      <c r="D12" s="23">
        <v>2</v>
      </c>
      <c r="E12" s="25" t="s">
        <v>85</v>
      </c>
      <c r="F12" s="25" t="s">
        <v>85</v>
      </c>
      <c r="G12" s="23" t="s">
        <v>27</v>
      </c>
      <c r="H12" s="23" t="s">
        <v>94</v>
      </c>
      <c r="I12" s="25">
        <v>1951</v>
      </c>
      <c r="J12" s="35">
        <v>30</v>
      </c>
      <c r="K12" s="35">
        <v>40</v>
      </c>
      <c r="L12" s="35">
        <v>20</v>
      </c>
      <c r="M12" s="25">
        <v>5</v>
      </c>
      <c r="N12" s="25">
        <v>5</v>
      </c>
      <c r="R12" s="30">
        <f t="shared" si="0"/>
        <v>10</v>
      </c>
      <c r="S12" s="37">
        <v>1</v>
      </c>
      <c r="T12" s="30">
        <f t="shared" si="10"/>
        <v>6.9302857142857146</v>
      </c>
      <c r="U12" s="37">
        <v>1</v>
      </c>
      <c r="V12" s="30">
        <f t="shared" si="11"/>
        <v>9.8129523809523818</v>
      </c>
      <c r="W12" s="25">
        <v>55</v>
      </c>
      <c r="X12" s="31">
        <f t="shared" si="1"/>
        <v>84.320000000000007</v>
      </c>
      <c r="Y12" s="25">
        <v>62</v>
      </c>
      <c r="Z12" s="25">
        <v>4</v>
      </c>
      <c r="AA12" s="25">
        <v>40</v>
      </c>
      <c r="AB12" s="37">
        <v>1</v>
      </c>
      <c r="AC12" s="30">
        <f t="shared" si="12"/>
        <v>200</v>
      </c>
      <c r="AD12" s="31">
        <f t="shared" si="2"/>
        <v>1</v>
      </c>
      <c r="AE12" s="31">
        <f t="shared" si="3"/>
        <v>8</v>
      </c>
      <c r="AF12" s="31" t="str">
        <f t="shared" si="4"/>
        <v/>
      </c>
      <c r="AG12" s="31" t="str">
        <f t="shared" si="5"/>
        <v/>
      </c>
      <c r="AH12" s="31" t="str">
        <f t="shared" si="6"/>
        <v/>
      </c>
      <c r="AI12" s="31" t="str">
        <f t="shared" si="7"/>
        <v/>
      </c>
      <c r="AJ12" s="25">
        <v>9</v>
      </c>
      <c r="AK12" s="25">
        <v>0</v>
      </c>
      <c r="AL12" s="25">
        <v>0</v>
      </c>
      <c r="AM12" s="23" t="s">
        <v>110</v>
      </c>
      <c r="AN12" s="23" t="s">
        <v>92</v>
      </c>
      <c r="AO12" s="25">
        <v>30</v>
      </c>
      <c r="AR12" s="32" t="str">
        <f t="shared" si="8"/>
        <v>2 doors</v>
      </c>
      <c r="AT12" s="23" t="s">
        <v>32</v>
      </c>
      <c r="AU12" s="23" t="str">
        <f t="shared" si="13"/>
        <v>Hungary</v>
      </c>
      <c r="AV12" s="34">
        <f t="shared" si="9"/>
        <v>360.02</v>
      </c>
      <c r="AW12" s="23">
        <v>3</v>
      </c>
      <c r="AX12" s="23">
        <v>60</v>
      </c>
      <c r="AY12" s="23">
        <v>2</v>
      </c>
    </row>
    <row r="13" spans="1:51">
      <c r="A13" s="25">
        <v>31</v>
      </c>
      <c r="D13" s="23">
        <v>1</v>
      </c>
      <c r="E13" s="25" t="s">
        <v>30</v>
      </c>
      <c r="F13" s="25" t="s">
        <v>303</v>
      </c>
      <c r="G13" s="23" t="s">
        <v>27</v>
      </c>
      <c r="H13" s="23" t="s">
        <v>99</v>
      </c>
      <c r="I13" s="25">
        <v>1959</v>
      </c>
      <c r="J13" s="35">
        <v>30</v>
      </c>
      <c r="K13" s="35">
        <v>40</v>
      </c>
      <c r="L13" s="35">
        <v>20</v>
      </c>
      <c r="M13" s="25">
        <v>5</v>
      </c>
      <c r="R13" s="30">
        <f t="shared" si="0"/>
        <v>5</v>
      </c>
      <c r="S13" s="37">
        <v>1</v>
      </c>
      <c r="T13" s="30">
        <f t="shared" si="10"/>
        <v>7.073142857142857</v>
      </c>
      <c r="U13" s="37">
        <v>1</v>
      </c>
      <c r="V13" s="30">
        <f t="shared" si="11"/>
        <v>9.5024761904761927</v>
      </c>
      <c r="W13" s="25">
        <v>76</v>
      </c>
      <c r="X13" s="31">
        <f t="shared" si="1"/>
        <v>84.320000000000007</v>
      </c>
      <c r="Y13" s="25">
        <v>62</v>
      </c>
      <c r="Z13" s="25">
        <v>5</v>
      </c>
      <c r="AA13" s="25">
        <v>32</v>
      </c>
      <c r="AB13" s="37">
        <v>1</v>
      </c>
      <c r="AC13" s="30">
        <f t="shared" si="12"/>
        <v>150</v>
      </c>
      <c r="AD13" s="31">
        <f t="shared" si="2"/>
        <v>8</v>
      </c>
      <c r="AE13" s="31" t="str">
        <f t="shared" si="3"/>
        <v/>
      </c>
      <c r="AF13" s="31" t="str">
        <f t="shared" si="4"/>
        <v/>
      </c>
      <c r="AG13" s="31" t="str">
        <f t="shared" si="5"/>
        <v/>
      </c>
      <c r="AH13" s="31" t="str">
        <f t="shared" si="6"/>
        <v/>
      </c>
      <c r="AI13" s="31" t="str">
        <f t="shared" si="7"/>
        <v/>
      </c>
      <c r="AJ13" s="25">
        <v>8</v>
      </c>
      <c r="AK13" s="25">
        <v>0</v>
      </c>
      <c r="AL13" s="25">
        <v>0</v>
      </c>
      <c r="AM13" s="23" t="s">
        <v>110</v>
      </c>
      <c r="AN13" s="23" t="s">
        <v>92</v>
      </c>
      <c r="AO13" s="25">
        <v>31</v>
      </c>
      <c r="AR13" s="32" t="str">
        <f t="shared" si="8"/>
        <v>1 door</v>
      </c>
      <c r="AT13" s="23" t="s">
        <v>47</v>
      </c>
      <c r="AU13" s="23" t="str">
        <f t="shared" si="13"/>
        <v>CC</v>
      </c>
      <c r="AV13" s="34">
        <f t="shared" si="9"/>
        <v>370</v>
      </c>
      <c r="AW13" s="23">
        <v>3</v>
      </c>
      <c r="AX13" s="23">
        <v>70</v>
      </c>
      <c r="AY13" s="23">
        <v>0</v>
      </c>
    </row>
    <row r="14" spans="1:51">
      <c r="A14" s="25">
        <v>31</v>
      </c>
      <c r="D14" s="23">
        <v>1</v>
      </c>
      <c r="E14" s="25" t="s">
        <v>95</v>
      </c>
      <c r="F14" s="25" t="s">
        <v>95</v>
      </c>
      <c r="G14" s="23" t="s">
        <v>27</v>
      </c>
      <c r="H14" s="23" t="s">
        <v>99</v>
      </c>
      <c r="I14" s="25">
        <v>1959</v>
      </c>
      <c r="J14" s="35">
        <v>30</v>
      </c>
      <c r="K14" s="35">
        <v>40</v>
      </c>
      <c r="L14" s="35">
        <v>20</v>
      </c>
      <c r="M14" s="25">
        <v>5</v>
      </c>
      <c r="R14" s="30">
        <f t="shared" si="0"/>
        <v>5</v>
      </c>
      <c r="S14" s="37">
        <v>1</v>
      </c>
      <c r="T14" s="30">
        <f t="shared" si="10"/>
        <v>7.073142857142857</v>
      </c>
      <c r="U14" s="37">
        <v>1</v>
      </c>
      <c r="V14" s="30">
        <f t="shared" si="11"/>
        <v>9.5024761904761927</v>
      </c>
      <c r="W14" s="25">
        <v>76</v>
      </c>
      <c r="X14" s="31">
        <f t="shared" si="1"/>
        <v>84.320000000000007</v>
      </c>
      <c r="Y14" s="25">
        <v>62</v>
      </c>
      <c r="Z14" s="25">
        <v>5</v>
      </c>
      <c r="AA14" s="25">
        <v>32</v>
      </c>
      <c r="AB14" s="37">
        <v>1</v>
      </c>
      <c r="AC14" s="30">
        <f t="shared" si="12"/>
        <v>150</v>
      </c>
      <c r="AD14" s="31">
        <f t="shared" si="2"/>
        <v>8</v>
      </c>
      <c r="AE14" s="31" t="str">
        <f t="shared" si="3"/>
        <v/>
      </c>
      <c r="AF14" s="31" t="str">
        <f t="shared" si="4"/>
        <v/>
      </c>
      <c r="AG14" s="31" t="str">
        <f t="shared" si="5"/>
        <v/>
      </c>
      <c r="AH14" s="31" t="str">
        <f t="shared" si="6"/>
        <v/>
      </c>
      <c r="AI14" s="31" t="str">
        <f t="shared" si="7"/>
        <v/>
      </c>
      <c r="AJ14" s="25">
        <v>8</v>
      </c>
      <c r="AK14" s="25">
        <v>0</v>
      </c>
      <c r="AL14" s="25">
        <v>0</v>
      </c>
      <c r="AM14" s="23" t="s">
        <v>110</v>
      </c>
      <c r="AN14" s="23" t="s">
        <v>92</v>
      </c>
      <c r="AO14" s="25">
        <v>31</v>
      </c>
      <c r="AR14" s="32" t="str">
        <f t="shared" si="8"/>
        <v>1 door</v>
      </c>
      <c r="AT14" s="23" t="s">
        <v>47</v>
      </c>
      <c r="AU14" s="23" t="str">
        <f t="shared" si="13"/>
        <v>Hungary</v>
      </c>
      <c r="AV14" s="34">
        <f t="shared" si="9"/>
        <v>370.01</v>
      </c>
      <c r="AW14" s="23">
        <v>3</v>
      </c>
      <c r="AX14" s="23">
        <v>70</v>
      </c>
      <c r="AY14" s="23">
        <v>1</v>
      </c>
    </row>
    <row r="15" spans="1:51">
      <c r="A15" s="25">
        <v>60</v>
      </c>
      <c r="D15" s="23">
        <v>2</v>
      </c>
      <c r="E15" s="25" t="s">
        <v>30</v>
      </c>
      <c r="F15" s="25" t="s">
        <v>295</v>
      </c>
      <c r="G15" s="23" t="s">
        <v>27</v>
      </c>
      <c r="H15" s="23" t="s">
        <v>106</v>
      </c>
      <c r="I15" s="25">
        <v>1952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R15" s="30">
        <f t="shared" si="0"/>
        <v>18</v>
      </c>
      <c r="S15" s="37">
        <v>1</v>
      </c>
      <c r="T15" s="30">
        <f t="shared" si="10"/>
        <v>10.973714285714287</v>
      </c>
      <c r="U15" s="37">
        <v>1</v>
      </c>
      <c r="V15" s="30">
        <f t="shared" si="11"/>
        <v>14.761714285714286</v>
      </c>
      <c r="W15" s="25">
        <v>58</v>
      </c>
      <c r="X15" s="31">
        <f t="shared" si="1"/>
        <v>123.76</v>
      </c>
      <c r="Y15" s="25">
        <v>91</v>
      </c>
      <c r="Z15" s="25">
        <v>7</v>
      </c>
      <c r="AA15" s="25">
        <v>60</v>
      </c>
      <c r="AB15" s="37">
        <v>1</v>
      </c>
      <c r="AC15" s="30">
        <f t="shared" si="12"/>
        <v>200</v>
      </c>
      <c r="AD15" s="31">
        <f t="shared" si="2"/>
        <v>2</v>
      </c>
      <c r="AE15" s="31">
        <f t="shared" si="3"/>
        <v>8</v>
      </c>
      <c r="AF15" s="31" t="str">
        <f t="shared" si="4"/>
        <v/>
      </c>
      <c r="AG15" s="31" t="str">
        <f t="shared" si="5"/>
        <v/>
      </c>
      <c r="AH15" s="31" t="str">
        <f t="shared" si="6"/>
        <v/>
      </c>
      <c r="AI15" s="31" t="str">
        <f t="shared" si="7"/>
        <v/>
      </c>
      <c r="AJ15" s="25">
        <v>10</v>
      </c>
      <c r="AK15" s="25">
        <v>0</v>
      </c>
      <c r="AL15" s="25">
        <v>0</v>
      </c>
      <c r="AM15" s="23" t="s">
        <v>110</v>
      </c>
      <c r="AN15" s="23" t="s">
        <v>92</v>
      </c>
      <c r="AO15" s="25">
        <v>60</v>
      </c>
      <c r="AR15" s="32" t="str">
        <f t="shared" si="8"/>
        <v>2 doors</v>
      </c>
      <c r="AT15" s="23" t="s">
        <v>32</v>
      </c>
      <c r="AU15" s="23" t="str">
        <f t="shared" si="13"/>
        <v>CC</v>
      </c>
      <c r="AV15" s="34">
        <f t="shared" si="9"/>
        <v>400</v>
      </c>
      <c r="AW15" s="23">
        <v>4</v>
      </c>
      <c r="AX15" s="23">
        <v>0</v>
      </c>
      <c r="AY15" s="23">
        <v>0</v>
      </c>
    </row>
    <row r="16" spans="1:51">
      <c r="A16" s="25">
        <v>60</v>
      </c>
      <c r="D16" s="23">
        <v>2</v>
      </c>
      <c r="E16" s="25" t="s">
        <v>42</v>
      </c>
      <c r="F16" s="25" t="s">
        <v>310</v>
      </c>
      <c r="G16" s="23" t="s">
        <v>27</v>
      </c>
      <c r="H16" s="23" t="s">
        <v>106</v>
      </c>
      <c r="I16" s="25">
        <v>1952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R16" s="30">
        <f t="shared" si="0"/>
        <v>18</v>
      </c>
      <c r="S16" s="37">
        <v>1</v>
      </c>
      <c r="T16" s="30">
        <f t="shared" si="10"/>
        <v>10.973714285714287</v>
      </c>
      <c r="U16" s="37">
        <v>1</v>
      </c>
      <c r="V16" s="30">
        <f t="shared" si="11"/>
        <v>14.761714285714286</v>
      </c>
      <c r="W16" s="25">
        <v>58</v>
      </c>
      <c r="X16" s="31">
        <f t="shared" si="1"/>
        <v>123.76</v>
      </c>
      <c r="Y16" s="25">
        <v>91</v>
      </c>
      <c r="Z16" s="25">
        <v>7</v>
      </c>
      <c r="AA16" s="25">
        <v>60</v>
      </c>
      <c r="AB16" s="37">
        <v>1</v>
      </c>
      <c r="AC16" s="30">
        <f t="shared" si="12"/>
        <v>200</v>
      </c>
      <c r="AD16" s="31">
        <f t="shared" si="2"/>
        <v>2</v>
      </c>
      <c r="AE16" s="31">
        <f t="shared" si="3"/>
        <v>8</v>
      </c>
      <c r="AF16" s="31" t="str">
        <f t="shared" si="4"/>
        <v/>
      </c>
      <c r="AG16" s="31" t="str">
        <f t="shared" si="5"/>
        <v/>
      </c>
      <c r="AH16" s="31" t="str">
        <f t="shared" si="6"/>
        <v/>
      </c>
      <c r="AI16" s="31" t="str">
        <f t="shared" si="7"/>
        <v/>
      </c>
      <c r="AJ16" s="25">
        <v>10</v>
      </c>
      <c r="AK16" s="25">
        <v>0</v>
      </c>
      <c r="AL16" s="25">
        <v>0</v>
      </c>
      <c r="AM16" s="23" t="s">
        <v>110</v>
      </c>
      <c r="AN16" s="23" t="s">
        <v>92</v>
      </c>
      <c r="AO16" s="25">
        <v>60</v>
      </c>
      <c r="AR16" s="32" t="str">
        <f t="shared" si="8"/>
        <v>2 doors</v>
      </c>
      <c r="AT16" s="23" t="s">
        <v>32</v>
      </c>
      <c r="AU16" s="23" t="str">
        <f t="shared" si="13"/>
        <v>CC</v>
      </c>
      <c r="AV16" s="34">
        <f t="shared" si="9"/>
        <v>400.01</v>
      </c>
      <c r="AW16" s="23">
        <v>4</v>
      </c>
      <c r="AX16" s="23">
        <v>0</v>
      </c>
      <c r="AY16" s="23">
        <v>1</v>
      </c>
    </row>
    <row r="17" spans="1:51">
      <c r="A17" s="25">
        <v>60</v>
      </c>
      <c r="D17" s="23">
        <v>2</v>
      </c>
      <c r="E17" s="25" t="s">
        <v>96</v>
      </c>
      <c r="F17" s="25" t="s">
        <v>85</v>
      </c>
      <c r="G17" s="23" t="s">
        <v>27</v>
      </c>
      <c r="H17" s="23" t="s">
        <v>106</v>
      </c>
      <c r="I17" s="25">
        <v>1952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R17" s="30">
        <f t="shared" si="0"/>
        <v>18</v>
      </c>
      <c r="S17" s="37">
        <v>1</v>
      </c>
      <c r="T17" s="30">
        <f t="shared" si="10"/>
        <v>10.973714285714287</v>
      </c>
      <c r="U17" s="37">
        <v>1</v>
      </c>
      <c r="V17" s="30">
        <f t="shared" si="11"/>
        <v>14.761714285714286</v>
      </c>
      <c r="W17" s="25">
        <v>58</v>
      </c>
      <c r="X17" s="31">
        <f t="shared" si="1"/>
        <v>123.76</v>
      </c>
      <c r="Y17" s="25">
        <v>91</v>
      </c>
      <c r="Z17" s="25">
        <v>7</v>
      </c>
      <c r="AA17" s="25">
        <v>60</v>
      </c>
      <c r="AB17" s="37">
        <v>1</v>
      </c>
      <c r="AC17" s="30">
        <f t="shared" si="12"/>
        <v>200</v>
      </c>
      <c r="AD17" s="31">
        <f t="shared" si="2"/>
        <v>2</v>
      </c>
      <c r="AE17" s="31">
        <f t="shared" si="3"/>
        <v>8</v>
      </c>
      <c r="AF17" s="31" t="str">
        <f t="shared" si="4"/>
        <v/>
      </c>
      <c r="AG17" s="31" t="str">
        <f t="shared" si="5"/>
        <v/>
      </c>
      <c r="AH17" s="31" t="str">
        <f t="shared" si="6"/>
        <v/>
      </c>
      <c r="AI17" s="31" t="str">
        <f t="shared" si="7"/>
        <v/>
      </c>
      <c r="AJ17" s="25">
        <v>10</v>
      </c>
      <c r="AK17" s="25">
        <v>0</v>
      </c>
      <c r="AL17" s="25">
        <v>0</v>
      </c>
      <c r="AM17" s="23" t="s">
        <v>110</v>
      </c>
      <c r="AN17" s="23" t="s">
        <v>92</v>
      </c>
      <c r="AO17" s="25">
        <v>60</v>
      </c>
      <c r="AR17" s="32" t="str">
        <f t="shared" si="8"/>
        <v>2 doors</v>
      </c>
      <c r="AT17" s="23" t="s">
        <v>32</v>
      </c>
      <c r="AU17" s="23" t="str">
        <f t="shared" si="13"/>
        <v>Hungary</v>
      </c>
      <c r="AV17" s="34">
        <f t="shared" si="9"/>
        <v>400.02</v>
      </c>
      <c r="AW17" s="23">
        <v>4</v>
      </c>
      <c r="AX17" s="23">
        <v>0</v>
      </c>
      <c r="AY17" s="23">
        <v>2</v>
      </c>
    </row>
    <row r="18" spans="1:51">
      <c r="A18" s="25" t="s">
        <v>109</v>
      </c>
      <c r="B18" s="23" t="s">
        <v>121</v>
      </c>
      <c r="D18" s="23">
        <v>3</v>
      </c>
      <c r="E18" s="25" t="s">
        <v>30</v>
      </c>
      <c r="F18" s="25" t="s">
        <v>295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7">
        <v>1</v>
      </c>
      <c r="T18" s="30">
        <f t="shared" si="10"/>
        <v>13.545142857142858</v>
      </c>
      <c r="U18" s="37">
        <v>1</v>
      </c>
      <c r="V18" s="30">
        <f t="shared" si="11"/>
        <v>16.033142857142856</v>
      </c>
      <c r="W18" s="25">
        <v>52</v>
      </c>
      <c r="X18" s="31">
        <f t="shared" si="1"/>
        <v>123.76</v>
      </c>
      <c r="Y18" s="25">
        <v>91</v>
      </c>
      <c r="Z18" s="25">
        <v>11</v>
      </c>
      <c r="AA18" s="25">
        <v>105</v>
      </c>
      <c r="AB18" s="37">
        <v>1</v>
      </c>
      <c r="AC18" s="30">
        <f t="shared" si="12"/>
        <v>200</v>
      </c>
      <c r="AD18" s="31">
        <f t="shared" si="2"/>
        <v>1</v>
      </c>
      <c r="AE18" s="31">
        <f t="shared" si="3"/>
        <v>8</v>
      </c>
      <c r="AF18" s="31">
        <f t="shared" si="4"/>
        <v>7</v>
      </c>
      <c r="AG18" s="31" t="str">
        <f t="shared" si="5"/>
        <v/>
      </c>
      <c r="AH18" s="31" t="str">
        <f t="shared" si="6"/>
        <v/>
      </c>
      <c r="AI18" s="31" t="str">
        <f t="shared" si="7"/>
        <v/>
      </c>
      <c r="AJ18" s="25">
        <v>9</v>
      </c>
      <c r="AK18" s="25">
        <v>7</v>
      </c>
      <c r="AL18" s="25">
        <v>0</v>
      </c>
      <c r="AM18" s="23" t="s">
        <v>110</v>
      </c>
      <c r="AN18" s="23" t="s">
        <v>92</v>
      </c>
      <c r="AO18" s="25">
        <v>60</v>
      </c>
      <c r="AP18" s="28" t="s">
        <v>205</v>
      </c>
      <c r="AR18" s="32" t="str">
        <f t="shared" si="8"/>
        <v>3 doors</v>
      </c>
      <c r="AT18" s="23" t="s">
        <v>32</v>
      </c>
      <c r="AU18" s="23" t="str">
        <f t="shared" si="13"/>
        <v>CC</v>
      </c>
      <c r="AV18" s="34">
        <f t="shared" si="9"/>
        <v>410</v>
      </c>
      <c r="AW18" s="23">
        <v>4</v>
      </c>
      <c r="AX18" s="23">
        <v>10</v>
      </c>
      <c r="AY18" s="23">
        <v>0</v>
      </c>
    </row>
    <row r="19" spans="1:51">
      <c r="A19" s="25" t="s">
        <v>109</v>
      </c>
      <c r="B19" s="23" t="s">
        <v>121</v>
      </c>
      <c r="D19" s="23">
        <v>3</v>
      </c>
      <c r="E19" s="25" t="s">
        <v>42</v>
      </c>
      <c r="F19" s="25" t="s">
        <v>310</v>
      </c>
      <c r="G19" s="23" t="s">
        <v>27</v>
      </c>
      <c r="H19" s="23" t="s">
        <v>98</v>
      </c>
      <c r="I19" s="25">
        <v>1955</v>
      </c>
      <c r="J19" s="35">
        <v>30</v>
      </c>
      <c r="K19" s="35">
        <v>40</v>
      </c>
      <c r="L19" s="35">
        <v>20</v>
      </c>
      <c r="M19" s="25">
        <v>8</v>
      </c>
      <c r="N19" s="25">
        <v>10</v>
      </c>
      <c r="O19" s="25">
        <v>8</v>
      </c>
      <c r="R19" s="30">
        <f t="shared" si="0"/>
        <v>26</v>
      </c>
      <c r="S19" s="37">
        <v>1</v>
      </c>
      <c r="T19" s="30">
        <f t="shared" si="10"/>
        <v>13.545142857142858</v>
      </c>
      <c r="U19" s="37">
        <v>1</v>
      </c>
      <c r="V19" s="30">
        <f t="shared" si="11"/>
        <v>16.033142857142856</v>
      </c>
      <c r="W19" s="25">
        <v>52</v>
      </c>
      <c r="X19" s="31">
        <f t="shared" si="1"/>
        <v>123.76</v>
      </c>
      <c r="Y19" s="25">
        <v>91</v>
      </c>
      <c r="Z19" s="25">
        <v>11</v>
      </c>
      <c r="AA19" s="25">
        <v>105</v>
      </c>
      <c r="AB19" s="37">
        <v>1</v>
      </c>
      <c r="AC19" s="30">
        <f t="shared" si="12"/>
        <v>200</v>
      </c>
      <c r="AD19" s="31">
        <f t="shared" si="2"/>
        <v>1</v>
      </c>
      <c r="AE19" s="31">
        <f t="shared" si="3"/>
        <v>8</v>
      </c>
      <c r="AF19" s="31">
        <f t="shared" si="4"/>
        <v>7</v>
      </c>
      <c r="AG19" s="31" t="str">
        <f t="shared" si="5"/>
        <v/>
      </c>
      <c r="AH19" s="31" t="str">
        <f t="shared" si="6"/>
        <v/>
      </c>
      <c r="AI19" s="31" t="str">
        <f t="shared" si="7"/>
        <v/>
      </c>
      <c r="AJ19" s="25">
        <v>9</v>
      </c>
      <c r="AK19" s="25">
        <v>7</v>
      </c>
      <c r="AL19" s="25">
        <v>0</v>
      </c>
      <c r="AM19" s="23" t="s">
        <v>110</v>
      </c>
      <c r="AN19" s="23" t="s">
        <v>92</v>
      </c>
      <c r="AO19" s="25">
        <v>60</v>
      </c>
      <c r="AP19" s="28" t="s">
        <v>205</v>
      </c>
      <c r="AR19" s="32" t="str">
        <f t="shared" si="8"/>
        <v>3 doors</v>
      </c>
      <c r="AT19" s="23" t="s">
        <v>32</v>
      </c>
      <c r="AU19" s="23" t="str">
        <f t="shared" si="13"/>
        <v>CC</v>
      </c>
      <c r="AV19" s="34">
        <f t="shared" si="9"/>
        <v>410.01</v>
      </c>
      <c r="AW19" s="23">
        <v>4</v>
      </c>
      <c r="AX19" s="23">
        <v>10</v>
      </c>
      <c r="AY19" s="23">
        <v>1</v>
      </c>
    </row>
    <row r="20" spans="1:51">
      <c r="A20" s="25" t="s">
        <v>109</v>
      </c>
      <c r="B20" s="23" t="s">
        <v>121</v>
      </c>
      <c r="D20" s="23">
        <v>3</v>
      </c>
      <c r="E20" s="25" t="s">
        <v>96</v>
      </c>
      <c r="F20" s="25" t="s">
        <v>85</v>
      </c>
      <c r="G20" s="23" t="s">
        <v>27</v>
      </c>
      <c r="H20" s="23" t="s">
        <v>98</v>
      </c>
      <c r="I20" s="25">
        <v>1955</v>
      </c>
      <c r="J20" s="35">
        <v>30</v>
      </c>
      <c r="K20" s="35">
        <v>40</v>
      </c>
      <c r="L20" s="35">
        <v>20</v>
      </c>
      <c r="M20" s="25">
        <v>8</v>
      </c>
      <c r="N20" s="25">
        <v>10</v>
      </c>
      <c r="O20" s="25">
        <v>8</v>
      </c>
      <c r="R20" s="30">
        <f t="shared" si="0"/>
        <v>26</v>
      </c>
      <c r="S20" s="37">
        <v>1</v>
      </c>
      <c r="T20" s="30">
        <f t="shared" si="10"/>
        <v>13.545142857142858</v>
      </c>
      <c r="U20" s="37">
        <v>1</v>
      </c>
      <c r="V20" s="30">
        <f t="shared" si="11"/>
        <v>16.033142857142856</v>
      </c>
      <c r="W20" s="25">
        <v>52</v>
      </c>
      <c r="X20" s="31">
        <f t="shared" si="1"/>
        <v>123.76</v>
      </c>
      <c r="Y20" s="25">
        <v>91</v>
      </c>
      <c r="Z20" s="25">
        <v>11</v>
      </c>
      <c r="AA20" s="25">
        <v>105</v>
      </c>
      <c r="AB20" s="37">
        <v>1</v>
      </c>
      <c r="AC20" s="30">
        <f t="shared" si="12"/>
        <v>200</v>
      </c>
      <c r="AD20" s="31">
        <f t="shared" si="2"/>
        <v>1</v>
      </c>
      <c r="AE20" s="31">
        <f t="shared" si="3"/>
        <v>8</v>
      </c>
      <c r="AF20" s="31">
        <f t="shared" si="4"/>
        <v>7</v>
      </c>
      <c r="AG20" s="31" t="str">
        <f t="shared" si="5"/>
        <v/>
      </c>
      <c r="AH20" s="31" t="str">
        <f t="shared" si="6"/>
        <v/>
      </c>
      <c r="AI20" s="31" t="str">
        <f t="shared" si="7"/>
        <v/>
      </c>
      <c r="AJ20" s="25">
        <v>9</v>
      </c>
      <c r="AK20" s="25">
        <v>7</v>
      </c>
      <c r="AL20" s="25">
        <v>0</v>
      </c>
      <c r="AM20" s="23" t="s">
        <v>110</v>
      </c>
      <c r="AN20" s="23" t="s">
        <v>92</v>
      </c>
      <c r="AO20" s="25">
        <v>60</v>
      </c>
      <c r="AP20" s="28" t="s">
        <v>205</v>
      </c>
      <c r="AR20" s="32" t="str">
        <f t="shared" si="8"/>
        <v>3 doors</v>
      </c>
      <c r="AT20" s="23" t="s">
        <v>32</v>
      </c>
      <c r="AU20" s="23" t="str">
        <f t="shared" si="13"/>
        <v>Hungary</v>
      </c>
      <c r="AV20" s="34">
        <f t="shared" si="9"/>
        <v>410.02</v>
      </c>
      <c r="AW20" s="23">
        <v>4</v>
      </c>
      <c r="AX20" s="23">
        <v>10</v>
      </c>
      <c r="AY20" s="23">
        <v>2</v>
      </c>
    </row>
    <row r="21" spans="1:51">
      <c r="A21" s="25">
        <v>601</v>
      </c>
      <c r="D21" s="23">
        <v>1</v>
      </c>
      <c r="E21" s="25" t="s">
        <v>30</v>
      </c>
      <c r="F21" s="25" t="s">
        <v>303</v>
      </c>
      <c r="G21" s="23" t="s">
        <v>27</v>
      </c>
      <c r="H21" s="23" t="s">
        <v>104</v>
      </c>
      <c r="I21" s="25">
        <v>1952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0"/>
        <v>5</v>
      </c>
      <c r="S21" s="37">
        <v>1</v>
      </c>
      <c r="T21" s="30">
        <f t="shared" si="10"/>
        <v>10.045142857142858</v>
      </c>
      <c r="U21" s="37">
        <v>1</v>
      </c>
      <c r="V21" s="30">
        <f t="shared" si="11"/>
        <v>13.686476190476192</v>
      </c>
      <c r="W21" s="25">
        <v>76</v>
      </c>
      <c r="X21" s="31">
        <f t="shared" si="1"/>
        <v>123.76</v>
      </c>
      <c r="Y21" s="25">
        <v>91</v>
      </c>
      <c r="Z21" s="25">
        <v>7</v>
      </c>
      <c r="AA21" s="25">
        <v>38</v>
      </c>
      <c r="AB21" s="37">
        <v>1</v>
      </c>
      <c r="AC21" s="30">
        <f t="shared" si="12"/>
        <v>185</v>
      </c>
      <c r="AD21" s="31">
        <f t="shared" si="2"/>
        <v>2</v>
      </c>
      <c r="AE21" s="31">
        <f t="shared" si="3"/>
        <v>8</v>
      </c>
      <c r="AF21" s="31" t="str">
        <f t="shared" si="4"/>
        <v/>
      </c>
      <c r="AG21" s="31" t="str">
        <f t="shared" si="5"/>
        <v/>
      </c>
      <c r="AH21" s="31" t="str">
        <f t="shared" si="6"/>
        <v/>
      </c>
      <c r="AI21" s="31" t="str">
        <f t="shared" si="7"/>
        <v/>
      </c>
      <c r="AJ21" s="25">
        <v>10</v>
      </c>
      <c r="AK21" s="25">
        <v>0</v>
      </c>
      <c r="AL21" s="25">
        <v>0</v>
      </c>
      <c r="AM21" s="23" t="s">
        <v>110</v>
      </c>
      <c r="AN21" s="23" t="s">
        <v>92</v>
      </c>
      <c r="AO21" s="25">
        <v>601</v>
      </c>
      <c r="AR21" s="32" t="str">
        <f t="shared" si="8"/>
        <v>1 door</v>
      </c>
      <c r="AT21" s="23" t="s">
        <v>33</v>
      </c>
      <c r="AU21" s="23" t="str">
        <f t="shared" si="13"/>
        <v>CC</v>
      </c>
      <c r="AV21" s="34">
        <f t="shared" si="9"/>
        <v>430</v>
      </c>
      <c r="AW21" s="23">
        <v>4</v>
      </c>
      <c r="AX21" s="23">
        <v>30</v>
      </c>
      <c r="AY21" s="23">
        <v>0</v>
      </c>
    </row>
    <row r="22" spans="1:51">
      <c r="A22" s="25">
        <v>601</v>
      </c>
      <c r="D22" s="23">
        <v>1</v>
      </c>
      <c r="E22" s="25" t="s">
        <v>46</v>
      </c>
      <c r="F22" s="25" t="s">
        <v>46</v>
      </c>
      <c r="G22" s="23" t="s">
        <v>27</v>
      </c>
      <c r="H22" s="23" t="s">
        <v>104</v>
      </c>
      <c r="I22" s="25">
        <v>1952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0"/>
        <v>5</v>
      </c>
      <c r="S22" s="37">
        <v>1</v>
      </c>
      <c r="T22" s="30">
        <f t="shared" si="10"/>
        <v>10.045142857142858</v>
      </c>
      <c r="U22" s="37">
        <v>1</v>
      </c>
      <c r="V22" s="30">
        <f t="shared" si="11"/>
        <v>13.686476190476192</v>
      </c>
      <c r="W22" s="25">
        <v>76</v>
      </c>
      <c r="X22" s="31">
        <f t="shared" si="1"/>
        <v>123.76</v>
      </c>
      <c r="Y22" s="25">
        <v>91</v>
      </c>
      <c r="Z22" s="25">
        <v>7</v>
      </c>
      <c r="AA22" s="25">
        <v>38</v>
      </c>
      <c r="AB22" s="37">
        <v>1</v>
      </c>
      <c r="AC22" s="30">
        <f t="shared" si="12"/>
        <v>185</v>
      </c>
      <c r="AD22" s="31">
        <f t="shared" si="2"/>
        <v>2</v>
      </c>
      <c r="AE22" s="31">
        <f t="shared" si="3"/>
        <v>8</v>
      </c>
      <c r="AF22" s="31" t="str">
        <f t="shared" si="4"/>
        <v/>
      </c>
      <c r="AG22" s="31" t="str">
        <f t="shared" si="5"/>
        <v/>
      </c>
      <c r="AH22" s="31" t="str">
        <f t="shared" si="6"/>
        <v/>
      </c>
      <c r="AI22" s="31" t="str">
        <f t="shared" si="7"/>
        <v/>
      </c>
      <c r="AJ22" s="25">
        <v>10</v>
      </c>
      <c r="AK22" s="25">
        <v>0</v>
      </c>
      <c r="AL22" s="25">
        <v>0</v>
      </c>
      <c r="AM22" s="23" t="s">
        <v>110</v>
      </c>
      <c r="AN22" s="23" t="s">
        <v>92</v>
      </c>
      <c r="AO22" s="25">
        <v>601</v>
      </c>
      <c r="AR22" s="32" t="str">
        <f t="shared" si="8"/>
        <v>1 door</v>
      </c>
      <c r="AT22" s="23" t="s">
        <v>33</v>
      </c>
      <c r="AU22" s="23" t="str">
        <f t="shared" si="13"/>
        <v>Hungary</v>
      </c>
      <c r="AV22" s="34">
        <f t="shared" si="9"/>
        <v>430.01</v>
      </c>
      <c r="AW22" s="23">
        <v>4</v>
      </c>
      <c r="AX22" s="23">
        <v>30</v>
      </c>
      <c r="AY22" s="23">
        <v>1</v>
      </c>
    </row>
    <row r="23" spans="1:51">
      <c r="A23" s="25">
        <v>602</v>
      </c>
      <c r="D23" s="23">
        <v>1</v>
      </c>
      <c r="E23" s="25" t="s">
        <v>30</v>
      </c>
      <c r="F23" s="25" t="s">
        <v>303</v>
      </c>
      <c r="G23" s="23" t="s">
        <v>27</v>
      </c>
      <c r="H23" s="23" t="s">
        <v>105</v>
      </c>
      <c r="I23" s="25">
        <v>1953</v>
      </c>
      <c r="J23" s="35">
        <v>30</v>
      </c>
      <c r="K23" s="35">
        <v>40</v>
      </c>
      <c r="L23" s="35">
        <v>20</v>
      </c>
      <c r="M23" s="25">
        <v>5</v>
      </c>
      <c r="R23" s="30">
        <f t="shared" si="0"/>
        <v>5</v>
      </c>
      <c r="S23" s="37">
        <v>1</v>
      </c>
      <c r="T23" s="30">
        <f t="shared" si="10"/>
        <v>10.045142857142858</v>
      </c>
      <c r="U23" s="37">
        <v>1</v>
      </c>
      <c r="V23" s="30">
        <f t="shared" si="11"/>
        <v>13.666476190476191</v>
      </c>
      <c r="W23" s="25">
        <v>87</v>
      </c>
      <c r="X23" s="31">
        <f t="shared" si="1"/>
        <v>123.76</v>
      </c>
      <c r="Y23" s="25">
        <v>91</v>
      </c>
      <c r="Z23" s="25">
        <v>7</v>
      </c>
      <c r="AA23" s="25">
        <v>35</v>
      </c>
      <c r="AB23" s="37">
        <v>1</v>
      </c>
      <c r="AC23" s="30">
        <f t="shared" si="12"/>
        <v>150</v>
      </c>
      <c r="AD23" s="31">
        <f t="shared" si="2"/>
        <v>2</v>
      </c>
      <c r="AE23" s="31">
        <f t="shared" si="3"/>
        <v>8</v>
      </c>
      <c r="AF23" s="31" t="str">
        <f t="shared" si="4"/>
        <v/>
      </c>
      <c r="AG23" s="31" t="str">
        <f t="shared" si="5"/>
        <v/>
      </c>
      <c r="AH23" s="31" t="str">
        <f t="shared" si="6"/>
        <v/>
      </c>
      <c r="AI23" s="31" t="str">
        <f t="shared" si="7"/>
        <v/>
      </c>
      <c r="AJ23" s="25">
        <v>10</v>
      </c>
      <c r="AK23" s="25">
        <v>0</v>
      </c>
      <c r="AL23" s="25">
        <v>0</v>
      </c>
      <c r="AM23" s="23" t="s">
        <v>110</v>
      </c>
      <c r="AN23" s="23" t="s">
        <v>92</v>
      </c>
      <c r="AO23" s="25">
        <v>602</v>
      </c>
      <c r="AR23" s="32" t="str">
        <f t="shared" si="8"/>
        <v>1 door</v>
      </c>
      <c r="AT23" s="23" t="s">
        <v>47</v>
      </c>
      <c r="AU23" s="23" t="str">
        <f t="shared" si="13"/>
        <v>CC</v>
      </c>
      <c r="AV23" s="34">
        <f t="shared" si="9"/>
        <v>440</v>
      </c>
      <c r="AW23" s="23">
        <v>4</v>
      </c>
      <c r="AX23" s="23">
        <v>40</v>
      </c>
      <c r="AY23" s="23">
        <v>0</v>
      </c>
    </row>
    <row r="24" spans="1:51">
      <c r="A24" s="25">
        <v>602</v>
      </c>
      <c r="D24" s="23">
        <v>1</v>
      </c>
      <c r="E24" s="25" t="s">
        <v>48</v>
      </c>
      <c r="F24" s="25" t="s">
        <v>48</v>
      </c>
      <c r="G24" s="23" t="s">
        <v>27</v>
      </c>
      <c r="H24" s="23" t="s">
        <v>105</v>
      </c>
      <c r="I24" s="25">
        <v>1953</v>
      </c>
      <c r="J24" s="35">
        <v>30</v>
      </c>
      <c r="K24" s="35">
        <v>40</v>
      </c>
      <c r="L24" s="35">
        <v>20</v>
      </c>
      <c r="M24" s="25">
        <v>5</v>
      </c>
      <c r="R24" s="30">
        <f t="shared" si="0"/>
        <v>5</v>
      </c>
      <c r="S24" s="37">
        <v>1</v>
      </c>
      <c r="T24" s="30">
        <f t="shared" si="10"/>
        <v>10.045142857142858</v>
      </c>
      <c r="U24" s="37">
        <v>1</v>
      </c>
      <c r="V24" s="30">
        <f t="shared" si="11"/>
        <v>13.666476190476191</v>
      </c>
      <c r="W24" s="25">
        <v>87</v>
      </c>
      <c r="X24" s="31">
        <f t="shared" si="1"/>
        <v>123.76</v>
      </c>
      <c r="Y24" s="25">
        <v>91</v>
      </c>
      <c r="Z24" s="25">
        <v>7</v>
      </c>
      <c r="AA24" s="25">
        <v>35</v>
      </c>
      <c r="AB24" s="37">
        <v>1</v>
      </c>
      <c r="AC24" s="30">
        <f t="shared" si="12"/>
        <v>150</v>
      </c>
      <c r="AD24" s="31">
        <f t="shared" si="2"/>
        <v>2</v>
      </c>
      <c r="AE24" s="31">
        <f t="shared" si="3"/>
        <v>8</v>
      </c>
      <c r="AF24" s="31" t="str">
        <f t="shared" si="4"/>
        <v/>
      </c>
      <c r="AG24" s="31" t="str">
        <f t="shared" si="5"/>
        <v/>
      </c>
      <c r="AH24" s="31" t="str">
        <f t="shared" si="6"/>
        <v/>
      </c>
      <c r="AI24" s="31" t="str">
        <f t="shared" si="7"/>
        <v/>
      </c>
      <c r="AJ24" s="25">
        <v>10</v>
      </c>
      <c r="AK24" s="25">
        <v>0</v>
      </c>
      <c r="AL24" s="25">
        <v>0</v>
      </c>
      <c r="AM24" s="23" t="s">
        <v>110</v>
      </c>
      <c r="AN24" s="23" t="s">
        <v>92</v>
      </c>
      <c r="AO24" s="25">
        <v>602</v>
      </c>
      <c r="AR24" s="32" t="str">
        <f t="shared" si="8"/>
        <v>1 door</v>
      </c>
      <c r="AT24" s="23" t="s">
        <v>47</v>
      </c>
      <c r="AU24" s="23" t="str">
        <f t="shared" si="13"/>
        <v>Hungary</v>
      </c>
      <c r="AV24" s="34">
        <f t="shared" si="9"/>
        <v>440.01</v>
      </c>
      <c r="AW24" s="23">
        <v>4</v>
      </c>
      <c r="AX24" s="23">
        <v>40</v>
      </c>
      <c r="AY24" s="23">
        <v>1</v>
      </c>
    </row>
    <row r="25" spans="1:51">
      <c r="A25" s="25" t="s">
        <v>223</v>
      </c>
      <c r="B25" s="23" t="s">
        <v>135</v>
      </c>
      <c r="D25" s="23">
        <v>3</v>
      </c>
      <c r="E25" s="25" t="s">
        <v>30</v>
      </c>
      <c r="F25" s="25" t="s">
        <v>310</v>
      </c>
      <c r="G25" s="23" t="s">
        <v>27</v>
      </c>
      <c r="H25" s="23" t="s">
        <v>222</v>
      </c>
      <c r="I25" s="25">
        <v>1961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O25" s="25">
        <v>10</v>
      </c>
      <c r="R25" s="30">
        <f t="shared" si="0"/>
        <v>26</v>
      </c>
      <c r="S25" s="37">
        <v>1</v>
      </c>
      <c r="T25" s="30">
        <f t="shared" si="10"/>
        <v>15.065142857142858</v>
      </c>
      <c r="U25" s="37">
        <v>1</v>
      </c>
      <c r="V25" s="30">
        <f t="shared" si="11"/>
        <v>18.35314285714286</v>
      </c>
      <c r="W25" s="25">
        <v>55</v>
      </c>
      <c r="X25" s="31">
        <f t="shared" si="1"/>
        <v>144.16</v>
      </c>
      <c r="Y25" s="25">
        <v>106</v>
      </c>
      <c r="Z25" s="25">
        <v>12</v>
      </c>
      <c r="AA25" s="25">
        <v>132</v>
      </c>
      <c r="AB25" s="37">
        <v>1</v>
      </c>
      <c r="AC25" s="30">
        <f t="shared" si="12"/>
        <v>200</v>
      </c>
      <c r="AD25" s="31">
        <f t="shared" si="2"/>
        <v>8</v>
      </c>
      <c r="AE25" s="31" t="str">
        <f t="shared" si="3"/>
        <v/>
      </c>
      <c r="AF25" s="31">
        <f t="shared" si="4"/>
        <v>6</v>
      </c>
      <c r="AG25" s="31" t="str">
        <f t="shared" si="5"/>
        <v/>
      </c>
      <c r="AH25" s="31" t="str">
        <f t="shared" si="6"/>
        <v/>
      </c>
      <c r="AI25" s="31" t="str">
        <f t="shared" si="7"/>
        <v/>
      </c>
      <c r="AJ25" s="25">
        <v>8</v>
      </c>
      <c r="AK25" s="25">
        <v>6</v>
      </c>
      <c r="AL25" s="25">
        <v>0</v>
      </c>
      <c r="AM25" s="23" t="s">
        <v>110</v>
      </c>
      <c r="AN25" s="23" t="s">
        <v>92</v>
      </c>
      <c r="AO25" s="25" t="s">
        <v>223</v>
      </c>
      <c r="AR25" s="32" t="str">
        <f t="shared" si="8"/>
        <v>3 doors</v>
      </c>
      <c r="AT25" s="23" t="s">
        <v>32</v>
      </c>
      <c r="AU25" s="23" t="str">
        <f t="shared" si="13"/>
        <v>CC</v>
      </c>
      <c r="AV25" s="34">
        <f t="shared" si="9"/>
        <v>460</v>
      </c>
      <c r="AW25" s="23">
        <v>4</v>
      </c>
      <c r="AX25" s="23">
        <v>60</v>
      </c>
      <c r="AY25" s="23">
        <v>0</v>
      </c>
    </row>
    <row r="26" spans="1:51">
      <c r="A26" s="25" t="s">
        <v>223</v>
      </c>
      <c r="B26" s="23" t="s">
        <v>135</v>
      </c>
      <c r="D26" s="23">
        <v>3</v>
      </c>
      <c r="E26" s="25" t="s">
        <v>85</v>
      </c>
      <c r="F26" s="25" t="s">
        <v>85</v>
      </c>
      <c r="G26" s="23" t="s">
        <v>27</v>
      </c>
      <c r="H26" s="23" t="s">
        <v>222</v>
      </c>
      <c r="I26" s="25">
        <v>1961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O26" s="25">
        <v>10</v>
      </c>
      <c r="R26" s="30">
        <f t="shared" si="0"/>
        <v>26</v>
      </c>
      <c r="S26" s="37">
        <v>1</v>
      </c>
      <c r="T26" s="30">
        <f t="shared" si="10"/>
        <v>15.065142857142858</v>
      </c>
      <c r="U26" s="37">
        <v>1</v>
      </c>
      <c r="V26" s="30">
        <f t="shared" si="11"/>
        <v>18.35314285714286</v>
      </c>
      <c r="W26" s="25">
        <v>55</v>
      </c>
      <c r="X26" s="31">
        <f t="shared" si="1"/>
        <v>144.16</v>
      </c>
      <c r="Y26" s="25">
        <v>106</v>
      </c>
      <c r="Z26" s="25">
        <v>12</v>
      </c>
      <c r="AA26" s="25">
        <v>132</v>
      </c>
      <c r="AB26" s="37">
        <v>1</v>
      </c>
      <c r="AC26" s="30">
        <f t="shared" si="12"/>
        <v>200</v>
      </c>
      <c r="AD26" s="31">
        <f t="shared" si="2"/>
        <v>8</v>
      </c>
      <c r="AE26" s="31" t="str">
        <f t="shared" si="3"/>
        <v/>
      </c>
      <c r="AF26" s="31">
        <f t="shared" si="4"/>
        <v>6</v>
      </c>
      <c r="AG26" s="31" t="str">
        <f t="shared" si="5"/>
        <v/>
      </c>
      <c r="AH26" s="31" t="str">
        <f t="shared" si="6"/>
        <v/>
      </c>
      <c r="AI26" s="31" t="str">
        <f t="shared" si="7"/>
        <v/>
      </c>
      <c r="AJ26" s="25">
        <v>8</v>
      </c>
      <c r="AK26" s="25">
        <v>6</v>
      </c>
      <c r="AL26" s="25">
        <v>0</v>
      </c>
      <c r="AM26" s="23" t="s">
        <v>110</v>
      </c>
      <c r="AN26" s="23" t="s">
        <v>92</v>
      </c>
      <c r="AO26" s="25" t="s">
        <v>223</v>
      </c>
      <c r="AR26" s="32" t="str">
        <f t="shared" si="8"/>
        <v>3 doors</v>
      </c>
      <c r="AT26" s="23" t="s">
        <v>32</v>
      </c>
      <c r="AU26" s="23" t="str">
        <f t="shared" si="13"/>
        <v>Hungary</v>
      </c>
      <c r="AV26" s="34">
        <f t="shared" si="9"/>
        <v>460.01</v>
      </c>
      <c r="AW26" s="23">
        <v>4</v>
      </c>
      <c r="AX26" s="23">
        <v>60</v>
      </c>
      <c r="AY26" s="23">
        <v>1</v>
      </c>
    </row>
    <row r="27" spans="1:51">
      <c r="A27" s="25" t="s">
        <v>224</v>
      </c>
      <c r="B27" s="23" t="s">
        <v>225</v>
      </c>
      <c r="D27" s="23">
        <v>2</v>
      </c>
      <c r="E27" s="25" t="s">
        <v>30</v>
      </c>
      <c r="F27" s="25" t="s">
        <v>310</v>
      </c>
      <c r="G27" s="23" t="s">
        <v>27</v>
      </c>
      <c r="H27" s="23" t="s">
        <v>221</v>
      </c>
      <c r="I27" s="25">
        <v>1960</v>
      </c>
      <c r="J27" s="35">
        <v>30</v>
      </c>
      <c r="K27" s="35">
        <v>40</v>
      </c>
      <c r="L27" s="35">
        <v>20</v>
      </c>
      <c r="M27" s="25">
        <v>8</v>
      </c>
      <c r="N27" s="25">
        <v>8</v>
      </c>
      <c r="R27" s="30">
        <f t="shared" si="0"/>
        <v>16</v>
      </c>
      <c r="S27" s="37">
        <v>1</v>
      </c>
      <c r="T27" s="30">
        <f t="shared" si="10"/>
        <v>12.830857142857143</v>
      </c>
      <c r="U27" s="37">
        <v>1</v>
      </c>
      <c r="V27" s="30">
        <f t="shared" si="11"/>
        <v>15.472190476190477</v>
      </c>
      <c r="W27" s="25">
        <v>55</v>
      </c>
      <c r="X27" s="31">
        <f t="shared" si="1"/>
        <v>123.76</v>
      </c>
      <c r="Y27" s="25">
        <v>91</v>
      </c>
      <c r="Z27" s="25">
        <v>11</v>
      </c>
      <c r="AA27" s="25">
        <v>128</v>
      </c>
      <c r="AB27" s="37">
        <v>1</v>
      </c>
      <c r="AC27" s="30">
        <f t="shared" si="12"/>
        <v>185</v>
      </c>
      <c r="AD27" s="31">
        <f t="shared" si="2"/>
        <v>8</v>
      </c>
      <c r="AE27" s="31" t="str">
        <f t="shared" si="3"/>
        <v/>
      </c>
      <c r="AF27" s="31">
        <f t="shared" si="4"/>
        <v>6</v>
      </c>
      <c r="AG27" s="31" t="str">
        <f t="shared" si="5"/>
        <v/>
      </c>
      <c r="AH27" s="31" t="str">
        <f t="shared" si="6"/>
        <v/>
      </c>
      <c r="AI27" s="31" t="str">
        <f t="shared" si="7"/>
        <v/>
      </c>
      <c r="AJ27" s="25">
        <v>8</v>
      </c>
      <c r="AK27" s="25">
        <v>6</v>
      </c>
      <c r="AL27" s="25">
        <v>0</v>
      </c>
      <c r="AM27" s="23" t="s">
        <v>110</v>
      </c>
      <c r="AN27" s="23" t="s">
        <v>92</v>
      </c>
      <c r="AO27" s="25" t="s">
        <v>224</v>
      </c>
      <c r="AR27" s="32" t="str">
        <f t="shared" si="8"/>
        <v>2 doors</v>
      </c>
      <c r="AT27" s="23" t="s">
        <v>33</v>
      </c>
      <c r="AU27" s="23" t="str">
        <f t="shared" si="13"/>
        <v>CC</v>
      </c>
      <c r="AV27" s="34">
        <f t="shared" si="9"/>
        <v>470</v>
      </c>
      <c r="AW27" s="23">
        <v>4</v>
      </c>
      <c r="AX27" s="23">
        <v>70</v>
      </c>
      <c r="AY27" s="23">
        <v>0</v>
      </c>
    </row>
    <row r="28" spans="1:51">
      <c r="A28" s="25" t="s">
        <v>224</v>
      </c>
      <c r="B28" s="23" t="s">
        <v>225</v>
      </c>
      <c r="D28" s="23">
        <v>2</v>
      </c>
      <c r="E28" s="25" t="s">
        <v>95</v>
      </c>
      <c r="F28" s="25" t="s">
        <v>95</v>
      </c>
      <c r="G28" s="23" t="s">
        <v>27</v>
      </c>
      <c r="H28" s="23" t="s">
        <v>221</v>
      </c>
      <c r="I28" s="25">
        <v>1960</v>
      </c>
      <c r="J28" s="35">
        <v>30</v>
      </c>
      <c r="K28" s="35">
        <v>40</v>
      </c>
      <c r="L28" s="35">
        <v>20</v>
      </c>
      <c r="M28" s="25">
        <v>8</v>
      </c>
      <c r="N28" s="25">
        <v>8</v>
      </c>
      <c r="R28" s="30">
        <f t="shared" si="0"/>
        <v>16</v>
      </c>
      <c r="S28" s="37">
        <v>1</v>
      </c>
      <c r="T28" s="30">
        <f t="shared" si="10"/>
        <v>12.830857142857143</v>
      </c>
      <c r="U28" s="37">
        <v>1</v>
      </c>
      <c r="V28" s="30">
        <f t="shared" si="11"/>
        <v>15.472190476190477</v>
      </c>
      <c r="W28" s="25">
        <v>55</v>
      </c>
      <c r="X28" s="31">
        <f t="shared" si="1"/>
        <v>123.76</v>
      </c>
      <c r="Y28" s="25">
        <v>91</v>
      </c>
      <c r="Z28" s="25">
        <v>11</v>
      </c>
      <c r="AA28" s="25">
        <v>128</v>
      </c>
      <c r="AB28" s="37">
        <v>1</v>
      </c>
      <c r="AC28" s="30">
        <f t="shared" si="12"/>
        <v>185</v>
      </c>
      <c r="AD28" s="31">
        <f t="shared" si="2"/>
        <v>8</v>
      </c>
      <c r="AE28" s="31" t="str">
        <f t="shared" si="3"/>
        <v/>
      </c>
      <c r="AF28" s="31">
        <f t="shared" si="4"/>
        <v>6</v>
      </c>
      <c r="AG28" s="31" t="str">
        <f t="shared" si="5"/>
        <v/>
      </c>
      <c r="AH28" s="31" t="str">
        <f t="shared" si="6"/>
        <v/>
      </c>
      <c r="AI28" s="31" t="str">
        <f t="shared" si="7"/>
        <v/>
      </c>
      <c r="AJ28" s="25">
        <v>8</v>
      </c>
      <c r="AK28" s="25">
        <v>6</v>
      </c>
      <c r="AL28" s="25">
        <v>0</v>
      </c>
      <c r="AM28" s="23" t="s">
        <v>110</v>
      </c>
      <c r="AN28" s="23" t="s">
        <v>92</v>
      </c>
      <c r="AO28" s="25" t="s">
        <v>224</v>
      </c>
      <c r="AR28" s="32" t="str">
        <f t="shared" si="8"/>
        <v>2 doors</v>
      </c>
      <c r="AT28" s="23" t="s">
        <v>33</v>
      </c>
      <c r="AU28" s="23" t="str">
        <f t="shared" si="13"/>
        <v>Hungary</v>
      </c>
      <c r="AV28" s="34">
        <f t="shared" si="9"/>
        <v>470.01</v>
      </c>
      <c r="AW28" s="23">
        <v>4</v>
      </c>
      <c r="AX28" s="23">
        <v>70</v>
      </c>
      <c r="AY28" s="23">
        <v>1</v>
      </c>
    </row>
    <row r="29" spans="1:51">
      <c r="A29" s="25">
        <v>66</v>
      </c>
      <c r="B29" s="23" t="s">
        <v>89</v>
      </c>
      <c r="D29" s="23">
        <v>3</v>
      </c>
      <c r="E29" s="25" t="s">
        <v>30</v>
      </c>
      <c r="F29" s="25" t="s">
        <v>310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7">
        <v>1</v>
      </c>
      <c r="T29" s="30">
        <f t="shared" si="10"/>
        <v>13.065142857142858</v>
      </c>
      <c r="U29" s="37">
        <v>1</v>
      </c>
      <c r="V29" s="30">
        <f t="shared" si="11"/>
        <v>17.406476190476191</v>
      </c>
      <c r="W29" s="25">
        <v>61</v>
      </c>
      <c r="X29" s="31">
        <f t="shared" si="1"/>
        <v>144.16</v>
      </c>
      <c r="Y29" s="25">
        <v>106</v>
      </c>
      <c r="Z29" s="25">
        <v>9</v>
      </c>
      <c r="AA29" s="25">
        <v>110</v>
      </c>
      <c r="AB29" s="37">
        <v>1</v>
      </c>
      <c r="AC29" s="30">
        <f t="shared" si="12"/>
        <v>200</v>
      </c>
      <c r="AD29" s="31">
        <f t="shared" si="2"/>
        <v>6</v>
      </c>
      <c r="AE29" s="31">
        <f t="shared" si="3"/>
        <v>8</v>
      </c>
      <c r="AF29" s="31" t="str">
        <f t="shared" si="4"/>
        <v/>
      </c>
      <c r="AG29" s="31" t="str">
        <f t="shared" si="5"/>
        <v/>
      </c>
      <c r="AH29" s="31" t="str">
        <f t="shared" si="6"/>
        <v/>
      </c>
      <c r="AI29" s="31" t="str">
        <f t="shared" si="7"/>
        <v/>
      </c>
      <c r="AJ29" s="25">
        <v>14</v>
      </c>
      <c r="AK29" s="25">
        <v>0</v>
      </c>
      <c r="AL29" s="25">
        <v>0</v>
      </c>
      <c r="AM29" s="23" t="s">
        <v>110</v>
      </c>
      <c r="AN29" s="23" t="s">
        <v>92</v>
      </c>
      <c r="AO29" s="25">
        <v>66</v>
      </c>
      <c r="AR29" s="32" t="str">
        <f t="shared" si="8"/>
        <v>3 doors</v>
      </c>
      <c r="AT29" s="23" t="s">
        <v>32</v>
      </c>
      <c r="AU29" s="23" t="str">
        <f t="shared" si="13"/>
        <v>CC</v>
      </c>
      <c r="AV29" s="34">
        <f t="shared" si="9"/>
        <v>500</v>
      </c>
      <c r="AW29" s="23">
        <v>5</v>
      </c>
      <c r="AX29" s="23">
        <v>0</v>
      </c>
      <c r="AY29" s="23">
        <v>0</v>
      </c>
    </row>
    <row r="30" spans="1:51">
      <c r="A30" s="25">
        <v>66</v>
      </c>
      <c r="B30" s="23" t="s">
        <v>89</v>
      </c>
      <c r="D30" s="23">
        <v>3</v>
      </c>
      <c r="E30" s="25" t="s">
        <v>42</v>
      </c>
      <c r="F30" s="25" t="s">
        <v>310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7">
        <v>1</v>
      </c>
      <c r="T30" s="30">
        <f t="shared" si="10"/>
        <v>13.065142857142858</v>
      </c>
      <c r="U30" s="37">
        <v>1</v>
      </c>
      <c r="V30" s="30">
        <f t="shared" si="11"/>
        <v>17.406476190476191</v>
      </c>
      <c r="W30" s="25">
        <v>61</v>
      </c>
      <c r="X30" s="31">
        <f t="shared" si="1"/>
        <v>144.16</v>
      </c>
      <c r="Y30" s="25">
        <v>106</v>
      </c>
      <c r="Z30" s="25">
        <v>9</v>
      </c>
      <c r="AA30" s="25">
        <v>110</v>
      </c>
      <c r="AB30" s="37">
        <v>1</v>
      </c>
      <c r="AC30" s="30">
        <f t="shared" si="12"/>
        <v>200</v>
      </c>
      <c r="AD30" s="31">
        <f t="shared" si="2"/>
        <v>6</v>
      </c>
      <c r="AE30" s="31">
        <f t="shared" si="3"/>
        <v>8</v>
      </c>
      <c r="AF30" s="31" t="str">
        <f t="shared" si="4"/>
        <v/>
      </c>
      <c r="AG30" s="31" t="str">
        <f t="shared" si="5"/>
        <v/>
      </c>
      <c r="AH30" s="31" t="str">
        <f t="shared" si="6"/>
        <v/>
      </c>
      <c r="AI30" s="31" t="str">
        <f t="shared" si="7"/>
        <v/>
      </c>
      <c r="AJ30" s="25">
        <v>14</v>
      </c>
      <c r="AK30" s="25">
        <v>0</v>
      </c>
      <c r="AL30" s="25">
        <v>0</v>
      </c>
      <c r="AM30" s="23" t="s">
        <v>110</v>
      </c>
      <c r="AN30" s="23" t="s">
        <v>92</v>
      </c>
      <c r="AO30" s="25">
        <v>66</v>
      </c>
      <c r="AR30" s="32" t="str">
        <f t="shared" si="8"/>
        <v>3 doors</v>
      </c>
      <c r="AT30" s="23" t="s">
        <v>32</v>
      </c>
      <c r="AU30" s="23" t="str">
        <f t="shared" si="13"/>
        <v>CC</v>
      </c>
      <c r="AV30" s="34">
        <f t="shared" si="9"/>
        <v>500.01</v>
      </c>
      <c r="AW30" s="23">
        <v>5</v>
      </c>
      <c r="AX30" s="23">
        <v>0</v>
      </c>
      <c r="AY30" s="23">
        <v>1</v>
      </c>
    </row>
    <row r="31" spans="1:51">
      <c r="A31" s="25">
        <v>66</v>
      </c>
      <c r="B31" s="23" t="s">
        <v>89</v>
      </c>
      <c r="D31" s="23">
        <v>3</v>
      </c>
      <c r="E31" s="25" t="s">
        <v>96</v>
      </c>
      <c r="F31" s="25" t="s">
        <v>85</v>
      </c>
      <c r="G31" s="23" t="s">
        <v>27</v>
      </c>
      <c r="H31" s="23" t="s">
        <v>139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O31" s="25">
        <v>4</v>
      </c>
      <c r="R31" s="30">
        <f t="shared" si="0"/>
        <v>19</v>
      </c>
      <c r="S31" s="37">
        <v>1</v>
      </c>
      <c r="T31" s="30">
        <f t="shared" si="10"/>
        <v>13.065142857142858</v>
      </c>
      <c r="U31" s="37">
        <v>1</v>
      </c>
      <c r="V31" s="30">
        <f t="shared" si="11"/>
        <v>17.406476190476191</v>
      </c>
      <c r="W31" s="25">
        <v>61</v>
      </c>
      <c r="X31" s="31">
        <f t="shared" si="1"/>
        <v>144.16</v>
      </c>
      <c r="Y31" s="25">
        <v>106</v>
      </c>
      <c r="Z31" s="25">
        <v>9</v>
      </c>
      <c r="AA31" s="25">
        <v>110</v>
      </c>
      <c r="AB31" s="37">
        <v>1</v>
      </c>
      <c r="AC31" s="30">
        <f t="shared" si="12"/>
        <v>200</v>
      </c>
      <c r="AD31" s="31">
        <f t="shared" si="2"/>
        <v>6</v>
      </c>
      <c r="AE31" s="31">
        <f t="shared" si="3"/>
        <v>8</v>
      </c>
      <c r="AF31" s="31" t="str">
        <f t="shared" si="4"/>
        <v/>
      </c>
      <c r="AG31" s="31" t="str">
        <f t="shared" si="5"/>
        <v/>
      </c>
      <c r="AH31" s="31" t="str">
        <f t="shared" si="6"/>
        <v/>
      </c>
      <c r="AI31" s="31" t="str">
        <f t="shared" si="7"/>
        <v/>
      </c>
      <c r="AJ31" s="25">
        <v>14</v>
      </c>
      <c r="AK31" s="25">
        <v>0</v>
      </c>
      <c r="AL31" s="25">
        <v>0</v>
      </c>
      <c r="AM31" s="23" t="s">
        <v>110</v>
      </c>
      <c r="AN31" s="23" t="s">
        <v>92</v>
      </c>
      <c r="AO31" s="25">
        <v>66</v>
      </c>
      <c r="AR31" s="32" t="str">
        <f t="shared" si="8"/>
        <v>3 doors</v>
      </c>
      <c r="AT31" s="23" t="s">
        <v>32</v>
      </c>
      <c r="AU31" s="23" t="str">
        <f t="shared" si="13"/>
        <v>Hungary</v>
      </c>
      <c r="AV31" s="34">
        <f t="shared" si="9"/>
        <v>500.02</v>
      </c>
      <c r="AW31" s="23">
        <v>5</v>
      </c>
      <c r="AX31" s="23">
        <v>0</v>
      </c>
      <c r="AY31" s="23">
        <v>2</v>
      </c>
    </row>
    <row r="32" spans="1:51">
      <c r="A32" s="25">
        <v>66</v>
      </c>
      <c r="B32" s="23" t="s">
        <v>89</v>
      </c>
      <c r="D32" s="23">
        <v>3</v>
      </c>
      <c r="E32" s="25" t="s">
        <v>97</v>
      </c>
      <c r="F32" s="25" t="s">
        <v>85</v>
      </c>
      <c r="G32" s="23" t="s">
        <v>27</v>
      </c>
      <c r="H32" s="23" t="s">
        <v>139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O32" s="25">
        <v>4</v>
      </c>
      <c r="R32" s="30">
        <f t="shared" si="0"/>
        <v>19</v>
      </c>
      <c r="S32" s="37">
        <v>1</v>
      </c>
      <c r="T32" s="30">
        <f t="shared" si="10"/>
        <v>13.065142857142858</v>
      </c>
      <c r="U32" s="37">
        <v>1</v>
      </c>
      <c r="V32" s="30">
        <f t="shared" si="11"/>
        <v>17.406476190476191</v>
      </c>
      <c r="W32" s="25">
        <v>61</v>
      </c>
      <c r="X32" s="31">
        <f t="shared" si="1"/>
        <v>144.16</v>
      </c>
      <c r="Y32" s="25">
        <v>106</v>
      </c>
      <c r="Z32" s="25">
        <v>9</v>
      </c>
      <c r="AA32" s="25">
        <v>110</v>
      </c>
      <c r="AB32" s="37">
        <v>1</v>
      </c>
      <c r="AC32" s="30">
        <f t="shared" si="12"/>
        <v>200</v>
      </c>
      <c r="AD32" s="31">
        <f t="shared" si="2"/>
        <v>6</v>
      </c>
      <c r="AE32" s="31">
        <f t="shared" si="3"/>
        <v>8</v>
      </c>
      <c r="AF32" s="31" t="str">
        <f t="shared" si="4"/>
        <v/>
      </c>
      <c r="AG32" s="31" t="str">
        <f t="shared" si="5"/>
        <v/>
      </c>
      <c r="AH32" s="31" t="str">
        <f t="shared" si="6"/>
        <v/>
      </c>
      <c r="AI32" s="31" t="str">
        <f t="shared" si="7"/>
        <v/>
      </c>
      <c r="AJ32" s="25">
        <v>14</v>
      </c>
      <c r="AK32" s="25">
        <v>0</v>
      </c>
      <c r="AL32" s="25">
        <v>0</v>
      </c>
      <c r="AM32" s="23" t="s">
        <v>110</v>
      </c>
      <c r="AN32" s="23" t="s">
        <v>92</v>
      </c>
      <c r="AO32" s="25">
        <v>66</v>
      </c>
      <c r="AR32" s="32" t="str">
        <f t="shared" si="8"/>
        <v>3 doors</v>
      </c>
      <c r="AT32" s="23" t="s">
        <v>32</v>
      </c>
      <c r="AU32" s="23" t="str">
        <f t="shared" si="13"/>
        <v>Hungary</v>
      </c>
      <c r="AV32" s="34">
        <f t="shared" si="9"/>
        <v>500.03</v>
      </c>
      <c r="AW32" s="23">
        <v>5</v>
      </c>
      <c r="AX32" s="23">
        <v>0</v>
      </c>
      <c r="AY32" s="23">
        <v>3</v>
      </c>
    </row>
    <row r="33" spans="1:51">
      <c r="A33" s="25">
        <v>66</v>
      </c>
      <c r="D33" s="23">
        <v>2</v>
      </c>
      <c r="E33" s="25" t="s">
        <v>30</v>
      </c>
      <c r="F33" s="25" t="s">
        <v>312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0"/>
        <v>15</v>
      </c>
      <c r="S33" s="37">
        <v>1</v>
      </c>
      <c r="T33" s="30">
        <f t="shared" si="10"/>
        <v>12.779428571428571</v>
      </c>
      <c r="U33" s="37">
        <v>1</v>
      </c>
      <c r="V33" s="30">
        <f t="shared" si="11"/>
        <v>16.920761904761907</v>
      </c>
      <c r="W33" s="25">
        <v>78</v>
      </c>
      <c r="X33" s="31">
        <f t="shared" si="1"/>
        <v>144.16</v>
      </c>
      <c r="Y33" s="25">
        <v>106</v>
      </c>
      <c r="Z33" s="25">
        <v>9</v>
      </c>
      <c r="AA33" s="25">
        <v>80</v>
      </c>
      <c r="AB33" s="37">
        <v>1</v>
      </c>
      <c r="AC33" s="30">
        <f t="shared" si="12"/>
        <v>185</v>
      </c>
      <c r="AD33" s="31">
        <f t="shared" si="2"/>
        <v>6</v>
      </c>
      <c r="AE33" s="31">
        <f t="shared" si="3"/>
        <v>8</v>
      </c>
      <c r="AF33" s="31" t="str">
        <f t="shared" si="4"/>
        <v/>
      </c>
      <c r="AG33" s="31" t="str">
        <f t="shared" si="5"/>
        <v/>
      </c>
      <c r="AH33" s="31" t="str">
        <f t="shared" si="6"/>
        <v/>
      </c>
      <c r="AI33" s="31" t="str">
        <f t="shared" si="7"/>
        <v/>
      </c>
      <c r="AJ33" s="25">
        <v>14</v>
      </c>
      <c r="AK33" s="25">
        <v>0</v>
      </c>
      <c r="AL33" s="25">
        <v>0</v>
      </c>
      <c r="AM33" s="23" t="s">
        <v>110</v>
      </c>
      <c r="AN33" s="23" t="s">
        <v>92</v>
      </c>
      <c r="AO33" s="25">
        <v>66</v>
      </c>
      <c r="AR33" s="32" t="str">
        <f t="shared" si="8"/>
        <v>2 doors</v>
      </c>
      <c r="AT33" s="23" t="s">
        <v>33</v>
      </c>
      <c r="AU33" s="23" t="str">
        <f t="shared" si="13"/>
        <v>CC</v>
      </c>
      <c r="AV33" s="34">
        <f t="shared" si="9"/>
        <v>520</v>
      </c>
      <c r="AW33" s="23">
        <v>5</v>
      </c>
      <c r="AX33" s="23">
        <v>20</v>
      </c>
      <c r="AY33" s="23">
        <v>0</v>
      </c>
    </row>
    <row r="34" spans="1:51">
      <c r="A34" s="25">
        <v>66</v>
      </c>
      <c r="D34" s="23">
        <v>2</v>
      </c>
      <c r="E34" s="25" t="s">
        <v>42</v>
      </c>
      <c r="F34" s="25" t="s">
        <v>303</v>
      </c>
      <c r="G34" s="23" t="s">
        <v>27</v>
      </c>
      <c r="H34" s="23" t="s">
        <v>140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N34" s="25">
        <v>10</v>
      </c>
      <c r="R34" s="30">
        <f t="shared" si="0"/>
        <v>15</v>
      </c>
      <c r="S34" s="37">
        <v>1</v>
      </c>
      <c r="T34" s="30">
        <f t="shared" si="10"/>
        <v>12.779428571428571</v>
      </c>
      <c r="U34" s="37">
        <v>1</v>
      </c>
      <c r="V34" s="30">
        <f t="shared" si="11"/>
        <v>16.920761904761907</v>
      </c>
      <c r="W34" s="25">
        <v>78</v>
      </c>
      <c r="X34" s="31">
        <f t="shared" si="1"/>
        <v>144.16</v>
      </c>
      <c r="Y34" s="25">
        <v>106</v>
      </c>
      <c r="Z34" s="25">
        <v>9</v>
      </c>
      <c r="AA34" s="25">
        <v>80</v>
      </c>
      <c r="AB34" s="37">
        <v>1</v>
      </c>
      <c r="AC34" s="30">
        <f t="shared" si="12"/>
        <v>185</v>
      </c>
      <c r="AD34" s="31">
        <f t="shared" si="2"/>
        <v>6</v>
      </c>
      <c r="AE34" s="31">
        <f t="shared" si="3"/>
        <v>8</v>
      </c>
      <c r="AF34" s="31" t="str">
        <f t="shared" si="4"/>
        <v/>
      </c>
      <c r="AG34" s="31" t="str">
        <f t="shared" si="5"/>
        <v/>
      </c>
      <c r="AH34" s="31" t="str">
        <f t="shared" si="6"/>
        <v/>
      </c>
      <c r="AI34" s="31" t="str">
        <f t="shared" si="7"/>
        <v/>
      </c>
      <c r="AJ34" s="25">
        <v>14</v>
      </c>
      <c r="AK34" s="25">
        <v>0</v>
      </c>
      <c r="AL34" s="25">
        <v>0</v>
      </c>
      <c r="AM34" s="23" t="s">
        <v>110</v>
      </c>
      <c r="AN34" s="23" t="s">
        <v>92</v>
      </c>
      <c r="AO34" s="25">
        <v>66</v>
      </c>
      <c r="AR34" s="32" t="str">
        <f t="shared" si="8"/>
        <v>2 doors</v>
      </c>
      <c r="AT34" s="23" t="s">
        <v>33</v>
      </c>
      <c r="AU34" s="23" t="str">
        <f t="shared" si="13"/>
        <v>CC</v>
      </c>
      <c r="AV34" s="34">
        <f t="shared" si="9"/>
        <v>520.01</v>
      </c>
      <c r="AW34" s="23">
        <v>5</v>
      </c>
      <c r="AX34" s="23">
        <v>20</v>
      </c>
      <c r="AY34" s="23">
        <v>1</v>
      </c>
    </row>
    <row r="35" spans="1:51">
      <c r="A35" s="25">
        <v>66</v>
      </c>
      <c r="D35" s="23">
        <v>2</v>
      </c>
      <c r="E35" s="25" t="s">
        <v>46</v>
      </c>
      <c r="F35" s="25" t="s">
        <v>46</v>
      </c>
      <c r="G35" s="23" t="s">
        <v>27</v>
      </c>
      <c r="H35" s="23" t="s">
        <v>140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N35" s="25">
        <v>10</v>
      </c>
      <c r="R35" s="30">
        <f t="shared" si="0"/>
        <v>15</v>
      </c>
      <c r="S35" s="37">
        <v>1</v>
      </c>
      <c r="T35" s="30">
        <f t="shared" si="10"/>
        <v>12.779428571428571</v>
      </c>
      <c r="U35" s="37">
        <v>1</v>
      </c>
      <c r="V35" s="30">
        <f t="shared" si="11"/>
        <v>16.920761904761907</v>
      </c>
      <c r="W35" s="25">
        <v>78</v>
      </c>
      <c r="X35" s="31">
        <f t="shared" si="1"/>
        <v>144.16</v>
      </c>
      <c r="Y35" s="25">
        <v>106</v>
      </c>
      <c r="Z35" s="25">
        <v>9</v>
      </c>
      <c r="AA35" s="25">
        <v>80</v>
      </c>
      <c r="AB35" s="37">
        <v>1</v>
      </c>
      <c r="AC35" s="30">
        <f t="shared" si="12"/>
        <v>185</v>
      </c>
      <c r="AD35" s="31">
        <f t="shared" si="2"/>
        <v>6</v>
      </c>
      <c r="AE35" s="31">
        <f t="shared" si="3"/>
        <v>8</v>
      </c>
      <c r="AF35" s="31" t="str">
        <f t="shared" si="4"/>
        <v/>
      </c>
      <c r="AG35" s="31" t="str">
        <f t="shared" si="5"/>
        <v/>
      </c>
      <c r="AH35" s="31" t="str">
        <f t="shared" si="6"/>
        <v/>
      </c>
      <c r="AI35" s="31" t="str">
        <f t="shared" si="7"/>
        <v/>
      </c>
      <c r="AJ35" s="25">
        <v>14</v>
      </c>
      <c r="AK35" s="25">
        <v>0</v>
      </c>
      <c r="AL35" s="25">
        <v>0</v>
      </c>
      <c r="AM35" s="23" t="s">
        <v>110</v>
      </c>
      <c r="AN35" s="23" t="s">
        <v>92</v>
      </c>
      <c r="AO35" s="25">
        <v>66</v>
      </c>
      <c r="AR35" s="32" t="str">
        <f t="shared" si="8"/>
        <v>2 doors</v>
      </c>
      <c r="AT35" s="23" t="s">
        <v>33</v>
      </c>
      <c r="AU35" s="23" t="str">
        <f t="shared" si="13"/>
        <v>Hungary</v>
      </c>
      <c r="AV35" s="34">
        <f t="shared" si="9"/>
        <v>520.02</v>
      </c>
      <c r="AW35" s="23">
        <v>5</v>
      </c>
      <c r="AX35" s="23">
        <v>20</v>
      </c>
      <c r="AY35" s="23">
        <v>2</v>
      </c>
    </row>
    <row r="36" spans="1:51">
      <c r="A36" s="25">
        <v>55</v>
      </c>
      <c r="D36" s="23">
        <v>1</v>
      </c>
      <c r="E36" s="25" t="s">
        <v>30</v>
      </c>
      <c r="F36" s="25" t="s">
        <v>313</v>
      </c>
      <c r="G36" s="23" t="s">
        <v>27</v>
      </c>
      <c r="H36" s="23" t="s">
        <v>103</v>
      </c>
      <c r="I36" s="25">
        <v>1952</v>
      </c>
      <c r="J36" s="35">
        <v>30</v>
      </c>
      <c r="K36" s="35">
        <v>40</v>
      </c>
      <c r="L36" s="35">
        <v>20</v>
      </c>
      <c r="M36" s="25">
        <v>5</v>
      </c>
      <c r="R36" s="30">
        <f t="shared" si="0"/>
        <v>5</v>
      </c>
      <c r="S36" s="37">
        <v>1</v>
      </c>
      <c r="T36" s="30">
        <f t="shared" si="10"/>
        <v>12.565142857142858</v>
      </c>
      <c r="U36" s="37">
        <v>1</v>
      </c>
      <c r="V36" s="30">
        <f t="shared" si="11"/>
        <v>16.053142857142859</v>
      </c>
      <c r="W36" s="25">
        <v>99</v>
      </c>
      <c r="X36" s="31">
        <f t="shared" si="1"/>
        <v>144.16</v>
      </c>
      <c r="Y36" s="25">
        <v>106</v>
      </c>
      <c r="Z36" s="25">
        <v>10</v>
      </c>
      <c r="AA36" s="25">
        <v>42</v>
      </c>
      <c r="AB36" s="37">
        <v>1</v>
      </c>
      <c r="AC36" s="30">
        <f t="shared" si="12"/>
        <v>150</v>
      </c>
      <c r="AD36" s="31">
        <f t="shared" si="2"/>
        <v>6</v>
      </c>
      <c r="AE36" s="31">
        <f t="shared" si="3"/>
        <v>8</v>
      </c>
      <c r="AF36" s="31" t="str">
        <f t="shared" si="4"/>
        <v/>
      </c>
      <c r="AG36" s="31" t="str">
        <f t="shared" si="5"/>
        <v/>
      </c>
      <c r="AH36" s="31" t="str">
        <f t="shared" si="6"/>
        <v/>
      </c>
      <c r="AI36" s="31" t="str">
        <f t="shared" si="7"/>
        <v/>
      </c>
      <c r="AJ36" s="25">
        <v>14</v>
      </c>
      <c r="AK36" s="25">
        <v>0</v>
      </c>
      <c r="AL36" s="25">
        <v>0</v>
      </c>
      <c r="AM36" s="23" t="s">
        <v>110</v>
      </c>
      <c r="AN36" s="23" t="s">
        <v>92</v>
      </c>
      <c r="AO36" s="25">
        <v>55</v>
      </c>
      <c r="AR36" s="32" t="str">
        <f t="shared" si="8"/>
        <v>1 door</v>
      </c>
      <c r="AT36" s="23" t="s">
        <v>47</v>
      </c>
      <c r="AU36" s="23" t="str">
        <f t="shared" si="13"/>
        <v>CC</v>
      </c>
      <c r="AV36" s="34">
        <f t="shared" si="9"/>
        <v>540</v>
      </c>
      <c r="AW36" s="23">
        <v>5</v>
      </c>
      <c r="AX36" s="23">
        <v>40</v>
      </c>
      <c r="AY36" s="23">
        <v>0</v>
      </c>
    </row>
    <row r="37" spans="1:51">
      <c r="A37" s="25">
        <v>55</v>
      </c>
      <c r="D37" s="23">
        <v>1</v>
      </c>
      <c r="E37" s="25" t="s">
        <v>42</v>
      </c>
      <c r="F37" s="25" t="s">
        <v>313</v>
      </c>
      <c r="G37" s="23" t="s">
        <v>27</v>
      </c>
      <c r="H37" s="23" t="s">
        <v>103</v>
      </c>
      <c r="I37" s="25">
        <v>1952</v>
      </c>
      <c r="J37" s="35">
        <v>30</v>
      </c>
      <c r="K37" s="35">
        <v>40</v>
      </c>
      <c r="L37" s="35">
        <v>20</v>
      </c>
      <c r="M37" s="25">
        <v>5</v>
      </c>
      <c r="R37" s="30">
        <f t="shared" si="0"/>
        <v>5</v>
      </c>
      <c r="S37" s="37">
        <v>1</v>
      </c>
      <c r="T37" s="30">
        <f t="shared" si="10"/>
        <v>12.565142857142858</v>
      </c>
      <c r="U37" s="37">
        <v>1</v>
      </c>
      <c r="V37" s="30">
        <f t="shared" si="11"/>
        <v>16.053142857142859</v>
      </c>
      <c r="W37" s="25">
        <v>99</v>
      </c>
      <c r="X37" s="31">
        <f t="shared" si="1"/>
        <v>144.16</v>
      </c>
      <c r="Y37" s="25">
        <v>106</v>
      </c>
      <c r="Z37" s="25">
        <v>10</v>
      </c>
      <c r="AA37" s="25">
        <v>42</v>
      </c>
      <c r="AB37" s="37">
        <v>1</v>
      </c>
      <c r="AC37" s="30">
        <f t="shared" si="12"/>
        <v>150</v>
      </c>
      <c r="AD37" s="31">
        <f t="shared" si="2"/>
        <v>6</v>
      </c>
      <c r="AE37" s="31">
        <f t="shared" si="3"/>
        <v>8</v>
      </c>
      <c r="AF37" s="31" t="str">
        <f t="shared" si="4"/>
        <v/>
      </c>
      <c r="AG37" s="31" t="str">
        <f t="shared" si="5"/>
        <v/>
      </c>
      <c r="AH37" s="31" t="str">
        <f t="shared" si="6"/>
        <v/>
      </c>
      <c r="AI37" s="31" t="str">
        <f t="shared" si="7"/>
        <v/>
      </c>
      <c r="AJ37" s="25">
        <v>14</v>
      </c>
      <c r="AK37" s="25">
        <v>0</v>
      </c>
      <c r="AL37" s="25">
        <v>0</v>
      </c>
      <c r="AM37" s="23" t="s">
        <v>110</v>
      </c>
      <c r="AN37" s="23" t="s">
        <v>92</v>
      </c>
      <c r="AO37" s="25">
        <v>55</v>
      </c>
      <c r="AR37" s="32" t="str">
        <f t="shared" si="8"/>
        <v>1 door</v>
      </c>
      <c r="AT37" s="23" t="s">
        <v>47</v>
      </c>
      <c r="AU37" s="23" t="str">
        <f t="shared" si="13"/>
        <v>CC</v>
      </c>
      <c r="AV37" s="34">
        <f t="shared" si="9"/>
        <v>540.01</v>
      </c>
      <c r="AW37" s="23">
        <v>5</v>
      </c>
      <c r="AX37" s="23">
        <v>40</v>
      </c>
      <c r="AY37" s="23">
        <v>1</v>
      </c>
    </row>
    <row r="38" spans="1:51">
      <c r="A38" s="25">
        <v>620</v>
      </c>
      <c r="D38" s="23">
        <v>2</v>
      </c>
      <c r="E38" s="25" t="s">
        <v>30</v>
      </c>
      <c r="F38" s="25" t="s">
        <v>310</v>
      </c>
      <c r="G38" s="23" t="s">
        <v>27</v>
      </c>
      <c r="H38" s="23" t="s">
        <v>107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N38" s="25">
        <v>10</v>
      </c>
      <c r="R38" s="30">
        <f t="shared" si="0"/>
        <v>20</v>
      </c>
      <c r="S38" s="37">
        <v>1</v>
      </c>
      <c r="T38" s="30">
        <f t="shared" si="10"/>
        <v>12.636571428571429</v>
      </c>
      <c r="U38" s="37">
        <v>1</v>
      </c>
      <c r="V38" s="30">
        <f t="shared" si="11"/>
        <v>17.071238095238094</v>
      </c>
      <c r="W38" s="25">
        <v>68</v>
      </c>
      <c r="X38" s="31">
        <f t="shared" si="1"/>
        <v>144.16</v>
      </c>
      <c r="Y38" s="25">
        <v>106</v>
      </c>
      <c r="Z38" s="25">
        <v>8</v>
      </c>
      <c r="AA38" s="25">
        <v>64</v>
      </c>
      <c r="AB38" s="37">
        <v>1</v>
      </c>
      <c r="AC38" s="30">
        <f t="shared" si="12"/>
        <v>200</v>
      </c>
      <c r="AD38" s="31">
        <f t="shared" si="2"/>
        <v>1</v>
      </c>
      <c r="AE38" s="31">
        <f t="shared" si="3"/>
        <v>8</v>
      </c>
      <c r="AF38" s="31" t="str">
        <f t="shared" si="4"/>
        <v/>
      </c>
      <c r="AG38" s="31" t="str">
        <f t="shared" si="5"/>
        <v/>
      </c>
      <c r="AH38" s="31" t="str">
        <f t="shared" si="6"/>
        <v/>
      </c>
      <c r="AI38" s="31" t="str">
        <f t="shared" si="7"/>
        <v/>
      </c>
      <c r="AJ38" s="25">
        <v>9</v>
      </c>
      <c r="AK38" s="25">
        <v>0</v>
      </c>
      <c r="AL38" s="25">
        <v>0</v>
      </c>
      <c r="AM38" s="23" t="s">
        <v>110</v>
      </c>
      <c r="AN38" s="23" t="s">
        <v>92</v>
      </c>
      <c r="AO38" s="25">
        <v>620</v>
      </c>
      <c r="AR38" s="32" t="str">
        <f t="shared" si="8"/>
        <v>2 doors</v>
      </c>
      <c r="AT38" s="23" t="s">
        <v>32</v>
      </c>
      <c r="AU38" s="23" t="str">
        <f t="shared" si="13"/>
        <v>CC</v>
      </c>
      <c r="AV38" s="34">
        <f t="shared" si="9"/>
        <v>700</v>
      </c>
      <c r="AW38" s="23">
        <v>7</v>
      </c>
      <c r="AX38" s="23">
        <v>0</v>
      </c>
      <c r="AY38" s="23">
        <v>0</v>
      </c>
    </row>
    <row r="39" spans="1:51">
      <c r="A39" s="25">
        <v>620</v>
      </c>
      <c r="D39" s="23">
        <v>2</v>
      </c>
      <c r="E39" s="25" t="s">
        <v>85</v>
      </c>
      <c r="F39" s="25" t="s">
        <v>85</v>
      </c>
      <c r="G39" s="23" t="s">
        <v>27</v>
      </c>
      <c r="H39" s="23" t="s">
        <v>107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N39" s="25">
        <v>10</v>
      </c>
      <c r="R39" s="30">
        <f t="shared" si="0"/>
        <v>20</v>
      </c>
      <c r="S39" s="37">
        <v>1</v>
      </c>
      <c r="T39" s="30">
        <f t="shared" si="10"/>
        <v>12.636571428571429</v>
      </c>
      <c r="U39" s="37">
        <v>1</v>
      </c>
      <c r="V39" s="30">
        <f t="shared" si="11"/>
        <v>17.071238095238094</v>
      </c>
      <c r="W39" s="25">
        <v>68</v>
      </c>
      <c r="X39" s="31">
        <f t="shared" si="1"/>
        <v>144.16</v>
      </c>
      <c r="Y39" s="25">
        <v>106</v>
      </c>
      <c r="Z39" s="25">
        <v>8</v>
      </c>
      <c r="AA39" s="25">
        <v>64</v>
      </c>
      <c r="AB39" s="37">
        <v>1</v>
      </c>
      <c r="AC39" s="30">
        <f t="shared" si="12"/>
        <v>200</v>
      </c>
      <c r="AD39" s="31">
        <f t="shared" si="2"/>
        <v>1</v>
      </c>
      <c r="AE39" s="31">
        <f t="shared" si="3"/>
        <v>8</v>
      </c>
      <c r="AF39" s="31" t="str">
        <f t="shared" si="4"/>
        <v/>
      </c>
      <c r="AG39" s="31" t="str">
        <f t="shared" si="5"/>
        <v/>
      </c>
      <c r="AH39" s="31" t="str">
        <f t="shared" si="6"/>
        <v/>
      </c>
      <c r="AI39" s="31" t="str">
        <f t="shared" si="7"/>
        <v/>
      </c>
      <c r="AJ39" s="25">
        <v>9</v>
      </c>
      <c r="AK39" s="25">
        <v>0</v>
      </c>
      <c r="AL39" s="25">
        <v>0</v>
      </c>
      <c r="AM39" s="23" t="s">
        <v>110</v>
      </c>
      <c r="AN39" s="23" t="s">
        <v>92</v>
      </c>
      <c r="AO39" s="25">
        <v>620</v>
      </c>
      <c r="AR39" s="32" t="str">
        <f t="shared" si="8"/>
        <v>2 doors</v>
      </c>
      <c r="AT39" s="23" t="s">
        <v>32</v>
      </c>
      <c r="AU39" s="23" t="str">
        <f t="shared" si="13"/>
        <v>Hungary</v>
      </c>
      <c r="AV39" s="34">
        <f t="shared" si="9"/>
        <v>700.01</v>
      </c>
      <c r="AW39" s="23">
        <v>7</v>
      </c>
      <c r="AX39" s="23">
        <v>0</v>
      </c>
      <c r="AY39" s="23">
        <v>1</v>
      </c>
    </row>
    <row r="40" spans="1:51">
      <c r="A40" s="25">
        <v>630</v>
      </c>
      <c r="D40" s="23">
        <v>1</v>
      </c>
      <c r="E40" s="25" t="s">
        <v>30</v>
      </c>
      <c r="F40" s="25" t="s">
        <v>303</v>
      </c>
      <c r="G40" s="23" t="s">
        <v>27</v>
      </c>
      <c r="H40" s="23" t="s">
        <v>138</v>
      </c>
      <c r="I40" s="25">
        <v>1958</v>
      </c>
      <c r="J40" s="35">
        <v>30</v>
      </c>
      <c r="K40" s="35">
        <v>40</v>
      </c>
      <c r="L40" s="35">
        <v>20</v>
      </c>
      <c r="M40" s="25">
        <v>10</v>
      </c>
      <c r="R40" s="30">
        <f t="shared" si="0"/>
        <v>10</v>
      </c>
      <c r="S40" s="37">
        <v>1</v>
      </c>
      <c r="T40" s="30">
        <f t="shared" si="10"/>
        <v>11.922285714285714</v>
      </c>
      <c r="U40" s="37">
        <v>1</v>
      </c>
      <c r="V40" s="30">
        <f t="shared" si="11"/>
        <v>16.316952380952383</v>
      </c>
      <c r="W40" s="25">
        <v>78</v>
      </c>
      <c r="X40" s="31">
        <f t="shared" si="1"/>
        <v>144.16</v>
      </c>
      <c r="Y40" s="25">
        <v>106</v>
      </c>
      <c r="Z40" s="25">
        <v>8</v>
      </c>
      <c r="AA40" s="25">
        <v>58</v>
      </c>
      <c r="AB40" s="37">
        <v>1</v>
      </c>
      <c r="AC40" s="30">
        <f t="shared" si="12"/>
        <v>150</v>
      </c>
      <c r="AD40" s="31">
        <f t="shared" si="2"/>
        <v>1</v>
      </c>
      <c r="AE40" s="31">
        <f t="shared" si="3"/>
        <v>8</v>
      </c>
      <c r="AF40" s="31" t="str">
        <f t="shared" si="4"/>
        <v/>
      </c>
      <c r="AG40" s="31" t="str">
        <f t="shared" si="5"/>
        <v/>
      </c>
      <c r="AH40" s="31" t="str">
        <f t="shared" si="6"/>
        <v/>
      </c>
      <c r="AI40" s="31" t="str">
        <f t="shared" si="7"/>
        <v/>
      </c>
      <c r="AJ40" s="25">
        <v>9</v>
      </c>
      <c r="AK40" s="25">
        <v>0</v>
      </c>
      <c r="AL40" s="25">
        <v>0</v>
      </c>
      <c r="AM40" s="23" t="s">
        <v>110</v>
      </c>
      <c r="AN40" s="23" t="s">
        <v>92</v>
      </c>
      <c r="AO40" s="25">
        <v>630</v>
      </c>
      <c r="AR40" s="32" t="str">
        <f t="shared" si="8"/>
        <v>1 door</v>
      </c>
      <c r="AT40" s="23" t="s">
        <v>47</v>
      </c>
      <c r="AU40" s="23" t="str">
        <f t="shared" si="13"/>
        <v>CC</v>
      </c>
      <c r="AV40" s="34">
        <f t="shared" si="9"/>
        <v>720</v>
      </c>
      <c r="AW40" s="23">
        <v>7</v>
      </c>
      <c r="AX40" s="23">
        <v>20</v>
      </c>
      <c r="AY40" s="23">
        <v>0</v>
      </c>
    </row>
    <row r="41" spans="1:51">
      <c r="A41" s="25">
        <v>630</v>
      </c>
      <c r="D41" s="23">
        <v>1</v>
      </c>
      <c r="E41" s="25" t="s">
        <v>46</v>
      </c>
      <c r="F41" s="25" t="s">
        <v>46</v>
      </c>
      <c r="G41" s="23" t="s">
        <v>27</v>
      </c>
      <c r="H41" s="23" t="s">
        <v>138</v>
      </c>
      <c r="I41" s="25">
        <v>1958</v>
      </c>
      <c r="J41" s="35">
        <v>30</v>
      </c>
      <c r="K41" s="35">
        <v>40</v>
      </c>
      <c r="L41" s="35">
        <v>20</v>
      </c>
      <c r="M41" s="25">
        <v>10</v>
      </c>
      <c r="R41" s="30">
        <f t="shared" si="0"/>
        <v>10</v>
      </c>
      <c r="S41" s="37">
        <v>1</v>
      </c>
      <c r="T41" s="30">
        <f t="shared" si="10"/>
        <v>11.922285714285714</v>
      </c>
      <c r="U41" s="37">
        <v>1</v>
      </c>
      <c r="V41" s="30">
        <f t="shared" si="11"/>
        <v>16.316952380952383</v>
      </c>
      <c r="W41" s="25">
        <v>78</v>
      </c>
      <c r="X41" s="31">
        <f t="shared" si="1"/>
        <v>144.16</v>
      </c>
      <c r="Y41" s="25">
        <v>106</v>
      </c>
      <c r="Z41" s="25">
        <v>8</v>
      </c>
      <c r="AA41" s="25">
        <v>58</v>
      </c>
      <c r="AB41" s="37">
        <v>1</v>
      </c>
      <c r="AC41" s="30">
        <f t="shared" si="12"/>
        <v>150</v>
      </c>
      <c r="AD41" s="31">
        <f t="shared" si="2"/>
        <v>1</v>
      </c>
      <c r="AE41" s="31">
        <f t="shared" si="3"/>
        <v>8</v>
      </c>
      <c r="AF41" s="31" t="str">
        <f t="shared" si="4"/>
        <v/>
      </c>
      <c r="AG41" s="31" t="str">
        <f t="shared" si="5"/>
        <v/>
      </c>
      <c r="AH41" s="31" t="str">
        <f t="shared" si="6"/>
        <v/>
      </c>
      <c r="AI41" s="31" t="str">
        <f t="shared" si="7"/>
        <v/>
      </c>
      <c r="AJ41" s="25">
        <v>9</v>
      </c>
      <c r="AK41" s="25">
        <v>0</v>
      </c>
      <c r="AL41" s="25">
        <v>0</v>
      </c>
      <c r="AM41" s="23" t="s">
        <v>110</v>
      </c>
      <c r="AN41" s="23" t="s">
        <v>92</v>
      </c>
      <c r="AO41" s="25">
        <v>630</v>
      </c>
      <c r="AR41" s="32" t="str">
        <f t="shared" si="8"/>
        <v>1 door</v>
      </c>
      <c r="AT41" s="23" t="s">
        <v>47</v>
      </c>
      <c r="AU41" s="23" t="str">
        <f t="shared" si="13"/>
        <v>Hungary</v>
      </c>
      <c r="AV41" s="34">
        <f t="shared" si="9"/>
        <v>720.01</v>
      </c>
      <c r="AW41" s="23">
        <v>7</v>
      </c>
      <c r="AX41" s="23">
        <v>20</v>
      </c>
      <c r="AY41" s="23">
        <v>1</v>
      </c>
    </row>
    <row r="42" spans="1:51">
      <c r="A42" s="25">
        <v>622</v>
      </c>
      <c r="B42" s="23" t="s">
        <v>134</v>
      </c>
      <c r="C42" s="23" t="s">
        <v>132</v>
      </c>
      <c r="D42" s="23">
        <v>3</v>
      </c>
      <c r="E42" s="25" t="s">
        <v>30</v>
      </c>
      <c r="F42" s="25" t="s">
        <v>310</v>
      </c>
      <c r="G42" s="23" t="s">
        <v>27</v>
      </c>
      <c r="H42" s="23" t="s">
        <v>136</v>
      </c>
      <c r="I42" s="25">
        <v>1961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0"/>
        <v>30</v>
      </c>
      <c r="S42" s="37">
        <v>1</v>
      </c>
      <c r="T42" s="30">
        <f t="shared" si="10"/>
        <v>15.350857142857143</v>
      </c>
      <c r="U42" s="37">
        <v>1</v>
      </c>
      <c r="V42" s="30">
        <f t="shared" si="11"/>
        <v>18.718857142857143</v>
      </c>
      <c r="W42" s="25">
        <v>61</v>
      </c>
      <c r="X42" s="31">
        <f t="shared" si="1"/>
        <v>144.16</v>
      </c>
      <c r="Y42" s="25">
        <v>106</v>
      </c>
      <c r="Z42" s="25">
        <v>12</v>
      </c>
      <c r="AA42" s="25">
        <v>144</v>
      </c>
      <c r="AB42" s="37">
        <v>1</v>
      </c>
      <c r="AC42" s="30">
        <f t="shared" si="12"/>
        <v>200</v>
      </c>
      <c r="AD42" s="31">
        <f t="shared" si="2"/>
        <v>7</v>
      </c>
      <c r="AE42" s="31" t="str">
        <f t="shared" si="3"/>
        <v/>
      </c>
      <c r="AF42" s="31">
        <f t="shared" si="4"/>
        <v>7</v>
      </c>
      <c r="AG42" s="31" t="str">
        <f t="shared" si="5"/>
        <v/>
      </c>
      <c r="AH42" s="31" t="str">
        <f t="shared" si="6"/>
        <v/>
      </c>
      <c r="AI42" s="31" t="str">
        <f t="shared" si="7"/>
        <v/>
      </c>
      <c r="AJ42" s="25">
        <v>7</v>
      </c>
      <c r="AK42" s="25">
        <v>7</v>
      </c>
      <c r="AL42" s="25">
        <v>0</v>
      </c>
      <c r="AM42" s="23" t="s">
        <v>110</v>
      </c>
      <c r="AN42" s="23" t="s">
        <v>92</v>
      </c>
      <c r="AO42" s="25">
        <v>622</v>
      </c>
      <c r="AR42" s="32" t="str">
        <f t="shared" si="8"/>
        <v>3 doors</v>
      </c>
      <c r="AT42" s="23" t="s">
        <v>32</v>
      </c>
      <c r="AU42" s="23" t="str">
        <f t="shared" si="13"/>
        <v>CC</v>
      </c>
      <c r="AV42" s="34">
        <f t="shared" si="9"/>
        <v>740</v>
      </c>
      <c r="AW42" s="23">
        <v>7</v>
      </c>
      <c r="AX42" s="23">
        <v>40</v>
      </c>
      <c r="AY42" s="23">
        <v>0</v>
      </c>
    </row>
    <row r="43" spans="1:51">
      <c r="A43" s="25">
        <v>622</v>
      </c>
      <c r="B43" s="23" t="s">
        <v>134</v>
      </c>
      <c r="C43" s="23" t="s">
        <v>132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136</v>
      </c>
      <c r="I43" s="25">
        <v>1961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0"/>
        <v>30</v>
      </c>
      <c r="S43" s="37">
        <v>1</v>
      </c>
      <c r="T43" s="30">
        <f t="shared" si="10"/>
        <v>15.350857142857143</v>
      </c>
      <c r="U43" s="37">
        <v>1</v>
      </c>
      <c r="V43" s="30">
        <f t="shared" si="11"/>
        <v>18.718857142857143</v>
      </c>
      <c r="W43" s="25">
        <v>61</v>
      </c>
      <c r="X43" s="31">
        <f t="shared" si="1"/>
        <v>144.16</v>
      </c>
      <c r="Y43" s="25">
        <v>106</v>
      </c>
      <c r="Z43" s="25">
        <v>12</v>
      </c>
      <c r="AA43" s="25">
        <v>144</v>
      </c>
      <c r="AB43" s="37">
        <v>1</v>
      </c>
      <c r="AC43" s="30">
        <f t="shared" si="12"/>
        <v>200</v>
      </c>
      <c r="AD43" s="31">
        <f t="shared" si="2"/>
        <v>7</v>
      </c>
      <c r="AE43" s="31" t="str">
        <f t="shared" si="3"/>
        <v/>
      </c>
      <c r="AF43" s="31">
        <f t="shared" si="4"/>
        <v>7</v>
      </c>
      <c r="AG43" s="31" t="str">
        <f t="shared" si="5"/>
        <v/>
      </c>
      <c r="AH43" s="31" t="str">
        <f t="shared" si="6"/>
        <v/>
      </c>
      <c r="AI43" s="31" t="str">
        <f t="shared" si="7"/>
        <v/>
      </c>
      <c r="AJ43" s="25">
        <v>7</v>
      </c>
      <c r="AK43" s="25">
        <v>7</v>
      </c>
      <c r="AL43" s="25">
        <v>0</v>
      </c>
      <c r="AM43" s="23" t="s">
        <v>110</v>
      </c>
      <c r="AN43" s="23" t="s">
        <v>92</v>
      </c>
      <c r="AO43" s="25">
        <v>622</v>
      </c>
      <c r="AR43" s="32" t="str">
        <f t="shared" si="8"/>
        <v>3 doors</v>
      </c>
      <c r="AT43" s="23" t="s">
        <v>32</v>
      </c>
      <c r="AU43" s="23" t="str">
        <f t="shared" si="13"/>
        <v>Hungary</v>
      </c>
      <c r="AV43" s="34">
        <f t="shared" si="9"/>
        <v>740.01</v>
      </c>
      <c r="AW43" s="23">
        <v>7</v>
      </c>
      <c r="AX43" s="23">
        <v>40</v>
      </c>
      <c r="AY43" s="23">
        <v>1</v>
      </c>
    </row>
    <row r="44" spans="1:51">
      <c r="A44" s="25">
        <v>622</v>
      </c>
      <c r="B44" s="23" t="s">
        <v>133</v>
      </c>
      <c r="C44" s="23" t="s">
        <v>131</v>
      </c>
      <c r="D44" s="23">
        <v>3</v>
      </c>
      <c r="E44" s="25" t="s">
        <v>30</v>
      </c>
      <c r="F44" s="25" t="s">
        <v>310</v>
      </c>
      <c r="G44" s="23" t="s">
        <v>27</v>
      </c>
      <c r="H44" s="23" t="s">
        <v>137</v>
      </c>
      <c r="I44" s="25">
        <v>1962</v>
      </c>
      <c r="J44" s="35">
        <v>30</v>
      </c>
      <c r="K44" s="35">
        <v>40</v>
      </c>
      <c r="L44" s="35">
        <v>20</v>
      </c>
      <c r="M44" s="25">
        <v>10</v>
      </c>
      <c r="N44" s="25">
        <v>10</v>
      </c>
      <c r="O44" s="25">
        <v>10</v>
      </c>
      <c r="R44" s="30">
        <f t="shared" si="0"/>
        <v>30</v>
      </c>
      <c r="S44" s="37">
        <v>1</v>
      </c>
      <c r="T44" s="30">
        <f t="shared" si="10"/>
        <v>14.850857142857143</v>
      </c>
      <c r="U44" s="37">
        <v>1</v>
      </c>
      <c r="V44" s="30">
        <f t="shared" si="11"/>
        <v>18.538857142857143</v>
      </c>
      <c r="W44" s="25">
        <v>61</v>
      </c>
      <c r="X44" s="31">
        <f t="shared" si="1"/>
        <v>144.16</v>
      </c>
      <c r="Y44" s="25">
        <v>106</v>
      </c>
      <c r="Z44" s="25">
        <v>11</v>
      </c>
      <c r="AA44" s="25">
        <v>132</v>
      </c>
      <c r="AB44" s="37">
        <v>1</v>
      </c>
      <c r="AC44" s="30">
        <f t="shared" si="12"/>
        <v>200</v>
      </c>
      <c r="AD44" s="31">
        <f t="shared" si="2"/>
        <v>7</v>
      </c>
      <c r="AE44" s="31" t="str">
        <f t="shared" si="3"/>
        <v/>
      </c>
      <c r="AF44" s="31">
        <f t="shared" si="4"/>
        <v>6</v>
      </c>
      <c r="AG44" s="31" t="str">
        <f t="shared" si="5"/>
        <v/>
      </c>
      <c r="AH44" s="31" t="str">
        <f t="shared" si="6"/>
        <v/>
      </c>
      <c r="AI44" s="31" t="str">
        <f t="shared" si="7"/>
        <v/>
      </c>
      <c r="AJ44" s="25">
        <v>7</v>
      </c>
      <c r="AK44" s="25">
        <v>6</v>
      </c>
      <c r="AL44" s="25">
        <v>0</v>
      </c>
      <c r="AM44" s="23" t="s">
        <v>110</v>
      </c>
      <c r="AN44" s="23" t="s">
        <v>92</v>
      </c>
      <c r="AO44" s="25">
        <v>622</v>
      </c>
      <c r="AR44" s="32" t="str">
        <f t="shared" si="8"/>
        <v>3 doors</v>
      </c>
      <c r="AT44" s="23" t="s">
        <v>32</v>
      </c>
      <c r="AU44" s="23" t="str">
        <f t="shared" si="13"/>
        <v>CC</v>
      </c>
      <c r="AV44" s="34">
        <f t="shared" si="9"/>
        <v>750</v>
      </c>
      <c r="AW44" s="23">
        <v>7</v>
      </c>
      <c r="AX44" s="23">
        <v>50</v>
      </c>
      <c r="AY44" s="23">
        <v>0</v>
      </c>
    </row>
    <row r="45" spans="1:51">
      <c r="A45" s="25">
        <v>622</v>
      </c>
      <c r="B45" s="23" t="s">
        <v>133</v>
      </c>
      <c r="C45" s="23" t="s">
        <v>131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137</v>
      </c>
      <c r="I45" s="25">
        <v>1962</v>
      </c>
      <c r="J45" s="35">
        <v>30</v>
      </c>
      <c r="K45" s="35">
        <v>40</v>
      </c>
      <c r="L45" s="35">
        <v>20</v>
      </c>
      <c r="M45" s="25">
        <v>10</v>
      </c>
      <c r="N45" s="25">
        <v>10</v>
      </c>
      <c r="O45" s="25">
        <v>10</v>
      </c>
      <c r="R45" s="30">
        <f t="shared" si="0"/>
        <v>30</v>
      </c>
      <c r="S45" s="37">
        <v>1</v>
      </c>
      <c r="T45" s="30">
        <f t="shared" si="10"/>
        <v>14.850857142857143</v>
      </c>
      <c r="U45" s="37">
        <v>1</v>
      </c>
      <c r="V45" s="30">
        <f t="shared" si="11"/>
        <v>18.538857142857143</v>
      </c>
      <c r="W45" s="25">
        <v>61</v>
      </c>
      <c r="X45" s="31">
        <f t="shared" si="1"/>
        <v>144.16</v>
      </c>
      <c r="Y45" s="25">
        <v>106</v>
      </c>
      <c r="Z45" s="25">
        <v>11</v>
      </c>
      <c r="AA45" s="25">
        <v>132</v>
      </c>
      <c r="AB45" s="37">
        <v>1</v>
      </c>
      <c r="AC45" s="30">
        <f t="shared" si="12"/>
        <v>200</v>
      </c>
      <c r="AD45" s="31">
        <f t="shared" si="2"/>
        <v>7</v>
      </c>
      <c r="AE45" s="31" t="str">
        <f t="shared" si="3"/>
        <v/>
      </c>
      <c r="AF45" s="31">
        <f t="shared" si="4"/>
        <v>6</v>
      </c>
      <c r="AG45" s="31" t="str">
        <f t="shared" si="5"/>
        <v/>
      </c>
      <c r="AH45" s="31" t="str">
        <f t="shared" si="6"/>
        <v/>
      </c>
      <c r="AI45" s="31" t="str">
        <f t="shared" si="7"/>
        <v/>
      </c>
      <c r="AJ45" s="25">
        <v>7</v>
      </c>
      <c r="AK45" s="25">
        <v>6</v>
      </c>
      <c r="AL45" s="25">
        <v>0</v>
      </c>
      <c r="AM45" s="23" t="s">
        <v>110</v>
      </c>
      <c r="AN45" s="23" t="s">
        <v>92</v>
      </c>
      <c r="AO45" s="25">
        <v>622</v>
      </c>
      <c r="AR45" s="32" t="str">
        <f t="shared" si="8"/>
        <v>3 doors</v>
      </c>
      <c r="AT45" s="23" t="s">
        <v>32</v>
      </c>
      <c r="AU45" s="23" t="str">
        <f t="shared" si="13"/>
        <v>Hungary</v>
      </c>
      <c r="AV45" s="34">
        <f t="shared" si="9"/>
        <v>750.01</v>
      </c>
      <c r="AW45" s="23">
        <v>7</v>
      </c>
      <c r="AX45" s="23">
        <v>50</v>
      </c>
      <c r="AY45" s="23">
        <v>1</v>
      </c>
    </row>
    <row r="46" spans="1:51">
      <c r="A46" s="25">
        <v>556</v>
      </c>
      <c r="D46" s="23">
        <v>3</v>
      </c>
      <c r="E46" s="25" t="s">
        <v>30</v>
      </c>
      <c r="F46" s="25" t="s">
        <v>310</v>
      </c>
      <c r="G46" s="23" t="s">
        <v>27</v>
      </c>
      <c r="H46" s="23" t="s">
        <v>101</v>
      </c>
      <c r="I46" s="25">
        <v>1965</v>
      </c>
      <c r="J46" s="35">
        <v>30</v>
      </c>
      <c r="K46" s="35">
        <v>40</v>
      </c>
      <c r="L46" s="35">
        <v>20</v>
      </c>
      <c r="M46" s="25">
        <v>5</v>
      </c>
      <c r="N46" s="25">
        <v>10</v>
      </c>
      <c r="O46" s="25">
        <v>12</v>
      </c>
      <c r="R46" s="30">
        <f t="shared" si="0"/>
        <v>27</v>
      </c>
      <c r="S46" s="37">
        <v>1</v>
      </c>
      <c r="T46" s="30">
        <f t="shared" si="10"/>
        <v>15.51657142857143</v>
      </c>
      <c r="U46" s="37">
        <v>1</v>
      </c>
      <c r="V46" s="30">
        <f t="shared" si="11"/>
        <v>22.571238095238094</v>
      </c>
      <c r="W46" s="25">
        <v>63</v>
      </c>
      <c r="X46" s="31">
        <f t="shared" si="1"/>
        <v>191.76000000000002</v>
      </c>
      <c r="Y46" s="25">
        <v>141</v>
      </c>
      <c r="Z46" s="25">
        <v>8</v>
      </c>
      <c r="AA46" s="25">
        <v>100</v>
      </c>
      <c r="AB46" s="37">
        <v>1</v>
      </c>
      <c r="AC46" s="30">
        <f t="shared" si="12"/>
        <v>200</v>
      </c>
      <c r="AD46" s="31">
        <f t="shared" si="2"/>
        <v>2</v>
      </c>
      <c r="AE46" s="31">
        <f t="shared" si="3"/>
        <v>8</v>
      </c>
      <c r="AF46" s="31" t="str">
        <f t="shared" si="4"/>
        <v/>
      </c>
      <c r="AG46" s="31" t="str">
        <f t="shared" si="5"/>
        <v/>
      </c>
      <c r="AH46" s="31" t="str">
        <f t="shared" si="6"/>
        <v/>
      </c>
      <c r="AI46" s="31" t="str">
        <f t="shared" si="7"/>
        <v/>
      </c>
      <c r="AJ46" s="25">
        <v>10</v>
      </c>
      <c r="AK46" s="25">
        <v>0</v>
      </c>
      <c r="AL46" s="25">
        <v>0</v>
      </c>
      <c r="AM46" s="23" t="s">
        <v>110</v>
      </c>
      <c r="AN46" s="23" t="s">
        <v>92</v>
      </c>
      <c r="AO46" s="25">
        <v>556</v>
      </c>
      <c r="AR46" s="32" t="str">
        <f t="shared" si="8"/>
        <v>3 doors</v>
      </c>
      <c r="AT46" s="23" t="s">
        <v>32</v>
      </c>
      <c r="AU46" s="23" t="str">
        <f t="shared" si="13"/>
        <v>CC</v>
      </c>
      <c r="AV46" s="34">
        <f t="shared" si="9"/>
        <v>800</v>
      </c>
      <c r="AW46" s="23">
        <v>8</v>
      </c>
      <c r="AX46" s="23">
        <v>0</v>
      </c>
      <c r="AY46" s="23">
        <v>0</v>
      </c>
    </row>
    <row r="47" spans="1:51">
      <c r="A47" s="25">
        <v>556</v>
      </c>
      <c r="D47" s="23">
        <v>3</v>
      </c>
      <c r="E47" s="25" t="s">
        <v>85</v>
      </c>
      <c r="F47" s="25" t="s">
        <v>85</v>
      </c>
      <c r="G47" s="23" t="s">
        <v>27</v>
      </c>
      <c r="H47" s="23" t="s">
        <v>101</v>
      </c>
      <c r="I47" s="25">
        <v>1965</v>
      </c>
      <c r="J47" s="35">
        <v>30</v>
      </c>
      <c r="K47" s="35">
        <v>40</v>
      </c>
      <c r="L47" s="35">
        <v>20</v>
      </c>
      <c r="M47" s="25">
        <v>5</v>
      </c>
      <c r="N47" s="25">
        <v>10</v>
      </c>
      <c r="O47" s="25">
        <v>12</v>
      </c>
      <c r="R47" s="30">
        <f t="shared" si="0"/>
        <v>27</v>
      </c>
      <c r="S47" s="37">
        <v>1</v>
      </c>
      <c r="T47" s="30">
        <f t="shared" si="10"/>
        <v>15.51657142857143</v>
      </c>
      <c r="U47" s="37">
        <v>1</v>
      </c>
      <c r="V47" s="30">
        <f t="shared" si="11"/>
        <v>22.571238095238094</v>
      </c>
      <c r="W47" s="25">
        <v>63</v>
      </c>
      <c r="X47" s="31">
        <f t="shared" si="1"/>
        <v>191.76000000000002</v>
      </c>
      <c r="Y47" s="25">
        <v>141</v>
      </c>
      <c r="Z47" s="25">
        <v>8</v>
      </c>
      <c r="AA47" s="25">
        <v>100</v>
      </c>
      <c r="AB47" s="37">
        <v>1</v>
      </c>
      <c r="AC47" s="30">
        <f t="shared" si="12"/>
        <v>200</v>
      </c>
      <c r="AD47" s="31">
        <f t="shared" si="2"/>
        <v>2</v>
      </c>
      <c r="AE47" s="31">
        <f t="shared" si="3"/>
        <v>8</v>
      </c>
      <c r="AF47" s="31" t="str">
        <f t="shared" si="4"/>
        <v/>
      </c>
      <c r="AG47" s="31" t="str">
        <f t="shared" si="5"/>
        <v/>
      </c>
      <c r="AH47" s="31" t="str">
        <f t="shared" si="6"/>
        <v/>
      </c>
      <c r="AI47" s="31" t="str">
        <f t="shared" si="7"/>
        <v/>
      </c>
      <c r="AJ47" s="25">
        <v>10</v>
      </c>
      <c r="AK47" s="25">
        <v>0</v>
      </c>
      <c r="AL47" s="25">
        <v>0</v>
      </c>
      <c r="AM47" s="23" t="s">
        <v>110</v>
      </c>
      <c r="AN47" s="23" t="s">
        <v>92</v>
      </c>
      <c r="AO47" s="25">
        <v>556</v>
      </c>
      <c r="AR47" s="32" t="str">
        <f t="shared" si="8"/>
        <v>3 doors</v>
      </c>
      <c r="AT47" s="23" t="s">
        <v>32</v>
      </c>
      <c r="AU47" s="23" t="str">
        <f t="shared" si="13"/>
        <v>Hungary</v>
      </c>
      <c r="AV47" s="34">
        <f t="shared" si="9"/>
        <v>800.01</v>
      </c>
      <c r="AW47" s="23">
        <v>8</v>
      </c>
      <c r="AX47" s="23">
        <v>0</v>
      </c>
      <c r="AY47" s="23">
        <v>1</v>
      </c>
    </row>
    <row r="48" spans="1:51">
      <c r="A48" s="25">
        <v>557</v>
      </c>
      <c r="D48" s="23">
        <v>1</v>
      </c>
      <c r="E48" s="25" t="s">
        <v>30</v>
      </c>
      <c r="F48" s="25" t="s">
        <v>303</v>
      </c>
      <c r="G48" s="23" t="s">
        <v>27</v>
      </c>
      <c r="H48" s="23" t="s">
        <v>102</v>
      </c>
      <c r="I48" s="25">
        <v>1964</v>
      </c>
      <c r="J48" s="35">
        <v>30</v>
      </c>
      <c r="K48" s="35">
        <v>40</v>
      </c>
      <c r="L48" s="35">
        <v>20</v>
      </c>
      <c r="M48" s="25">
        <v>5</v>
      </c>
      <c r="R48" s="30">
        <f t="shared" si="0"/>
        <v>5</v>
      </c>
      <c r="S48" s="37">
        <v>1</v>
      </c>
      <c r="T48" s="30">
        <f t="shared" si="10"/>
        <v>13.945142857142859</v>
      </c>
      <c r="U48" s="37">
        <v>1</v>
      </c>
      <c r="V48" s="30">
        <f t="shared" si="11"/>
        <v>20.659809523809528</v>
      </c>
      <c r="W48" s="25">
        <v>103</v>
      </c>
      <c r="X48" s="31">
        <f t="shared" si="1"/>
        <v>191.76000000000002</v>
      </c>
      <c r="Y48" s="25">
        <v>141</v>
      </c>
      <c r="Z48" s="25">
        <v>8</v>
      </c>
      <c r="AA48" s="25">
        <v>49</v>
      </c>
      <c r="AB48" s="37">
        <v>1</v>
      </c>
      <c r="AC48" s="30">
        <f t="shared" si="12"/>
        <v>150</v>
      </c>
      <c r="AD48" s="31">
        <f t="shared" si="2"/>
        <v>2</v>
      </c>
      <c r="AE48" s="31">
        <f t="shared" si="3"/>
        <v>8</v>
      </c>
      <c r="AF48" s="31" t="str">
        <f t="shared" si="4"/>
        <v/>
      </c>
      <c r="AG48" s="31" t="str">
        <f t="shared" si="5"/>
        <v/>
      </c>
      <c r="AH48" s="31" t="str">
        <f t="shared" si="6"/>
        <v/>
      </c>
      <c r="AI48" s="31" t="str">
        <f t="shared" si="7"/>
        <v/>
      </c>
      <c r="AJ48" s="25">
        <v>10</v>
      </c>
      <c r="AK48" s="25">
        <v>0</v>
      </c>
      <c r="AL48" s="25">
        <v>0</v>
      </c>
      <c r="AM48" s="23" t="s">
        <v>110</v>
      </c>
      <c r="AN48" s="23" t="s">
        <v>92</v>
      </c>
      <c r="AO48" s="25">
        <v>557</v>
      </c>
      <c r="AR48" s="32" t="str">
        <f t="shared" si="8"/>
        <v>1 door</v>
      </c>
      <c r="AT48" s="23" t="s">
        <v>47</v>
      </c>
      <c r="AU48" s="23" t="str">
        <f t="shared" si="13"/>
        <v>CC</v>
      </c>
      <c r="AV48" s="34">
        <f t="shared" si="9"/>
        <v>820</v>
      </c>
      <c r="AW48" s="23">
        <v>8</v>
      </c>
      <c r="AX48" s="23">
        <v>20</v>
      </c>
      <c r="AY48" s="23">
        <v>0</v>
      </c>
    </row>
    <row r="49" spans="1:51">
      <c r="A49" s="25" t="s">
        <v>108</v>
      </c>
      <c r="D49" s="23">
        <v>2</v>
      </c>
      <c r="E49" s="25" t="s">
        <v>30</v>
      </c>
      <c r="F49" s="25" t="s">
        <v>310</v>
      </c>
      <c r="G49" s="23" t="s">
        <v>27</v>
      </c>
      <c r="H49" s="23" t="s">
        <v>100</v>
      </c>
      <c r="I49" s="25">
        <v>1969</v>
      </c>
      <c r="J49" s="35">
        <v>30</v>
      </c>
      <c r="K49" s="35">
        <v>40</v>
      </c>
      <c r="L49" s="35">
        <v>20</v>
      </c>
      <c r="M49" s="25">
        <v>5</v>
      </c>
      <c r="N49" s="25">
        <v>12</v>
      </c>
      <c r="R49" s="30">
        <f t="shared" si="0"/>
        <v>17</v>
      </c>
      <c r="S49" s="37">
        <v>1</v>
      </c>
      <c r="T49" s="30">
        <f t="shared" si="10"/>
        <v>16.802285714285716</v>
      </c>
      <c r="U49" s="37">
        <v>1</v>
      </c>
      <c r="V49" s="30">
        <f t="shared" si="11"/>
        <v>22.423619047619052</v>
      </c>
      <c r="W49" s="25">
        <v>63</v>
      </c>
      <c r="X49" s="31">
        <f t="shared" si="1"/>
        <v>191.76000000000002</v>
      </c>
      <c r="Y49" s="25">
        <v>141</v>
      </c>
      <c r="Z49" s="25">
        <v>12</v>
      </c>
      <c r="AA49" s="25">
        <v>125</v>
      </c>
      <c r="AB49" s="37">
        <v>1</v>
      </c>
      <c r="AC49" s="30">
        <f t="shared" si="12"/>
        <v>200</v>
      </c>
      <c r="AD49" s="31">
        <f t="shared" si="2"/>
        <v>2</v>
      </c>
      <c r="AE49" s="31">
        <f t="shared" si="3"/>
        <v>8</v>
      </c>
      <c r="AF49" s="31" t="str">
        <f t="shared" si="4"/>
        <v/>
      </c>
      <c r="AG49" s="31" t="str">
        <f t="shared" si="5"/>
        <v/>
      </c>
      <c r="AH49" s="31" t="str">
        <f t="shared" si="6"/>
        <v/>
      </c>
      <c r="AI49" s="31" t="str">
        <f t="shared" si="7"/>
        <v/>
      </c>
      <c r="AJ49" s="25">
        <v>10</v>
      </c>
      <c r="AK49" s="25">
        <v>0</v>
      </c>
      <c r="AL49" s="25">
        <v>0</v>
      </c>
      <c r="AM49" s="23" t="s">
        <v>110</v>
      </c>
      <c r="AN49" s="23" t="s">
        <v>92</v>
      </c>
      <c r="AO49" s="25" t="s">
        <v>108</v>
      </c>
      <c r="AR49" s="32" t="str">
        <f t="shared" si="8"/>
        <v>2 doors</v>
      </c>
      <c r="AT49" s="23" t="s">
        <v>32</v>
      </c>
      <c r="AU49" s="23" t="str">
        <f t="shared" si="13"/>
        <v>CC</v>
      </c>
      <c r="AV49" s="34">
        <f t="shared" si="9"/>
        <v>840</v>
      </c>
      <c r="AW49" s="23">
        <v>8</v>
      </c>
      <c r="AX49" s="23">
        <v>40</v>
      </c>
      <c r="AY49" s="23">
        <v>0</v>
      </c>
    </row>
    <row r="50" spans="1:51">
      <c r="A50" s="25" t="s">
        <v>108</v>
      </c>
      <c r="D50" s="23">
        <v>2</v>
      </c>
      <c r="E50" s="25" t="s">
        <v>95</v>
      </c>
      <c r="F50" s="25" t="s">
        <v>95</v>
      </c>
      <c r="G50" s="23" t="s">
        <v>27</v>
      </c>
      <c r="H50" s="23" t="s">
        <v>100</v>
      </c>
      <c r="I50" s="25">
        <v>1969</v>
      </c>
      <c r="J50" s="35">
        <v>30</v>
      </c>
      <c r="K50" s="35">
        <v>40</v>
      </c>
      <c r="L50" s="35">
        <v>20</v>
      </c>
      <c r="M50" s="25">
        <v>5</v>
      </c>
      <c r="N50" s="25">
        <v>12</v>
      </c>
      <c r="R50" s="30">
        <f t="shared" si="0"/>
        <v>17</v>
      </c>
      <c r="S50" s="37">
        <v>1</v>
      </c>
      <c r="T50" s="30">
        <f t="shared" si="10"/>
        <v>16.802285714285716</v>
      </c>
      <c r="U50" s="37">
        <v>1</v>
      </c>
      <c r="V50" s="30">
        <f t="shared" si="11"/>
        <v>22.423619047619052</v>
      </c>
      <c r="W50" s="25">
        <v>63</v>
      </c>
      <c r="X50" s="31">
        <f t="shared" si="1"/>
        <v>191.76000000000002</v>
      </c>
      <c r="Y50" s="25">
        <v>141</v>
      </c>
      <c r="Z50" s="25">
        <v>12</v>
      </c>
      <c r="AA50" s="25">
        <v>125</v>
      </c>
      <c r="AB50" s="37">
        <v>1</v>
      </c>
      <c r="AC50" s="30">
        <f t="shared" si="12"/>
        <v>200</v>
      </c>
      <c r="AD50" s="31">
        <f t="shared" si="2"/>
        <v>2</v>
      </c>
      <c r="AE50" s="31">
        <f t="shared" si="3"/>
        <v>8</v>
      </c>
      <c r="AF50" s="31" t="str">
        <f t="shared" si="4"/>
        <v/>
      </c>
      <c r="AG50" s="31" t="str">
        <f t="shared" si="5"/>
        <v/>
      </c>
      <c r="AH50" s="31" t="str">
        <f t="shared" si="6"/>
        <v/>
      </c>
      <c r="AI50" s="31" t="str">
        <f t="shared" si="7"/>
        <v/>
      </c>
      <c r="AJ50" s="25">
        <v>10</v>
      </c>
      <c r="AK50" s="25">
        <v>0</v>
      </c>
      <c r="AL50" s="25">
        <v>0</v>
      </c>
      <c r="AM50" s="23" t="s">
        <v>110</v>
      </c>
      <c r="AN50" s="23" t="s">
        <v>92</v>
      </c>
      <c r="AO50" s="25" t="s">
        <v>108</v>
      </c>
      <c r="AR50" s="32" t="str">
        <f t="shared" si="8"/>
        <v>2 doors</v>
      </c>
      <c r="AT50" s="23" t="s">
        <v>32</v>
      </c>
      <c r="AU50" s="23" t="str">
        <f t="shared" si="13"/>
        <v>Hungary</v>
      </c>
      <c r="AV50" s="34">
        <f t="shared" si="9"/>
        <v>840.01</v>
      </c>
      <c r="AW50" s="23">
        <v>8</v>
      </c>
      <c r="AX50" s="23">
        <v>40</v>
      </c>
      <c r="AY50" s="23">
        <v>1</v>
      </c>
    </row>
    <row r="51" spans="1:51">
      <c r="A51" s="25">
        <v>180</v>
      </c>
      <c r="D51" s="23">
        <v>4</v>
      </c>
      <c r="E51" s="25" t="s">
        <v>30</v>
      </c>
      <c r="F51" s="25" t="s">
        <v>310</v>
      </c>
      <c r="G51" s="23" t="s">
        <v>27</v>
      </c>
      <c r="H51" s="23" t="s">
        <v>143</v>
      </c>
      <c r="I51" s="25">
        <v>1966</v>
      </c>
      <c r="J51" s="35">
        <v>30</v>
      </c>
      <c r="K51" s="35">
        <v>40</v>
      </c>
      <c r="L51" s="35">
        <v>20</v>
      </c>
      <c r="M51" s="25">
        <v>8</v>
      </c>
      <c r="N51" s="25">
        <v>10</v>
      </c>
      <c r="O51" s="25">
        <v>8</v>
      </c>
      <c r="P51" s="25">
        <v>15</v>
      </c>
      <c r="R51" s="30">
        <f t="shared" si="0"/>
        <v>41</v>
      </c>
      <c r="S51" s="37">
        <v>1</v>
      </c>
      <c r="T51" s="30">
        <f t="shared" si="10"/>
        <v>18.516571428571428</v>
      </c>
      <c r="U51" s="37">
        <v>1</v>
      </c>
      <c r="V51" s="30">
        <f t="shared" si="11"/>
        <v>24.517904761904763</v>
      </c>
      <c r="W51" s="25">
        <v>63</v>
      </c>
      <c r="X51" s="31">
        <f t="shared" si="1"/>
        <v>191.76000000000002</v>
      </c>
      <c r="Y51" s="25">
        <v>141</v>
      </c>
      <c r="Z51" s="25">
        <v>12</v>
      </c>
      <c r="AA51" s="25">
        <v>182</v>
      </c>
      <c r="AB51" s="37">
        <v>1</v>
      </c>
      <c r="AC51" s="30">
        <f t="shared" si="12"/>
        <v>200</v>
      </c>
      <c r="AD51" s="31">
        <f t="shared" si="2"/>
        <v>8</v>
      </c>
      <c r="AE51" s="31" t="str">
        <f t="shared" si="3"/>
        <v/>
      </c>
      <c r="AF51" s="31">
        <f t="shared" si="4"/>
        <v>7</v>
      </c>
      <c r="AG51" s="31" t="str">
        <f t="shared" si="5"/>
        <v/>
      </c>
      <c r="AH51" s="31" t="str">
        <f t="shared" si="6"/>
        <v/>
      </c>
      <c r="AI51" s="31" t="str">
        <f t="shared" si="7"/>
        <v/>
      </c>
      <c r="AJ51" s="25">
        <v>8</v>
      </c>
      <c r="AK51" s="25">
        <v>7</v>
      </c>
      <c r="AL51" s="25">
        <v>0</v>
      </c>
      <c r="AM51" s="23" t="s">
        <v>110</v>
      </c>
      <c r="AN51" s="23" t="s">
        <v>92</v>
      </c>
      <c r="AO51" s="25">
        <v>180</v>
      </c>
      <c r="AR51" s="32" t="str">
        <f t="shared" si="8"/>
        <v>4 doors</v>
      </c>
      <c r="AT51" s="23" t="s">
        <v>32</v>
      </c>
      <c r="AU51" s="23" t="str">
        <f t="shared" si="13"/>
        <v>CC</v>
      </c>
      <c r="AV51" s="34">
        <f t="shared" si="9"/>
        <v>860</v>
      </c>
      <c r="AW51" s="23">
        <v>8</v>
      </c>
      <c r="AX51" s="23">
        <v>60</v>
      </c>
      <c r="AY51" s="23">
        <v>0</v>
      </c>
    </row>
    <row r="52" spans="1:51">
      <c r="A52" s="25">
        <v>180</v>
      </c>
      <c r="D52" s="23">
        <v>4</v>
      </c>
      <c r="E52" s="25" t="s">
        <v>85</v>
      </c>
      <c r="F52" s="25" t="s">
        <v>85</v>
      </c>
      <c r="G52" s="23" t="s">
        <v>27</v>
      </c>
      <c r="H52" s="23" t="s">
        <v>143</v>
      </c>
      <c r="I52" s="25">
        <v>1966</v>
      </c>
      <c r="J52" s="35">
        <v>30</v>
      </c>
      <c r="K52" s="35">
        <v>40</v>
      </c>
      <c r="L52" s="35">
        <v>20</v>
      </c>
      <c r="M52" s="25">
        <v>8</v>
      </c>
      <c r="N52" s="25">
        <v>10</v>
      </c>
      <c r="O52" s="25">
        <v>8</v>
      </c>
      <c r="P52" s="25">
        <v>15</v>
      </c>
      <c r="R52" s="30">
        <f t="shared" si="0"/>
        <v>41</v>
      </c>
      <c r="S52" s="37">
        <v>1</v>
      </c>
      <c r="T52" s="30">
        <f t="shared" si="10"/>
        <v>18.516571428571428</v>
      </c>
      <c r="U52" s="37">
        <v>1</v>
      </c>
      <c r="V52" s="30">
        <f t="shared" si="11"/>
        <v>24.517904761904763</v>
      </c>
      <c r="W52" s="25">
        <v>63</v>
      </c>
      <c r="X52" s="31">
        <f t="shared" si="1"/>
        <v>191.76000000000002</v>
      </c>
      <c r="Y52" s="25">
        <v>141</v>
      </c>
      <c r="Z52" s="25">
        <v>12</v>
      </c>
      <c r="AA52" s="25">
        <v>182</v>
      </c>
      <c r="AB52" s="37">
        <v>1</v>
      </c>
      <c r="AC52" s="30">
        <f t="shared" si="12"/>
        <v>200</v>
      </c>
      <c r="AD52" s="31">
        <f t="shared" si="2"/>
        <v>8</v>
      </c>
      <c r="AE52" s="31" t="str">
        <f t="shared" si="3"/>
        <v/>
      </c>
      <c r="AF52" s="31">
        <f t="shared" si="4"/>
        <v>7</v>
      </c>
      <c r="AG52" s="31" t="str">
        <f t="shared" si="5"/>
        <v/>
      </c>
      <c r="AH52" s="31" t="str">
        <f t="shared" si="6"/>
        <v/>
      </c>
      <c r="AI52" s="31" t="str">
        <f t="shared" si="7"/>
        <v/>
      </c>
      <c r="AJ52" s="25">
        <v>8</v>
      </c>
      <c r="AK52" s="25">
        <v>7</v>
      </c>
      <c r="AL52" s="25">
        <v>0</v>
      </c>
      <c r="AM52" s="23" t="s">
        <v>110</v>
      </c>
      <c r="AN52" s="23" t="s">
        <v>92</v>
      </c>
      <c r="AO52" s="25">
        <v>180</v>
      </c>
      <c r="AR52" s="32" t="str">
        <f t="shared" si="8"/>
        <v>4 doors</v>
      </c>
      <c r="AT52" s="23" t="s">
        <v>32</v>
      </c>
      <c r="AU52" s="23" t="str">
        <f t="shared" si="13"/>
        <v>Hungary</v>
      </c>
      <c r="AV52" s="34">
        <f t="shared" si="9"/>
        <v>860.01</v>
      </c>
      <c r="AW52" s="23">
        <v>8</v>
      </c>
      <c r="AX52" s="23">
        <v>60</v>
      </c>
      <c r="AY52" s="23">
        <v>1</v>
      </c>
    </row>
    <row r="53" spans="1:51">
      <c r="A53" s="25">
        <v>210</v>
      </c>
      <c r="D53" s="23">
        <v>1</v>
      </c>
      <c r="E53" s="25" t="s">
        <v>30</v>
      </c>
      <c r="F53" s="25" t="s">
        <v>335</v>
      </c>
      <c r="G53" s="23" t="s">
        <v>27</v>
      </c>
      <c r="H53" s="23" t="s">
        <v>144</v>
      </c>
      <c r="I53" s="25">
        <v>1969</v>
      </c>
      <c r="J53" s="35">
        <v>30</v>
      </c>
      <c r="K53" s="35">
        <v>40</v>
      </c>
      <c r="L53" s="35">
        <v>20</v>
      </c>
      <c r="M53" s="25">
        <v>5</v>
      </c>
      <c r="R53" s="30">
        <f t="shared" si="0"/>
        <v>5</v>
      </c>
      <c r="S53" s="37">
        <v>1</v>
      </c>
      <c r="T53" s="30">
        <f t="shared" si="10"/>
        <v>11.065142857142858</v>
      </c>
      <c r="U53" s="37">
        <v>1</v>
      </c>
      <c r="V53" s="30">
        <f t="shared" si="11"/>
        <v>15.746476190476189</v>
      </c>
      <c r="W53" s="25">
        <v>107</v>
      </c>
      <c r="X53" s="31">
        <f t="shared" si="1"/>
        <v>144.16</v>
      </c>
      <c r="Y53" s="25">
        <v>106</v>
      </c>
      <c r="Z53" s="25">
        <v>7</v>
      </c>
      <c r="AA53" s="25">
        <v>41</v>
      </c>
      <c r="AB53" s="37">
        <v>1</v>
      </c>
      <c r="AC53" s="30">
        <f t="shared" si="12"/>
        <v>150</v>
      </c>
      <c r="AD53" s="31">
        <f t="shared" si="2"/>
        <v>7</v>
      </c>
      <c r="AE53" s="31" t="str">
        <f t="shared" si="3"/>
        <v/>
      </c>
      <c r="AF53" s="31" t="str">
        <f t="shared" si="4"/>
        <v/>
      </c>
      <c r="AG53" s="31" t="str">
        <f t="shared" si="5"/>
        <v/>
      </c>
      <c r="AH53" s="31" t="str">
        <f t="shared" si="6"/>
        <v/>
      </c>
      <c r="AI53" s="31" t="str">
        <f t="shared" si="7"/>
        <v/>
      </c>
      <c r="AJ53" s="25">
        <v>7</v>
      </c>
      <c r="AK53" s="25">
        <v>0</v>
      </c>
      <c r="AL53" s="25">
        <v>0</v>
      </c>
      <c r="AM53" s="23" t="s">
        <v>206</v>
      </c>
      <c r="AN53" s="23" t="s">
        <v>92</v>
      </c>
      <c r="AO53" s="25">
        <v>210</v>
      </c>
      <c r="AR53" s="32" t="str">
        <f t="shared" si="8"/>
        <v>1 door</v>
      </c>
      <c r="AT53" s="23" t="s">
        <v>47</v>
      </c>
      <c r="AU53" s="23" t="str">
        <f t="shared" si="13"/>
        <v>CC</v>
      </c>
      <c r="AV53" s="34">
        <f t="shared" si="9"/>
        <v>1000</v>
      </c>
      <c r="AW53" s="23">
        <v>10</v>
      </c>
      <c r="AX53" s="23">
        <v>0</v>
      </c>
      <c r="AY53" s="23">
        <v>0</v>
      </c>
    </row>
    <row r="54" spans="1:51">
      <c r="A54" s="25">
        <v>211</v>
      </c>
      <c r="D54" s="23">
        <v>1</v>
      </c>
      <c r="E54" s="25" t="s">
        <v>30</v>
      </c>
      <c r="F54" s="25" t="s">
        <v>304</v>
      </c>
      <c r="G54" s="23" t="s">
        <v>27</v>
      </c>
      <c r="H54" s="23" t="s">
        <v>145</v>
      </c>
      <c r="I54" s="25">
        <v>1975</v>
      </c>
      <c r="J54" s="35">
        <v>30</v>
      </c>
      <c r="K54" s="35">
        <v>40</v>
      </c>
      <c r="L54" s="35">
        <v>20</v>
      </c>
      <c r="M54" s="25">
        <v>5</v>
      </c>
      <c r="R54" s="30">
        <f t="shared" si="0"/>
        <v>5</v>
      </c>
      <c r="S54" s="37">
        <v>1</v>
      </c>
      <c r="T54" s="30">
        <f t="shared" si="10"/>
        <v>10.113142857142858</v>
      </c>
      <c r="U54" s="37">
        <v>1</v>
      </c>
      <c r="V54" s="30">
        <f t="shared" si="11"/>
        <v>13.815809523809525</v>
      </c>
      <c r="W54" s="25">
        <v>90</v>
      </c>
      <c r="X54" s="31">
        <f t="shared" si="1"/>
        <v>125.12</v>
      </c>
      <c r="Y54" s="25">
        <v>92</v>
      </c>
      <c r="Z54" s="25">
        <v>7</v>
      </c>
      <c r="AA54" s="25">
        <v>37</v>
      </c>
      <c r="AB54" s="37">
        <v>1</v>
      </c>
      <c r="AC54" s="30">
        <f t="shared" si="12"/>
        <v>185</v>
      </c>
      <c r="AD54" s="31">
        <f t="shared" si="2"/>
        <v>8</v>
      </c>
      <c r="AE54" s="31" t="str">
        <f t="shared" si="3"/>
        <v/>
      </c>
      <c r="AF54" s="31" t="str">
        <f t="shared" si="4"/>
        <v/>
      </c>
      <c r="AG54" s="31" t="str">
        <f t="shared" si="5"/>
        <v/>
      </c>
      <c r="AH54" s="31" t="str">
        <f t="shared" si="6"/>
        <v/>
      </c>
      <c r="AI54" s="31" t="str">
        <f t="shared" si="7"/>
        <v/>
      </c>
      <c r="AJ54" s="25">
        <v>8</v>
      </c>
      <c r="AK54" s="25">
        <v>0</v>
      </c>
      <c r="AL54" s="25">
        <v>0</v>
      </c>
      <c r="AM54" s="23" t="s">
        <v>206</v>
      </c>
      <c r="AN54" s="23" t="s">
        <v>92</v>
      </c>
      <c r="AO54" s="25">
        <v>211</v>
      </c>
      <c r="AR54" s="32" t="str">
        <f t="shared" si="8"/>
        <v>1 door</v>
      </c>
      <c r="AT54" s="23" t="s">
        <v>33</v>
      </c>
      <c r="AU54" s="23" t="str">
        <f t="shared" si="13"/>
        <v>CC</v>
      </c>
      <c r="AV54" s="34">
        <f t="shared" si="9"/>
        <v>1020</v>
      </c>
      <c r="AW54" s="23">
        <v>10</v>
      </c>
      <c r="AX54" s="23">
        <v>20</v>
      </c>
      <c r="AY54" s="23">
        <v>0</v>
      </c>
    </row>
    <row r="55" spans="1:51">
      <c r="A55" s="25">
        <v>212</v>
      </c>
      <c r="D55" s="23">
        <v>1</v>
      </c>
      <c r="E55" s="25" t="s">
        <v>30</v>
      </c>
      <c r="F55" s="25" t="s">
        <v>302</v>
      </c>
      <c r="G55" s="23" t="s">
        <v>27</v>
      </c>
      <c r="H55" s="23" t="s">
        <v>146</v>
      </c>
      <c r="I55" s="25">
        <v>1976</v>
      </c>
      <c r="J55" s="35">
        <v>30</v>
      </c>
      <c r="K55" s="35">
        <v>40</v>
      </c>
      <c r="L55" s="35">
        <v>20</v>
      </c>
      <c r="M55" s="25">
        <v>5</v>
      </c>
      <c r="N55" s="25">
        <v>5</v>
      </c>
      <c r="R55" s="30">
        <f t="shared" si="0"/>
        <v>10</v>
      </c>
      <c r="S55" s="37">
        <v>1</v>
      </c>
      <c r="T55" s="30">
        <f t="shared" si="10"/>
        <v>12.670285714285713</v>
      </c>
      <c r="U55" s="37">
        <v>1</v>
      </c>
      <c r="V55" s="30">
        <f t="shared" si="11"/>
        <v>17.632952380952382</v>
      </c>
      <c r="W55" s="25">
        <v>97</v>
      </c>
      <c r="X55" s="31">
        <f t="shared" si="1"/>
        <v>159.12</v>
      </c>
      <c r="Y55" s="25">
        <v>117</v>
      </c>
      <c r="Z55" s="25">
        <v>8</v>
      </c>
      <c r="AA55" s="25">
        <v>31</v>
      </c>
      <c r="AB55" s="37">
        <v>1</v>
      </c>
      <c r="AC55" s="30">
        <f t="shared" si="12"/>
        <v>100</v>
      </c>
      <c r="AD55" s="31">
        <f t="shared" si="2"/>
        <v>8</v>
      </c>
      <c r="AE55" s="31" t="str">
        <f t="shared" si="3"/>
        <v/>
      </c>
      <c r="AF55" s="31" t="str">
        <f t="shared" si="4"/>
        <v/>
      </c>
      <c r="AG55" s="31" t="str">
        <f t="shared" si="5"/>
        <v/>
      </c>
      <c r="AH55" s="31" t="str">
        <f t="shared" si="6"/>
        <v/>
      </c>
      <c r="AI55" s="31" t="str">
        <f t="shared" si="7"/>
        <v/>
      </c>
      <c r="AJ55" s="25">
        <v>8</v>
      </c>
      <c r="AK55" s="25">
        <v>0</v>
      </c>
      <c r="AL55" s="25">
        <v>0</v>
      </c>
      <c r="AM55" s="23" t="s">
        <v>206</v>
      </c>
      <c r="AN55" s="23" t="s">
        <v>92</v>
      </c>
      <c r="AO55" s="25">
        <v>212</v>
      </c>
      <c r="AR55" s="32" t="str">
        <f t="shared" si="8"/>
        <v>2 doors</v>
      </c>
      <c r="AT55" s="23" t="s">
        <v>48</v>
      </c>
      <c r="AU55" s="23" t="str">
        <f t="shared" si="13"/>
        <v>CC</v>
      </c>
      <c r="AV55" s="34">
        <f t="shared" si="9"/>
        <v>1040</v>
      </c>
      <c r="AW55" s="23">
        <v>10</v>
      </c>
      <c r="AX55" s="23">
        <v>40</v>
      </c>
      <c r="AY55" s="23">
        <v>0</v>
      </c>
    </row>
    <row r="56" spans="1:51">
      <c r="A56" s="25">
        <v>222</v>
      </c>
      <c r="D56" s="23">
        <v>3</v>
      </c>
      <c r="E56" s="25" t="s">
        <v>30</v>
      </c>
      <c r="F56" s="25" t="s">
        <v>301</v>
      </c>
      <c r="G56" s="23" t="s">
        <v>27</v>
      </c>
      <c r="H56" s="23" t="s">
        <v>147</v>
      </c>
      <c r="I56" s="25">
        <v>1975</v>
      </c>
      <c r="J56" s="35">
        <v>30</v>
      </c>
      <c r="K56" s="35">
        <v>40</v>
      </c>
      <c r="L56" s="35">
        <v>20</v>
      </c>
      <c r="M56" s="25">
        <v>8</v>
      </c>
      <c r="N56" s="25">
        <v>12</v>
      </c>
      <c r="O56" s="25">
        <v>6</v>
      </c>
      <c r="R56" s="30">
        <f t="shared" si="0"/>
        <v>26</v>
      </c>
      <c r="S56" s="37">
        <v>1</v>
      </c>
      <c r="T56" s="30">
        <f t="shared" si="10"/>
        <v>13.157142857142858</v>
      </c>
      <c r="U56" s="37">
        <v>1</v>
      </c>
      <c r="V56" s="30">
        <f t="shared" si="11"/>
        <v>16.87047619047619</v>
      </c>
      <c r="W56" s="25">
        <v>78</v>
      </c>
      <c r="X56" s="31">
        <f t="shared" si="1"/>
        <v>136</v>
      </c>
      <c r="Y56" s="25">
        <v>100</v>
      </c>
      <c r="Z56" s="25">
        <v>9</v>
      </c>
      <c r="AA56" s="25">
        <v>77</v>
      </c>
      <c r="AB56" s="37">
        <v>1</v>
      </c>
      <c r="AC56" s="30">
        <f t="shared" si="12"/>
        <v>200</v>
      </c>
      <c r="AD56" s="31">
        <f t="shared" si="2"/>
        <v>8</v>
      </c>
      <c r="AE56" s="31" t="str">
        <f t="shared" si="3"/>
        <v/>
      </c>
      <c r="AF56" s="31" t="str">
        <f t="shared" si="4"/>
        <v/>
      </c>
      <c r="AG56" s="31" t="str">
        <f t="shared" si="5"/>
        <v/>
      </c>
      <c r="AH56" s="31" t="str">
        <f t="shared" si="6"/>
        <v/>
      </c>
      <c r="AI56" s="31" t="str">
        <f t="shared" si="7"/>
        <v/>
      </c>
      <c r="AJ56" s="25">
        <v>8</v>
      </c>
      <c r="AK56" s="25">
        <v>0</v>
      </c>
      <c r="AL56" s="25">
        <v>0</v>
      </c>
      <c r="AM56" s="23" t="s">
        <v>206</v>
      </c>
      <c r="AN56" s="23" t="s">
        <v>92</v>
      </c>
      <c r="AO56" s="25">
        <v>222</v>
      </c>
      <c r="AR56" s="32" t="str">
        <f t="shared" si="8"/>
        <v>3 doors</v>
      </c>
      <c r="AT56" s="23" t="s">
        <v>32</v>
      </c>
      <c r="AU56" s="23" t="str">
        <f t="shared" si="13"/>
        <v>CC</v>
      </c>
      <c r="AV56" s="34">
        <f t="shared" si="9"/>
        <v>1060</v>
      </c>
      <c r="AW56" s="23">
        <v>10</v>
      </c>
      <c r="AX56" s="23">
        <v>60</v>
      </c>
      <c r="AY56" s="23">
        <v>0</v>
      </c>
    </row>
    <row r="57" spans="1:51">
      <c r="A57" s="25">
        <v>250</v>
      </c>
      <c r="D57" s="23">
        <v>1</v>
      </c>
      <c r="E57" s="25" t="s">
        <v>30</v>
      </c>
      <c r="F57" s="25" t="s">
        <v>314</v>
      </c>
      <c r="G57" s="23" t="s">
        <v>27</v>
      </c>
      <c r="H57" s="23" t="s">
        <v>148</v>
      </c>
      <c r="I57" s="25">
        <v>1967</v>
      </c>
      <c r="J57" s="35">
        <v>30</v>
      </c>
      <c r="K57" s="35">
        <v>40</v>
      </c>
      <c r="L57" s="35">
        <v>20</v>
      </c>
      <c r="M57" s="25">
        <v>6</v>
      </c>
      <c r="R57" s="30">
        <f t="shared" si="0"/>
        <v>6</v>
      </c>
      <c r="S57" s="37">
        <v>1</v>
      </c>
      <c r="T57" s="30">
        <f t="shared" si="10"/>
        <v>16.944571428571429</v>
      </c>
      <c r="U57" s="37">
        <v>1</v>
      </c>
      <c r="V57" s="30">
        <f t="shared" si="11"/>
        <v>23.900571428571428</v>
      </c>
      <c r="W57" s="25">
        <v>102</v>
      </c>
      <c r="X57" s="31">
        <f t="shared" si="1"/>
        <v>220.32000000000002</v>
      </c>
      <c r="Y57" s="25">
        <v>162</v>
      </c>
      <c r="Z57" s="25">
        <v>11</v>
      </c>
      <c r="AA57" s="25">
        <v>51</v>
      </c>
      <c r="AB57" s="37">
        <v>1</v>
      </c>
      <c r="AC57" s="30">
        <f t="shared" si="12"/>
        <v>100</v>
      </c>
      <c r="AD57" s="31">
        <f t="shared" si="2"/>
        <v>2</v>
      </c>
      <c r="AE57" s="31">
        <f t="shared" si="3"/>
        <v>8</v>
      </c>
      <c r="AF57" s="31" t="str">
        <f t="shared" si="4"/>
        <v/>
      </c>
      <c r="AG57" s="31" t="str">
        <f t="shared" si="5"/>
        <v/>
      </c>
      <c r="AH57" s="31" t="str">
        <f t="shared" si="6"/>
        <v/>
      </c>
      <c r="AI57" s="31" t="str">
        <f t="shared" si="7"/>
        <v/>
      </c>
      <c r="AJ57" s="25">
        <v>10</v>
      </c>
      <c r="AK57" s="25">
        <v>0</v>
      </c>
      <c r="AL57" s="25">
        <v>0</v>
      </c>
      <c r="AM57" s="23" t="s">
        <v>206</v>
      </c>
      <c r="AN57" s="23" t="s">
        <v>92</v>
      </c>
      <c r="AO57" s="25">
        <v>250</v>
      </c>
      <c r="AR57" s="32" t="str">
        <f t="shared" si="8"/>
        <v>1 door</v>
      </c>
      <c r="AT57" s="23" t="s">
        <v>48</v>
      </c>
      <c r="AU57" s="23" t="str">
        <f t="shared" si="13"/>
        <v>CC</v>
      </c>
      <c r="AV57" s="34">
        <f t="shared" si="9"/>
        <v>1100</v>
      </c>
      <c r="AW57" s="23">
        <v>11</v>
      </c>
      <c r="AX57" s="23">
        <v>0</v>
      </c>
      <c r="AY57" s="23">
        <v>0</v>
      </c>
    </row>
    <row r="58" spans="1:51">
      <c r="A58" s="25">
        <v>250</v>
      </c>
      <c r="D58" s="23">
        <v>2</v>
      </c>
      <c r="E58" s="25" t="s">
        <v>30</v>
      </c>
      <c r="F58" s="25" t="s">
        <v>314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si="0"/>
        <v>12</v>
      </c>
      <c r="S58" s="37">
        <v>1</v>
      </c>
      <c r="T58" s="30">
        <f t="shared" si="10"/>
        <v>18.869142857142858</v>
      </c>
      <c r="U58" s="37">
        <v>1</v>
      </c>
      <c r="V58" s="30">
        <f t="shared" si="11"/>
        <v>27.321142857142856</v>
      </c>
      <c r="W58" s="25">
        <v>100</v>
      </c>
      <c r="X58" s="31">
        <f t="shared" si="1"/>
        <v>250.24</v>
      </c>
      <c r="Y58" s="25">
        <v>184</v>
      </c>
      <c r="Z58" s="25">
        <v>11</v>
      </c>
      <c r="AA58" s="25">
        <v>51</v>
      </c>
      <c r="AB58" s="37">
        <v>1</v>
      </c>
      <c r="AC58" s="30">
        <f t="shared" si="12"/>
        <v>150</v>
      </c>
      <c r="AD58" s="31">
        <f t="shared" si="2"/>
        <v>2</v>
      </c>
      <c r="AE58" s="31">
        <f t="shared" si="3"/>
        <v>8</v>
      </c>
      <c r="AF58" s="31" t="str">
        <f t="shared" si="4"/>
        <v/>
      </c>
      <c r="AG58" s="31" t="str">
        <f t="shared" si="5"/>
        <v/>
      </c>
      <c r="AH58" s="31" t="str">
        <f t="shared" si="6"/>
        <v/>
      </c>
      <c r="AI58" s="31" t="str">
        <f t="shared" si="7"/>
        <v/>
      </c>
      <c r="AJ58" s="25">
        <v>10</v>
      </c>
      <c r="AK58" s="25">
        <v>0</v>
      </c>
      <c r="AL58" s="25">
        <v>0</v>
      </c>
      <c r="AM58" s="23" t="s">
        <v>206</v>
      </c>
      <c r="AN58" s="23" t="s">
        <v>92</v>
      </c>
      <c r="AO58" s="25">
        <v>250</v>
      </c>
      <c r="AR58" s="32" t="str">
        <f t="shared" si="8"/>
        <v>2 doors</v>
      </c>
      <c r="AS58" s="23" t="s">
        <v>230</v>
      </c>
      <c r="AT58" s="23" t="s">
        <v>47</v>
      </c>
      <c r="AU58" s="23" t="str">
        <f t="shared" si="13"/>
        <v>CC</v>
      </c>
      <c r="AV58" s="34">
        <f t="shared" si="9"/>
        <v>1120</v>
      </c>
      <c r="AW58" s="23">
        <v>11</v>
      </c>
      <c r="AX58" s="23">
        <v>20</v>
      </c>
      <c r="AY58" s="23">
        <v>0</v>
      </c>
    </row>
    <row r="59" spans="1:51">
      <c r="A59" s="25">
        <v>250</v>
      </c>
      <c r="D59" s="23">
        <v>2</v>
      </c>
      <c r="E59" s="25" t="s">
        <v>42</v>
      </c>
      <c r="F59" s="25" t="s">
        <v>304</v>
      </c>
      <c r="G59" s="23" t="s">
        <v>27</v>
      </c>
      <c r="H59" s="23" t="s">
        <v>149</v>
      </c>
      <c r="I59" s="25">
        <v>1970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0"/>
        <v>12</v>
      </c>
      <c r="S59" s="37">
        <v>1</v>
      </c>
      <c r="T59" s="30">
        <f t="shared" si="10"/>
        <v>18.869142857142858</v>
      </c>
      <c r="U59" s="37">
        <v>1</v>
      </c>
      <c r="V59" s="30">
        <f t="shared" si="11"/>
        <v>27.321142857142856</v>
      </c>
      <c r="W59" s="25">
        <v>100</v>
      </c>
      <c r="X59" s="31">
        <f t="shared" si="1"/>
        <v>250.24</v>
      </c>
      <c r="Y59" s="25">
        <v>184</v>
      </c>
      <c r="Z59" s="25">
        <v>11</v>
      </c>
      <c r="AA59" s="25">
        <v>51</v>
      </c>
      <c r="AB59" s="37">
        <v>1</v>
      </c>
      <c r="AC59" s="30">
        <f t="shared" si="12"/>
        <v>150</v>
      </c>
      <c r="AD59" s="31">
        <f t="shared" si="2"/>
        <v>2</v>
      </c>
      <c r="AE59" s="31">
        <f t="shared" si="3"/>
        <v>8</v>
      </c>
      <c r="AF59" s="31" t="str">
        <f t="shared" si="4"/>
        <v/>
      </c>
      <c r="AG59" s="31" t="str">
        <f t="shared" si="5"/>
        <v/>
      </c>
      <c r="AH59" s="31" t="str">
        <f t="shared" si="6"/>
        <v/>
      </c>
      <c r="AI59" s="31" t="str">
        <f t="shared" si="7"/>
        <v/>
      </c>
      <c r="AJ59" s="25">
        <v>10</v>
      </c>
      <c r="AK59" s="25">
        <v>0</v>
      </c>
      <c r="AL59" s="25">
        <v>0</v>
      </c>
      <c r="AM59" s="23" t="s">
        <v>206</v>
      </c>
      <c r="AN59" s="23" t="s">
        <v>92</v>
      </c>
      <c r="AO59" s="25">
        <v>250</v>
      </c>
      <c r="AR59" s="32" t="str">
        <f t="shared" si="8"/>
        <v>2 doors</v>
      </c>
      <c r="AS59" s="23" t="s">
        <v>230</v>
      </c>
      <c r="AT59" s="23" t="s">
        <v>47</v>
      </c>
      <c r="AU59" s="23" t="str">
        <f t="shared" si="13"/>
        <v>CC</v>
      </c>
      <c r="AV59" s="34">
        <f t="shared" si="9"/>
        <v>1120.01</v>
      </c>
      <c r="AW59" s="23">
        <v>11</v>
      </c>
      <c r="AX59" s="23">
        <v>20</v>
      </c>
      <c r="AY59" s="23">
        <v>1</v>
      </c>
    </row>
    <row r="60" spans="1:51">
      <c r="A60" s="25">
        <v>250</v>
      </c>
      <c r="D60" s="23">
        <v>2</v>
      </c>
      <c r="E60" s="25" t="s">
        <v>43</v>
      </c>
      <c r="F60" s="25" t="s">
        <v>308</v>
      </c>
      <c r="G60" s="23" t="s">
        <v>27</v>
      </c>
      <c r="H60" s="23" t="s">
        <v>149</v>
      </c>
      <c r="I60" s="25">
        <v>1970</v>
      </c>
      <c r="J60" s="35">
        <v>30</v>
      </c>
      <c r="K60" s="35">
        <v>40</v>
      </c>
      <c r="L60" s="35">
        <v>20</v>
      </c>
      <c r="M60" s="25">
        <v>6</v>
      </c>
      <c r="N60" s="25">
        <v>6</v>
      </c>
      <c r="R60" s="30">
        <f t="shared" si="0"/>
        <v>12</v>
      </c>
      <c r="S60" s="37">
        <v>1</v>
      </c>
      <c r="T60" s="30">
        <f t="shared" si="10"/>
        <v>18.869142857142858</v>
      </c>
      <c r="U60" s="37">
        <v>1</v>
      </c>
      <c r="V60" s="30">
        <f t="shared" si="11"/>
        <v>27.321142857142856</v>
      </c>
      <c r="W60" s="25">
        <v>100</v>
      </c>
      <c r="X60" s="31">
        <f t="shared" si="1"/>
        <v>250.24</v>
      </c>
      <c r="Y60" s="25">
        <v>184</v>
      </c>
      <c r="Z60" s="25">
        <v>11</v>
      </c>
      <c r="AA60" s="25">
        <v>51</v>
      </c>
      <c r="AB60" s="37">
        <v>1</v>
      </c>
      <c r="AC60" s="30">
        <f t="shared" si="12"/>
        <v>150</v>
      </c>
      <c r="AD60" s="31">
        <f t="shared" si="2"/>
        <v>2</v>
      </c>
      <c r="AE60" s="31">
        <f t="shared" si="3"/>
        <v>8</v>
      </c>
      <c r="AF60" s="31" t="str">
        <f t="shared" si="4"/>
        <v/>
      </c>
      <c r="AG60" s="31" t="str">
        <f t="shared" si="5"/>
        <v/>
      </c>
      <c r="AH60" s="31" t="str">
        <f t="shared" si="6"/>
        <v/>
      </c>
      <c r="AI60" s="31" t="str">
        <f t="shared" si="7"/>
        <v/>
      </c>
      <c r="AJ60" s="25">
        <v>10</v>
      </c>
      <c r="AK60" s="25">
        <v>0</v>
      </c>
      <c r="AL60" s="25">
        <v>0</v>
      </c>
      <c r="AM60" s="23" t="s">
        <v>206</v>
      </c>
      <c r="AN60" s="23" t="s">
        <v>92</v>
      </c>
      <c r="AO60" s="25">
        <v>250</v>
      </c>
      <c r="AR60" s="32" t="str">
        <f t="shared" si="8"/>
        <v>2 doors</v>
      </c>
      <c r="AS60" s="23" t="s">
        <v>230</v>
      </c>
      <c r="AT60" s="23" t="s">
        <v>47</v>
      </c>
      <c r="AU60" s="23" t="str">
        <f t="shared" si="13"/>
        <v>CC</v>
      </c>
      <c r="AV60" s="34">
        <f t="shared" si="9"/>
        <v>1120.02</v>
      </c>
      <c r="AW60" s="23">
        <v>11</v>
      </c>
      <c r="AX60" s="23">
        <v>20</v>
      </c>
      <c r="AY60" s="23">
        <v>2</v>
      </c>
    </row>
    <row r="61" spans="1:51">
      <c r="A61" s="25">
        <v>250</v>
      </c>
      <c r="D61" s="23">
        <v>2</v>
      </c>
      <c r="E61" s="25" t="s">
        <v>46</v>
      </c>
      <c r="F61" s="25" t="s">
        <v>46</v>
      </c>
      <c r="G61" s="23" t="s">
        <v>27</v>
      </c>
      <c r="H61" s="23" t="s">
        <v>149</v>
      </c>
      <c r="I61" s="25">
        <v>1970</v>
      </c>
      <c r="J61" s="35">
        <v>30</v>
      </c>
      <c r="K61" s="35">
        <v>40</v>
      </c>
      <c r="L61" s="35">
        <v>20</v>
      </c>
      <c r="M61" s="25">
        <v>6</v>
      </c>
      <c r="N61" s="25">
        <v>6</v>
      </c>
      <c r="R61" s="30">
        <f t="shared" si="0"/>
        <v>12</v>
      </c>
      <c r="S61" s="37">
        <v>1</v>
      </c>
      <c r="T61" s="30">
        <f t="shared" si="10"/>
        <v>18.869142857142858</v>
      </c>
      <c r="U61" s="37">
        <v>1</v>
      </c>
      <c r="V61" s="30">
        <f t="shared" si="11"/>
        <v>27.321142857142856</v>
      </c>
      <c r="W61" s="25">
        <v>100</v>
      </c>
      <c r="X61" s="31">
        <f t="shared" si="1"/>
        <v>250.24</v>
      </c>
      <c r="Y61" s="25">
        <v>184</v>
      </c>
      <c r="Z61" s="25">
        <v>11</v>
      </c>
      <c r="AA61" s="25">
        <v>51</v>
      </c>
      <c r="AB61" s="37">
        <v>1</v>
      </c>
      <c r="AC61" s="30">
        <f t="shared" si="12"/>
        <v>150</v>
      </c>
      <c r="AD61" s="31">
        <f t="shared" si="2"/>
        <v>2</v>
      </c>
      <c r="AE61" s="31">
        <f t="shared" si="3"/>
        <v>8</v>
      </c>
      <c r="AF61" s="31" t="str">
        <f t="shared" si="4"/>
        <v/>
      </c>
      <c r="AG61" s="31" t="str">
        <f t="shared" si="5"/>
        <v/>
      </c>
      <c r="AH61" s="31" t="str">
        <f t="shared" si="6"/>
        <v/>
      </c>
      <c r="AI61" s="31" t="str">
        <f t="shared" si="7"/>
        <v/>
      </c>
      <c r="AJ61" s="25">
        <v>10</v>
      </c>
      <c r="AK61" s="25">
        <v>0</v>
      </c>
      <c r="AL61" s="25">
        <v>0</v>
      </c>
      <c r="AM61" s="23" t="s">
        <v>206</v>
      </c>
      <c r="AN61" s="23" t="s">
        <v>92</v>
      </c>
      <c r="AO61" s="25">
        <v>250</v>
      </c>
      <c r="AR61" s="32" t="str">
        <f t="shared" si="8"/>
        <v>2 doors</v>
      </c>
      <c r="AS61" s="23" t="s">
        <v>230</v>
      </c>
      <c r="AT61" s="23" t="s">
        <v>47</v>
      </c>
      <c r="AU61" s="23" t="str">
        <f t="shared" si="13"/>
        <v>Hungary</v>
      </c>
      <c r="AV61" s="34">
        <f t="shared" si="9"/>
        <v>1120.03</v>
      </c>
      <c r="AW61" s="23">
        <v>11</v>
      </c>
      <c r="AX61" s="23">
        <v>20</v>
      </c>
      <c r="AY61" s="23">
        <v>3</v>
      </c>
    </row>
    <row r="62" spans="1:51">
      <c r="A62" s="25">
        <v>253</v>
      </c>
      <c r="D62" s="23">
        <v>2</v>
      </c>
      <c r="E62" s="25" t="s">
        <v>30</v>
      </c>
      <c r="F62" s="25" t="s">
        <v>318</v>
      </c>
      <c r="G62" s="23" t="s">
        <v>27</v>
      </c>
      <c r="H62" s="23" t="s">
        <v>242</v>
      </c>
      <c r="I62" s="25">
        <v>1990</v>
      </c>
      <c r="J62" s="35">
        <v>30</v>
      </c>
      <c r="K62" s="35">
        <v>40</v>
      </c>
      <c r="L62" s="35">
        <v>20</v>
      </c>
      <c r="M62" s="25">
        <v>6</v>
      </c>
      <c r="N62" s="25">
        <v>6</v>
      </c>
      <c r="R62" s="30">
        <f t="shared" si="0"/>
        <v>12</v>
      </c>
      <c r="S62" s="37">
        <v>1.2</v>
      </c>
      <c r="T62" s="30">
        <f t="shared" si="10"/>
        <v>22.642971428571428</v>
      </c>
      <c r="U62" s="37">
        <v>1.1000000000000001</v>
      </c>
      <c r="V62" s="30">
        <f t="shared" si="11"/>
        <v>30.04592380952381</v>
      </c>
      <c r="W62" s="25">
        <v>100</v>
      </c>
      <c r="X62" s="31">
        <f t="shared" si="1"/>
        <v>250.24</v>
      </c>
      <c r="Y62" s="25">
        <v>184</v>
      </c>
      <c r="Z62" s="25">
        <v>11</v>
      </c>
      <c r="AA62" s="25">
        <v>50</v>
      </c>
      <c r="AB62" s="37">
        <v>0.8</v>
      </c>
      <c r="AC62" s="30">
        <f t="shared" si="12"/>
        <v>80</v>
      </c>
      <c r="AD62" s="31">
        <f t="shared" si="2"/>
        <v>2</v>
      </c>
      <c r="AE62" s="31">
        <f t="shared" si="3"/>
        <v>8</v>
      </c>
      <c r="AF62" s="31" t="str">
        <f t="shared" si="4"/>
        <v/>
      </c>
      <c r="AG62" s="31" t="str">
        <f t="shared" si="5"/>
        <v/>
      </c>
      <c r="AH62" s="31" t="str">
        <f t="shared" si="6"/>
        <v/>
      </c>
      <c r="AI62" s="31" t="str">
        <f t="shared" si="7"/>
        <v/>
      </c>
      <c r="AJ62" s="25">
        <v>10</v>
      </c>
      <c r="AK62" s="25">
        <v>0</v>
      </c>
      <c r="AL62" s="25">
        <v>0</v>
      </c>
      <c r="AM62" s="23" t="s">
        <v>206</v>
      </c>
      <c r="AN62" s="23" t="s">
        <v>92</v>
      </c>
      <c r="AO62" s="25">
        <v>253</v>
      </c>
      <c r="AR62" s="32" t="str">
        <f t="shared" si="8"/>
        <v>2 doors</v>
      </c>
      <c r="AT62" s="23" t="s">
        <v>48</v>
      </c>
      <c r="AU62" s="23" t="str">
        <f t="shared" si="13"/>
        <v>CC</v>
      </c>
      <c r="AV62" s="34">
        <f t="shared" si="9"/>
        <v>1150</v>
      </c>
      <c r="AW62" s="23">
        <v>11</v>
      </c>
      <c r="AX62" s="23">
        <v>50</v>
      </c>
      <c r="AY62" s="23">
        <v>0</v>
      </c>
    </row>
    <row r="63" spans="1:51">
      <c r="A63" s="25">
        <v>253</v>
      </c>
      <c r="D63" s="23">
        <v>2</v>
      </c>
      <c r="E63" s="25" t="s">
        <v>42</v>
      </c>
      <c r="F63" s="25" t="s">
        <v>317</v>
      </c>
      <c r="G63" s="23" t="s">
        <v>27</v>
      </c>
      <c r="H63" s="23" t="s">
        <v>242</v>
      </c>
      <c r="I63" s="25">
        <v>1990</v>
      </c>
      <c r="J63" s="35">
        <v>30</v>
      </c>
      <c r="K63" s="35">
        <v>40</v>
      </c>
      <c r="L63" s="35">
        <v>20</v>
      </c>
      <c r="M63" s="25">
        <v>6</v>
      </c>
      <c r="N63" s="25">
        <v>6</v>
      </c>
      <c r="R63" s="30">
        <f t="shared" si="0"/>
        <v>12</v>
      </c>
      <c r="S63" s="37">
        <v>1.2</v>
      </c>
      <c r="T63" s="30">
        <f t="shared" si="10"/>
        <v>22.642971428571428</v>
      </c>
      <c r="U63" s="37">
        <v>1.1000000000000001</v>
      </c>
      <c r="V63" s="30">
        <f t="shared" si="11"/>
        <v>30.04592380952381</v>
      </c>
      <c r="W63" s="25">
        <v>100</v>
      </c>
      <c r="X63" s="31">
        <f t="shared" si="1"/>
        <v>250.24</v>
      </c>
      <c r="Y63" s="25">
        <v>184</v>
      </c>
      <c r="Z63" s="25">
        <v>11</v>
      </c>
      <c r="AA63" s="25">
        <v>50</v>
      </c>
      <c r="AB63" s="37">
        <v>0.8</v>
      </c>
      <c r="AC63" s="30">
        <f t="shared" si="12"/>
        <v>80</v>
      </c>
      <c r="AD63" s="31">
        <f t="shared" si="2"/>
        <v>2</v>
      </c>
      <c r="AE63" s="31">
        <f t="shared" si="3"/>
        <v>8</v>
      </c>
      <c r="AF63" s="31" t="str">
        <f t="shared" si="4"/>
        <v/>
      </c>
      <c r="AG63" s="31" t="str">
        <f t="shared" si="5"/>
        <v/>
      </c>
      <c r="AH63" s="31" t="str">
        <f t="shared" si="6"/>
        <v/>
      </c>
      <c r="AI63" s="31" t="str">
        <f t="shared" si="7"/>
        <v/>
      </c>
      <c r="AJ63" s="25">
        <v>10</v>
      </c>
      <c r="AK63" s="25">
        <v>0</v>
      </c>
      <c r="AL63" s="25">
        <v>0</v>
      </c>
      <c r="AM63" s="23" t="s">
        <v>206</v>
      </c>
      <c r="AN63" s="23" t="s">
        <v>92</v>
      </c>
      <c r="AO63" s="25">
        <v>253</v>
      </c>
      <c r="AR63" s="32" t="str">
        <f t="shared" si="8"/>
        <v>2 doors</v>
      </c>
      <c r="AT63" s="23" t="s">
        <v>48</v>
      </c>
      <c r="AU63" s="23" t="str">
        <f t="shared" si="13"/>
        <v>CC</v>
      </c>
      <c r="AV63" s="34">
        <f t="shared" si="9"/>
        <v>1150.01</v>
      </c>
      <c r="AW63" s="23">
        <v>11</v>
      </c>
      <c r="AX63" s="23">
        <v>50</v>
      </c>
      <c r="AY63" s="23">
        <v>1</v>
      </c>
    </row>
    <row r="64" spans="1:51">
      <c r="A64" s="25">
        <v>254</v>
      </c>
      <c r="D64" s="23">
        <v>2</v>
      </c>
      <c r="E64" s="25" t="s">
        <v>30</v>
      </c>
      <c r="F64" s="25" t="s">
        <v>308</v>
      </c>
      <c r="G64" s="23" t="s">
        <v>27</v>
      </c>
      <c r="H64" s="23" t="s">
        <v>150</v>
      </c>
      <c r="I64" s="25">
        <v>1975</v>
      </c>
      <c r="J64" s="35">
        <v>30</v>
      </c>
      <c r="K64" s="35">
        <v>40</v>
      </c>
      <c r="L64" s="35">
        <v>20</v>
      </c>
      <c r="M64" s="25">
        <v>4</v>
      </c>
      <c r="N64" s="25">
        <v>4</v>
      </c>
      <c r="R64" s="30">
        <f t="shared" si="0"/>
        <v>8</v>
      </c>
      <c r="S64" s="37">
        <v>1.2</v>
      </c>
      <c r="T64" s="30">
        <f t="shared" si="10"/>
        <v>24.368914285714286</v>
      </c>
      <c r="U64" s="37">
        <v>1.1000000000000001</v>
      </c>
      <c r="V64" s="30">
        <f t="shared" si="11"/>
        <v>32.468438095238106</v>
      </c>
      <c r="W64" s="25">
        <v>121</v>
      </c>
      <c r="X64" s="31">
        <f t="shared" si="1"/>
        <v>274.72000000000003</v>
      </c>
      <c r="Y64" s="25">
        <v>202</v>
      </c>
      <c r="Z64" s="25">
        <v>12</v>
      </c>
      <c r="AA64" s="25">
        <v>41</v>
      </c>
      <c r="AB64" s="37">
        <v>0.8</v>
      </c>
      <c r="AC64" s="30">
        <f t="shared" si="12"/>
        <v>80</v>
      </c>
      <c r="AD64" s="31">
        <f t="shared" si="2"/>
        <v>2</v>
      </c>
      <c r="AE64" s="31">
        <f t="shared" si="3"/>
        <v>8</v>
      </c>
      <c r="AF64" s="31" t="str">
        <f t="shared" si="4"/>
        <v/>
      </c>
      <c r="AG64" s="31" t="str">
        <f t="shared" si="5"/>
        <v/>
      </c>
      <c r="AH64" s="31" t="str">
        <f t="shared" si="6"/>
        <v/>
      </c>
      <c r="AI64" s="31" t="str">
        <f t="shared" si="7"/>
        <v/>
      </c>
      <c r="AJ64" s="25">
        <v>10</v>
      </c>
      <c r="AK64" s="25">
        <v>0</v>
      </c>
      <c r="AL64" s="25">
        <v>0</v>
      </c>
      <c r="AM64" s="23" t="s">
        <v>206</v>
      </c>
      <c r="AN64" s="23" t="s">
        <v>92</v>
      </c>
      <c r="AO64" s="25">
        <v>254</v>
      </c>
      <c r="AR64" s="32" t="str">
        <f t="shared" si="8"/>
        <v>2 doors</v>
      </c>
      <c r="AT64" s="23" t="s">
        <v>48</v>
      </c>
      <c r="AU64" s="23" t="str">
        <f t="shared" si="13"/>
        <v>CC</v>
      </c>
      <c r="AV64" s="34">
        <f t="shared" si="9"/>
        <v>1160</v>
      </c>
      <c r="AW64" s="23">
        <v>11</v>
      </c>
      <c r="AX64" s="23">
        <v>60</v>
      </c>
      <c r="AY64" s="23">
        <v>0</v>
      </c>
    </row>
    <row r="65" spans="1:51">
      <c r="A65" s="25">
        <v>266</v>
      </c>
      <c r="D65" s="23">
        <v>2</v>
      </c>
      <c r="E65" s="25" t="s">
        <v>30</v>
      </c>
      <c r="F65" s="25" t="s">
        <v>302</v>
      </c>
      <c r="G65" s="23" t="s">
        <v>27</v>
      </c>
      <c r="H65" s="23" t="s">
        <v>162</v>
      </c>
      <c r="I65" s="25">
        <v>1972</v>
      </c>
      <c r="J65" s="35">
        <v>30</v>
      </c>
      <c r="K65" s="35">
        <v>40</v>
      </c>
      <c r="L65" s="35">
        <v>20</v>
      </c>
      <c r="M65" s="25">
        <v>8</v>
      </c>
      <c r="N65" s="25">
        <v>10</v>
      </c>
      <c r="R65" s="30">
        <f t="shared" si="0"/>
        <v>18</v>
      </c>
      <c r="S65" s="37">
        <v>0.7</v>
      </c>
      <c r="T65" s="30">
        <f t="shared" si="10"/>
        <v>10.761600000000001</v>
      </c>
      <c r="U65" s="37">
        <v>0.7</v>
      </c>
      <c r="V65" s="30">
        <f t="shared" si="11"/>
        <v>15.3592</v>
      </c>
      <c r="W65" s="25">
        <v>80</v>
      </c>
      <c r="X65" s="31">
        <f t="shared" si="1"/>
        <v>191.76000000000002</v>
      </c>
      <c r="Y65" s="25">
        <v>141</v>
      </c>
      <c r="Z65" s="25">
        <v>9</v>
      </c>
      <c r="AA65" s="25">
        <v>87</v>
      </c>
      <c r="AB65" s="37">
        <v>1.1000000000000001</v>
      </c>
      <c r="AC65" s="30">
        <f t="shared" si="12"/>
        <v>220.00000000000003</v>
      </c>
      <c r="AD65" s="31">
        <f t="shared" si="2"/>
        <v>2</v>
      </c>
      <c r="AE65" s="31">
        <f t="shared" si="3"/>
        <v>8</v>
      </c>
      <c r="AF65" s="31" t="str">
        <f t="shared" si="4"/>
        <v/>
      </c>
      <c r="AG65" s="31" t="str">
        <f t="shared" si="5"/>
        <v/>
      </c>
      <c r="AH65" s="31" t="str">
        <f t="shared" si="6"/>
        <v/>
      </c>
      <c r="AI65" s="31" t="str">
        <f t="shared" si="7"/>
        <v/>
      </c>
      <c r="AJ65" s="25">
        <v>10</v>
      </c>
      <c r="AK65" s="25">
        <v>0</v>
      </c>
      <c r="AL65" s="25">
        <v>0</v>
      </c>
      <c r="AM65" s="23" t="s">
        <v>206</v>
      </c>
      <c r="AN65" s="23" t="s">
        <v>92</v>
      </c>
      <c r="AO65" s="25">
        <v>266</v>
      </c>
      <c r="AR65" s="32" t="str">
        <f t="shared" si="8"/>
        <v>2 doors</v>
      </c>
      <c r="AT65" s="23" t="s">
        <v>270</v>
      </c>
      <c r="AU65" s="23" t="str">
        <f t="shared" si="13"/>
        <v>CC</v>
      </c>
      <c r="AV65" s="34">
        <f t="shared" si="9"/>
        <v>1200</v>
      </c>
      <c r="AW65" s="23">
        <v>12</v>
      </c>
      <c r="AX65" s="23">
        <v>0</v>
      </c>
      <c r="AY65" s="23">
        <v>0</v>
      </c>
    </row>
    <row r="66" spans="1:51">
      <c r="A66" s="25">
        <v>255</v>
      </c>
      <c r="D66" s="23">
        <v>1</v>
      </c>
      <c r="E66" s="25" t="s">
        <v>30</v>
      </c>
      <c r="F66" s="25" t="s">
        <v>304</v>
      </c>
      <c r="G66" s="23" t="s">
        <v>27</v>
      </c>
      <c r="H66" s="23" t="s">
        <v>151</v>
      </c>
      <c r="I66" s="25">
        <v>1972</v>
      </c>
      <c r="J66" s="35">
        <v>30</v>
      </c>
      <c r="K66" s="35">
        <v>40</v>
      </c>
      <c r="L66" s="35">
        <v>20</v>
      </c>
      <c r="M66" s="25">
        <v>6</v>
      </c>
      <c r="R66" s="30">
        <f t="shared" ref="R66:R129" si="14">SUM(M66:Q66)</f>
        <v>6</v>
      </c>
      <c r="S66" s="37">
        <v>0.7</v>
      </c>
      <c r="T66" s="30">
        <f t="shared" si="10"/>
        <v>10.1616</v>
      </c>
      <c r="U66" s="37">
        <v>0.7</v>
      </c>
      <c r="V66" s="30">
        <f t="shared" si="11"/>
        <v>14.600533333333333</v>
      </c>
      <c r="W66" s="25">
        <v>80</v>
      </c>
      <c r="X66" s="31">
        <f t="shared" ref="X66:X129" si="15">Y66*1.36</f>
        <v>191.76000000000002</v>
      </c>
      <c r="Y66" s="25">
        <v>141</v>
      </c>
      <c r="Z66" s="25">
        <v>9</v>
      </c>
      <c r="AA66" s="25">
        <v>53</v>
      </c>
      <c r="AB66" s="37">
        <v>1.1000000000000001</v>
      </c>
      <c r="AC66" s="30">
        <f t="shared" si="12"/>
        <v>110.00000000000001</v>
      </c>
      <c r="AD66" s="31">
        <f t="shared" ref="AD66:AD129" si="16">IF(AJ66&gt;8, AJ66-8, AJ66)</f>
        <v>1</v>
      </c>
      <c r="AE66" s="31">
        <f t="shared" ref="AE66:AE129" si="17">IF(AJ66&gt;8, 8, "")</f>
        <v>8</v>
      </c>
      <c r="AF66" s="31" t="str">
        <f t="shared" ref="AF66:AF129" si="18">IF(AK66&gt;8, AK66-8, IF(AK66=0, "", AK66))</f>
        <v/>
      </c>
      <c r="AG66" s="31" t="str">
        <f t="shared" ref="AG66:AG129" si="19">IF(AK66&gt;8, 8, "")</f>
        <v/>
      </c>
      <c r="AH66" s="31" t="str">
        <f t="shared" ref="AH66:AH129" si="20">IF(AL66&gt;8, AL66-8, IF(AL66=0, "", AL66))</f>
        <v/>
      </c>
      <c r="AI66" s="31" t="str">
        <f t="shared" ref="AI66:AI129" si="21">IF(AL66&gt;8, 8, "")</f>
        <v/>
      </c>
      <c r="AJ66" s="25">
        <v>9</v>
      </c>
      <c r="AK66" s="25">
        <v>0</v>
      </c>
      <c r="AL66" s="25">
        <v>0</v>
      </c>
      <c r="AM66" s="23" t="s">
        <v>206</v>
      </c>
      <c r="AN66" s="23" t="s">
        <v>92</v>
      </c>
      <c r="AO66" s="25">
        <v>255</v>
      </c>
      <c r="AR66" s="32" t="str">
        <f t="shared" ref="AR66:AR129" si="22">IF(Q66&gt;0, "5 doors", IF(P66&gt;0, "4 doors", IF(O66&gt;0, "3 doors", IF(N66&gt;0, "2 doors", "1 door"))))</f>
        <v>1 door</v>
      </c>
      <c r="AT66" s="23" t="s">
        <v>48</v>
      </c>
      <c r="AU66" s="23" t="str">
        <f t="shared" si="13"/>
        <v>CC</v>
      </c>
      <c r="AV66" s="34">
        <f t="shared" ref="AV66:AV129" si="23">(AW66*100)+AX66+(AY66/100)</f>
        <v>1220</v>
      </c>
      <c r="AW66" s="23">
        <v>12</v>
      </c>
      <c r="AX66" s="23">
        <v>20</v>
      </c>
      <c r="AY66" s="23">
        <v>0</v>
      </c>
    </row>
    <row r="67" spans="1:51">
      <c r="A67" s="25">
        <v>255</v>
      </c>
      <c r="D67" s="23">
        <v>1</v>
      </c>
      <c r="E67" s="25" t="s">
        <v>42</v>
      </c>
      <c r="F67" s="25" t="s">
        <v>314</v>
      </c>
      <c r="G67" s="23" t="s">
        <v>27</v>
      </c>
      <c r="H67" s="23" t="s">
        <v>151</v>
      </c>
      <c r="I67" s="25">
        <v>1972</v>
      </c>
      <c r="J67" s="35">
        <v>30</v>
      </c>
      <c r="K67" s="35">
        <v>40</v>
      </c>
      <c r="L67" s="35">
        <v>20</v>
      </c>
      <c r="M67" s="25">
        <v>6</v>
      </c>
      <c r="R67" s="30">
        <f t="shared" si="14"/>
        <v>6</v>
      </c>
      <c r="S67" s="37">
        <v>0.7</v>
      </c>
      <c r="T67" s="30">
        <f t="shared" si="10"/>
        <v>10.1616</v>
      </c>
      <c r="U67" s="37">
        <v>0.7</v>
      </c>
      <c r="V67" s="30">
        <f t="shared" ref="V67:V130" si="24">U67*IF(G67="petrol", ((Z67+(AA67/15)+X67)/10*1.5)+(R67/14), IF(G67="diesel", ((Z67+(AA67/15)+X67)/10)+(R67/14), IF(OR(G67="cng", G67="hybrid"), ((Z67+(AA67/15)+X67)/10*0.8)+(R67/14), IF(OR(G67="hydrogen", G67="electric"), ((Z67+(AA67/15)+X67)/10*0.5)+(R67/14), 0))))</f>
        <v>14.600533333333333</v>
      </c>
      <c r="W67" s="25">
        <v>80</v>
      </c>
      <c r="X67" s="31">
        <f t="shared" si="15"/>
        <v>191.76000000000002</v>
      </c>
      <c r="Y67" s="25">
        <v>141</v>
      </c>
      <c r="Z67" s="25">
        <v>9</v>
      </c>
      <c r="AA67" s="25">
        <v>53</v>
      </c>
      <c r="AB67" s="37">
        <v>1.1000000000000001</v>
      </c>
      <c r="AC67" s="30">
        <f t="shared" ref="AC67:AC159" si="25">AB67*IF(AT67="Regional", 185, IF(AT67="Intercity", 150, IF(AT67="Tourist", 100, 200)))</f>
        <v>110.00000000000001</v>
      </c>
      <c r="AD67" s="31">
        <f t="shared" si="16"/>
        <v>1</v>
      </c>
      <c r="AE67" s="31">
        <f t="shared" si="17"/>
        <v>8</v>
      </c>
      <c r="AF67" s="31" t="str">
        <f t="shared" si="18"/>
        <v/>
      </c>
      <c r="AG67" s="31" t="str">
        <f t="shared" si="19"/>
        <v/>
      </c>
      <c r="AH67" s="31" t="str">
        <f t="shared" si="20"/>
        <v/>
      </c>
      <c r="AI67" s="31" t="str">
        <f t="shared" si="21"/>
        <v/>
      </c>
      <c r="AJ67" s="25">
        <v>9</v>
      </c>
      <c r="AK67" s="25">
        <v>0</v>
      </c>
      <c r="AL67" s="25">
        <v>0</v>
      </c>
      <c r="AM67" s="23" t="s">
        <v>206</v>
      </c>
      <c r="AN67" s="23" t="s">
        <v>92</v>
      </c>
      <c r="AO67" s="25">
        <v>255</v>
      </c>
      <c r="AR67" s="32" t="str">
        <f t="shared" si="22"/>
        <v>1 door</v>
      </c>
      <c r="AT67" s="23" t="s">
        <v>48</v>
      </c>
      <c r="AU67" s="23" t="str">
        <f t="shared" ref="AU67:AU130" si="26">IF(ISNUMBER(SEARCH("CC", E67)), "CC", "Hungary")</f>
        <v>CC</v>
      </c>
      <c r="AV67" s="34">
        <f t="shared" si="23"/>
        <v>1220.01</v>
      </c>
      <c r="AW67" s="23">
        <v>12</v>
      </c>
      <c r="AX67" s="23">
        <v>20</v>
      </c>
      <c r="AY67" s="23">
        <v>1</v>
      </c>
    </row>
    <row r="68" spans="1:51">
      <c r="A68" s="25">
        <v>255</v>
      </c>
      <c r="D68" s="23">
        <v>1</v>
      </c>
      <c r="E68" s="25" t="s">
        <v>43</v>
      </c>
      <c r="F68" s="25" t="s">
        <v>302</v>
      </c>
      <c r="G68" s="23" t="s">
        <v>27</v>
      </c>
      <c r="H68" s="23" t="s">
        <v>151</v>
      </c>
      <c r="I68" s="25">
        <v>1972</v>
      </c>
      <c r="J68" s="35">
        <v>30</v>
      </c>
      <c r="K68" s="35">
        <v>40</v>
      </c>
      <c r="L68" s="35">
        <v>20</v>
      </c>
      <c r="M68" s="25">
        <v>6</v>
      </c>
      <c r="R68" s="30">
        <f t="shared" si="14"/>
        <v>6</v>
      </c>
      <c r="S68" s="37">
        <v>0.7</v>
      </c>
      <c r="T68" s="30">
        <f t="shared" si="10"/>
        <v>10.1616</v>
      </c>
      <c r="U68" s="37">
        <v>0.7</v>
      </c>
      <c r="V68" s="30">
        <f t="shared" si="24"/>
        <v>14.600533333333333</v>
      </c>
      <c r="W68" s="25">
        <v>80</v>
      </c>
      <c r="X68" s="31">
        <f t="shared" si="15"/>
        <v>191.76000000000002</v>
      </c>
      <c r="Y68" s="25">
        <v>141</v>
      </c>
      <c r="Z68" s="25">
        <v>9</v>
      </c>
      <c r="AA68" s="25">
        <v>53</v>
      </c>
      <c r="AB68" s="37">
        <v>1.1000000000000001</v>
      </c>
      <c r="AC68" s="30">
        <f t="shared" si="25"/>
        <v>110.00000000000001</v>
      </c>
      <c r="AD68" s="31">
        <f t="shared" si="16"/>
        <v>1</v>
      </c>
      <c r="AE68" s="31">
        <f t="shared" si="17"/>
        <v>8</v>
      </c>
      <c r="AF68" s="31" t="str">
        <f t="shared" si="18"/>
        <v/>
      </c>
      <c r="AG68" s="31" t="str">
        <f t="shared" si="19"/>
        <v/>
      </c>
      <c r="AH68" s="31" t="str">
        <f t="shared" si="20"/>
        <v/>
      </c>
      <c r="AI68" s="31" t="str">
        <f t="shared" si="21"/>
        <v/>
      </c>
      <c r="AJ68" s="25">
        <v>9</v>
      </c>
      <c r="AK68" s="25">
        <v>0</v>
      </c>
      <c r="AL68" s="25">
        <v>0</v>
      </c>
      <c r="AM68" s="23" t="s">
        <v>206</v>
      </c>
      <c r="AN68" s="23" t="s">
        <v>92</v>
      </c>
      <c r="AO68" s="25">
        <v>255</v>
      </c>
      <c r="AR68" s="32" t="str">
        <f t="shared" si="22"/>
        <v>1 door</v>
      </c>
      <c r="AT68" s="23" t="s">
        <v>48</v>
      </c>
      <c r="AU68" s="23" t="str">
        <f t="shared" si="26"/>
        <v>CC</v>
      </c>
      <c r="AV68" s="34">
        <f t="shared" si="23"/>
        <v>1220.02</v>
      </c>
      <c r="AW68" s="23">
        <v>12</v>
      </c>
      <c r="AX68" s="23">
        <v>20</v>
      </c>
      <c r="AY68" s="23">
        <v>2</v>
      </c>
    </row>
    <row r="69" spans="1:51">
      <c r="A69" s="25">
        <v>255</v>
      </c>
      <c r="D69" s="23">
        <v>1</v>
      </c>
      <c r="E69" s="25" t="s">
        <v>284</v>
      </c>
      <c r="F69" s="25" t="s">
        <v>316</v>
      </c>
      <c r="G69" s="23" t="s">
        <v>27</v>
      </c>
      <c r="H69" s="23" t="s">
        <v>151</v>
      </c>
      <c r="I69" s="25">
        <v>1972</v>
      </c>
      <c r="J69" s="35">
        <v>30</v>
      </c>
      <c r="K69" s="35">
        <v>40</v>
      </c>
      <c r="L69" s="35">
        <v>20</v>
      </c>
      <c r="M69" s="25">
        <v>6</v>
      </c>
      <c r="R69" s="30">
        <f t="shared" si="14"/>
        <v>6</v>
      </c>
      <c r="S69" s="37">
        <v>0.7</v>
      </c>
      <c r="T69" s="30">
        <f t="shared" si="10"/>
        <v>10.1616</v>
      </c>
      <c r="U69" s="37">
        <v>0.7</v>
      </c>
      <c r="V69" s="30">
        <f t="shared" si="24"/>
        <v>14.600533333333333</v>
      </c>
      <c r="W69" s="25">
        <v>80</v>
      </c>
      <c r="X69" s="31">
        <f t="shared" si="15"/>
        <v>191.76000000000002</v>
      </c>
      <c r="Y69" s="25">
        <v>141</v>
      </c>
      <c r="Z69" s="25">
        <v>9</v>
      </c>
      <c r="AA69" s="25">
        <v>53</v>
      </c>
      <c r="AB69" s="37">
        <v>1.1000000000000001</v>
      </c>
      <c r="AC69" s="30">
        <f t="shared" si="25"/>
        <v>110.00000000000001</v>
      </c>
      <c r="AD69" s="31">
        <f t="shared" si="16"/>
        <v>1</v>
      </c>
      <c r="AE69" s="31">
        <f t="shared" si="17"/>
        <v>8</v>
      </c>
      <c r="AF69" s="31" t="str">
        <f t="shared" si="18"/>
        <v/>
      </c>
      <c r="AG69" s="31" t="str">
        <f t="shared" si="19"/>
        <v/>
      </c>
      <c r="AH69" s="31" t="str">
        <f t="shared" si="20"/>
        <v/>
      </c>
      <c r="AI69" s="31" t="str">
        <f t="shared" si="21"/>
        <v/>
      </c>
      <c r="AJ69" s="25">
        <v>9</v>
      </c>
      <c r="AK69" s="25">
        <v>0</v>
      </c>
      <c r="AL69" s="25">
        <v>0</v>
      </c>
      <c r="AM69" s="23" t="s">
        <v>206</v>
      </c>
      <c r="AN69" s="23" t="s">
        <v>92</v>
      </c>
      <c r="AO69" s="25">
        <v>255</v>
      </c>
      <c r="AR69" s="32" t="str">
        <f t="shared" si="22"/>
        <v>1 door</v>
      </c>
      <c r="AT69" s="23" t="s">
        <v>48</v>
      </c>
      <c r="AU69" s="23" t="str">
        <f t="shared" si="26"/>
        <v>CC</v>
      </c>
      <c r="AV69" s="34">
        <f t="shared" si="23"/>
        <v>1220.03</v>
      </c>
      <c r="AW69" s="23">
        <v>12</v>
      </c>
      <c r="AX69" s="23">
        <v>20</v>
      </c>
      <c r="AY69" s="23">
        <v>3</v>
      </c>
    </row>
    <row r="70" spans="1:51">
      <c r="A70" s="25">
        <v>255</v>
      </c>
      <c r="D70" s="23">
        <v>1</v>
      </c>
      <c r="E70" s="25" t="s">
        <v>285</v>
      </c>
      <c r="F70" s="25" t="s">
        <v>303</v>
      </c>
      <c r="G70" s="23" t="s">
        <v>27</v>
      </c>
      <c r="H70" s="23" t="s">
        <v>151</v>
      </c>
      <c r="I70" s="25">
        <v>1972</v>
      </c>
      <c r="J70" s="35">
        <v>30</v>
      </c>
      <c r="K70" s="35">
        <v>40</v>
      </c>
      <c r="L70" s="35">
        <v>20</v>
      </c>
      <c r="M70" s="25">
        <v>6</v>
      </c>
      <c r="R70" s="30">
        <f t="shared" si="14"/>
        <v>6</v>
      </c>
      <c r="S70" s="37">
        <v>0.7</v>
      </c>
      <c r="T70" s="30">
        <f t="shared" si="10"/>
        <v>10.1616</v>
      </c>
      <c r="U70" s="37">
        <v>0.7</v>
      </c>
      <c r="V70" s="30">
        <f t="shared" si="24"/>
        <v>14.600533333333333</v>
      </c>
      <c r="W70" s="25">
        <v>80</v>
      </c>
      <c r="X70" s="31">
        <f t="shared" si="15"/>
        <v>191.76000000000002</v>
      </c>
      <c r="Y70" s="25">
        <v>141</v>
      </c>
      <c r="Z70" s="25">
        <v>9</v>
      </c>
      <c r="AA70" s="25">
        <v>53</v>
      </c>
      <c r="AB70" s="37">
        <v>1.1000000000000001</v>
      </c>
      <c r="AC70" s="30">
        <f t="shared" si="25"/>
        <v>110.00000000000001</v>
      </c>
      <c r="AD70" s="31">
        <f t="shared" si="16"/>
        <v>1</v>
      </c>
      <c r="AE70" s="31">
        <f t="shared" si="17"/>
        <v>8</v>
      </c>
      <c r="AF70" s="31" t="str">
        <f t="shared" si="18"/>
        <v/>
      </c>
      <c r="AG70" s="31" t="str">
        <f t="shared" si="19"/>
        <v/>
      </c>
      <c r="AH70" s="31" t="str">
        <f t="shared" si="20"/>
        <v/>
      </c>
      <c r="AI70" s="31" t="str">
        <f t="shared" si="21"/>
        <v/>
      </c>
      <c r="AJ70" s="25">
        <v>9</v>
      </c>
      <c r="AK70" s="25">
        <v>0</v>
      </c>
      <c r="AL70" s="25">
        <v>0</v>
      </c>
      <c r="AM70" s="23" t="s">
        <v>206</v>
      </c>
      <c r="AN70" s="23" t="s">
        <v>92</v>
      </c>
      <c r="AO70" s="25">
        <v>255</v>
      </c>
      <c r="AR70" s="32" t="str">
        <f t="shared" si="22"/>
        <v>1 door</v>
      </c>
      <c r="AT70" s="23" t="s">
        <v>48</v>
      </c>
      <c r="AU70" s="23" t="str">
        <f t="shared" si="26"/>
        <v>CC</v>
      </c>
      <c r="AV70" s="34">
        <f t="shared" si="23"/>
        <v>1220.04</v>
      </c>
      <c r="AW70" s="23">
        <v>12</v>
      </c>
      <c r="AX70" s="23">
        <v>20</v>
      </c>
      <c r="AY70" s="23">
        <v>4</v>
      </c>
    </row>
    <row r="71" spans="1:51">
      <c r="A71" s="25">
        <v>255</v>
      </c>
      <c r="D71" s="23">
        <v>1</v>
      </c>
      <c r="E71" s="25" t="s">
        <v>286</v>
      </c>
      <c r="F71" s="25" t="s">
        <v>308</v>
      </c>
      <c r="G71" s="23" t="s">
        <v>27</v>
      </c>
      <c r="H71" s="23" t="s">
        <v>151</v>
      </c>
      <c r="I71" s="25">
        <v>1972</v>
      </c>
      <c r="J71" s="35">
        <v>30</v>
      </c>
      <c r="K71" s="35">
        <v>40</v>
      </c>
      <c r="L71" s="35">
        <v>20</v>
      </c>
      <c r="M71" s="25">
        <v>6</v>
      </c>
      <c r="R71" s="30">
        <f t="shared" si="14"/>
        <v>6</v>
      </c>
      <c r="S71" s="37">
        <v>0.7</v>
      </c>
      <c r="T71" s="30">
        <f t="shared" si="10"/>
        <v>10.1616</v>
      </c>
      <c r="U71" s="37">
        <v>0.7</v>
      </c>
      <c r="V71" s="30">
        <f t="shared" si="24"/>
        <v>14.600533333333333</v>
      </c>
      <c r="W71" s="25">
        <v>80</v>
      </c>
      <c r="X71" s="31">
        <f t="shared" si="15"/>
        <v>191.76000000000002</v>
      </c>
      <c r="Y71" s="25">
        <v>141</v>
      </c>
      <c r="Z71" s="25">
        <v>9</v>
      </c>
      <c r="AA71" s="25">
        <v>53</v>
      </c>
      <c r="AB71" s="37">
        <v>1.1000000000000001</v>
      </c>
      <c r="AC71" s="30">
        <f t="shared" si="25"/>
        <v>110.00000000000001</v>
      </c>
      <c r="AD71" s="31">
        <f t="shared" si="16"/>
        <v>1</v>
      </c>
      <c r="AE71" s="31">
        <f t="shared" si="17"/>
        <v>8</v>
      </c>
      <c r="AF71" s="31" t="str">
        <f t="shared" si="18"/>
        <v/>
      </c>
      <c r="AG71" s="31" t="str">
        <f t="shared" si="19"/>
        <v/>
      </c>
      <c r="AH71" s="31" t="str">
        <f t="shared" si="20"/>
        <v/>
      </c>
      <c r="AI71" s="31" t="str">
        <f t="shared" si="21"/>
        <v/>
      </c>
      <c r="AJ71" s="25">
        <v>9</v>
      </c>
      <c r="AK71" s="25">
        <v>0</v>
      </c>
      <c r="AL71" s="25">
        <v>0</v>
      </c>
      <c r="AM71" s="23" t="s">
        <v>206</v>
      </c>
      <c r="AN71" s="23" t="s">
        <v>92</v>
      </c>
      <c r="AO71" s="25">
        <v>255</v>
      </c>
      <c r="AR71" s="32" t="str">
        <f t="shared" si="22"/>
        <v>1 door</v>
      </c>
      <c r="AT71" s="23" t="s">
        <v>48</v>
      </c>
      <c r="AU71" s="23" t="str">
        <f t="shared" si="26"/>
        <v>CC</v>
      </c>
      <c r="AV71" s="34">
        <f t="shared" si="23"/>
        <v>1220.05</v>
      </c>
      <c r="AW71" s="23">
        <v>12</v>
      </c>
      <c r="AX71" s="23">
        <v>20</v>
      </c>
      <c r="AY71" s="23">
        <v>5</v>
      </c>
    </row>
    <row r="72" spans="1:51">
      <c r="A72" s="25">
        <v>255</v>
      </c>
      <c r="D72" s="23">
        <v>2</v>
      </c>
      <c r="E72" s="25" t="s">
        <v>30</v>
      </c>
      <c r="F72" s="25" t="s">
        <v>304</v>
      </c>
      <c r="G72" s="23" t="s">
        <v>27</v>
      </c>
      <c r="H72" s="23" t="s">
        <v>327</v>
      </c>
      <c r="I72" s="25">
        <v>1972</v>
      </c>
      <c r="J72" s="35">
        <v>30</v>
      </c>
      <c r="K72" s="35">
        <v>40</v>
      </c>
      <c r="L72" s="35">
        <v>20</v>
      </c>
      <c r="M72" s="25">
        <v>6</v>
      </c>
      <c r="N72" s="25">
        <v>4</v>
      </c>
      <c r="R72" s="30">
        <f t="shared" si="14"/>
        <v>10</v>
      </c>
      <c r="S72" s="37">
        <v>0.7</v>
      </c>
      <c r="T72" s="30">
        <f t="shared" si="10"/>
        <v>10.361599999999999</v>
      </c>
      <c r="U72" s="37">
        <v>0.7</v>
      </c>
      <c r="V72" s="30">
        <f t="shared" si="24"/>
        <v>14.777200000000001</v>
      </c>
      <c r="W72" s="25">
        <v>80</v>
      </c>
      <c r="X72" s="31">
        <f t="shared" si="15"/>
        <v>191.76000000000002</v>
      </c>
      <c r="Y72" s="25">
        <v>141</v>
      </c>
      <c r="Z72" s="25">
        <v>9</v>
      </c>
      <c r="AA72" s="25">
        <v>48</v>
      </c>
      <c r="AB72" s="37">
        <v>1.1000000000000001</v>
      </c>
      <c r="AC72" s="30">
        <f t="shared" si="25"/>
        <v>110.00000000000001</v>
      </c>
      <c r="AD72" s="31">
        <f t="shared" si="16"/>
        <v>1</v>
      </c>
      <c r="AE72" s="31">
        <f t="shared" si="17"/>
        <v>8</v>
      </c>
      <c r="AF72" s="31" t="str">
        <f t="shared" si="18"/>
        <v/>
      </c>
      <c r="AG72" s="31" t="str">
        <f t="shared" si="19"/>
        <v/>
      </c>
      <c r="AH72" s="31" t="str">
        <f t="shared" si="20"/>
        <v/>
      </c>
      <c r="AI72" s="31" t="str">
        <f t="shared" si="21"/>
        <v/>
      </c>
      <c r="AJ72" s="25">
        <v>9</v>
      </c>
      <c r="AK72" s="25">
        <v>0</v>
      </c>
      <c r="AL72" s="25">
        <v>0</v>
      </c>
      <c r="AM72" s="23" t="s">
        <v>206</v>
      </c>
      <c r="AN72" s="23" t="s">
        <v>92</v>
      </c>
      <c r="AO72" s="25">
        <v>255</v>
      </c>
      <c r="AR72" s="32" t="str">
        <f t="shared" si="22"/>
        <v>2 doors</v>
      </c>
      <c r="AT72" s="23" t="s">
        <v>48</v>
      </c>
      <c r="AU72" s="23" t="str">
        <f t="shared" si="26"/>
        <v>CC</v>
      </c>
      <c r="AV72" s="34">
        <f t="shared" si="23"/>
        <v>1221</v>
      </c>
      <c r="AW72" s="23">
        <v>12</v>
      </c>
      <c r="AX72" s="23">
        <v>21</v>
      </c>
      <c r="AY72" s="23">
        <v>0</v>
      </c>
    </row>
    <row r="73" spans="1:51">
      <c r="A73" s="25">
        <v>255</v>
      </c>
      <c r="D73" s="23">
        <v>2</v>
      </c>
      <c r="E73" s="25" t="s">
        <v>42</v>
      </c>
      <c r="F73" s="25" t="s">
        <v>314</v>
      </c>
      <c r="G73" s="23" t="s">
        <v>27</v>
      </c>
      <c r="H73" s="23" t="s">
        <v>327</v>
      </c>
      <c r="I73" s="25">
        <v>1972</v>
      </c>
      <c r="J73" s="35">
        <v>30</v>
      </c>
      <c r="K73" s="35">
        <v>40</v>
      </c>
      <c r="L73" s="35">
        <v>20</v>
      </c>
      <c r="M73" s="25">
        <v>6</v>
      </c>
      <c r="N73" s="25">
        <v>4</v>
      </c>
      <c r="R73" s="30">
        <f t="shared" si="14"/>
        <v>10</v>
      </c>
      <c r="S73" s="37">
        <v>0.7</v>
      </c>
      <c r="T73" s="30">
        <f t="shared" si="10"/>
        <v>10.361599999999999</v>
      </c>
      <c r="U73" s="37">
        <v>0.7</v>
      </c>
      <c r="V73" s="30">
        <f t="shared" si="24"/>
        <v>14.777200000000001</v>
      </c>
      <c r="W73" s="25">
        <v>80</v>
      </c>
      <c r="X73" s="31">
        <f t="shared" si="15"/>
        <v>191.76000000000002</v>
      </c>
      <c r="Y73" s="25">
        <v>141</v>
      </c>
      <c r="Z73" s="25">
        <v>9</v>
      </c>
      <c r="AA73" s="25">
        <v>48</v>
      </c>
      <c r="AB73" s="37">
        <v>1.1000000000000001</v>
      </c>
      <c r="AC73" s="30">
        <f t="shared" si="25"/>
        <v>110.00000000000001</v>
      </c>
      <c r="AD73" s="31">
        <f t="shared" si="16"/>
        <v>1</v>
      </c>
      <c r="AE73" s="31">
        <f t="shared" si="17"/>
        <v>8</v>
      </c>
      <c r="AF73" s="31" t="str">
        <f t="shared" si="18"/>
        <v/>
      </c>
      <c r="AG73" s="31" t="str">
        <f t="shared" si="19"/>
        <v/>
      </c>
      <c r="AH73" s="31" t="str">
        <f t="shared" si="20"/>
        <v/>
      </c>
      <c r="AI73" s="31" t="str">
        <f t="shared" si="21"/>
        <v/>
      </c>
      <c r="AJ73" s="25">
        <v>9</v>
      </c>
      <c r="AK73" s="25">
        <v>0</v>
      </c>
      <c r="AL73" s="25">
        <v>0</v>
      </c>
      <c r="AM73" s="23" t="s">
        <v>206</v>
      </c>
      <c r="AN73" s="23" t="s">
        <v>92</v>
      </c>
      <c r="AO73" s="25">
        <v>255</v>
      </c>
      <c r="AR73" s="32" t="str">
        <f t="shared" si="22"/>
        <v>2 doors</v>
      </c>
      <c r="AT73" s="23" t="s">
        <v>48</v>
      </c>
      <c r="AU73" s="23" t="str">
        <f t="shared" si="26"/>
        <v>CC</v>
      </c>
      <c r="AV73" s="34">
        <f t="shared" si="23"/>
        <v>1221.01</v>
      </c>
      <c r="AW73" s="23">
        <v>12</v>
      </c>
      <c r="AX73" s="23">
        <v>21</v>
      </c>
      <c r="AY73" s="23">
        <v>1</v>
      </c>
    </row>
    <row r="74" spans="1:51">
      <c r="A74" s="25">
        <v>255</v>
      </c>
      <c r="D74" s="23">
        <v>2</v>
      </c>
      <c r="E74" s="25" t="s">
        <v>43</v>
      </c>
      <c r="F74" s="25" t="s">
        <v>302</v>
      </c>
      <c r="G74" s="23" t="s">
        <v>27</v>
      </c>
      <c r="H74" s="23" t="s">
        <v>327</v>
      </c>
      <c r="I74" s="25">
        <v>1972</v>
      </c>
      <c r="J74" s="35">
        <v>30</v>
      </c>
      <c r="K74" s="35">
        <v>40</v>
      </c>
      <c r="L74" s="35">
        <v>20</v>
      </c>
      <c r="M74" s="25">
        <v>6</v>
      </c>
      <c r="N74" s="25">
        <v>4</v>
      </c>
      <c r="R74" s="30">
        <f t="shared" si="14"/>
        <v>10</v>
      </c>
      <c r="S74" s="37">
        <v>0.7</v>
      </c>
      <c r="T74" s="30">
        <f t="shared" si="10"/>
        <v>10.361599999999999</v>
      </c>
      <c r="U74" s="37">
        <v>0.7</v>
      </c>
      <c r="V74" s="30">
        <f t="shared" si="24"/>
        <v>14.777200000000001</v>
      </c>
      <c r="W74" s="25">
        <v>80</v>
      </c>
      <c r="X74" s="31">
        <f t="shared" si="15"/>
        <v>191.76000000000002</v>
      </c>
      <c r="Y74" s="25">
        <v>141</v>
      </c>
      <c r="Z74" s="25">
        <v>9</v>
      </c>
      <c r="AA74" s="25">
        <v>48</v>
      </c>
      <c r="AB74" s="37">
        <v>1.1000000000000001</v>
      </c>
      <c r="AC74" s="30">
        <f t="shared" si="25"/>
        <v>110.00000000000001</v>
      </c>
      <c r="AD74" s="31">
        <f t="shared" si="16"/>
        <v>1</v>
      </c>
      <c r="AE74" s="31">
        <f t="shared" si="17"/>
        <v>8</v>
      </c>
      <c r="AF74" s="31" t="str">
        <f t="shared" si="18"/>
        <v/>
      </c>
      <c r="AG74" s="31" t="str">
        <f t="shared" si="19"/>
        <v/>
      </c>
      <c r="AH74" s="31" t="str">
        <f t="shared" si="20"/>
        <v/>
      </c>
      <c r="AI74" s="31" t="str">
        <f t="shared" si="21"/>
        <v/>
      </c>
      <c r="AJ74" s="25">
        <v>9</v>
      </c>
      <c r="AK74" s="25">
        <v>0</v>
      </c>
      <c r="AL74" s="25">
        <v>0</v>
      </c>
      <c r="AM74" s="23" t="s">
        <v>206</v>
      </c>
      <c r="AN74" s="23" t="s">
        <v>92</v>
      </c>
      <c r="AO74" s="25">
        <v>255</v>
      </c>
      <c r="AR74" s="32" t="str">
        <f t="shared" si="22"/>
        <v>2 doors</v>
      </c>
      <c r="AT74" s="23" t="s">
        <v>48</v>
      </c>
      <c r="AU74" s="23" t="str">
        <f t="shared" si="26"/>
        <v>CC</v>
      </c>
      <c r="AV74" s="34">
        <f t="shared" si="23"/>
        <v>1221.02</v>
      </c>
      <c r="AW74" s="23">
        <v>12</v>
      </c>
      <c r="AX74" s="23">
        <v>21</v>
      </c>
      <c r="AY74" s="23">
        <v>2</v>
      </c>
    </row>
    <row r="75" spans="1:51">
      <c r="A75" s="25">
        <v>255</v>
      </c>
      <c r="D75" s="23">
        <v>2</v>
      </c>
      <c r="E75" s="25" t="s">
        <v>284</v>
      </c>
      <c r="F75" s="25" t="s">
        <v>316</v>
      </c>
      <c r="G75" s="23" t="s">
        <v>27</v>
      </c>
      <c r="H75" s="23" t="s">
        <v>327</v>
      </c>
      <c r="I75" s="25">
        <v>1972</v>
      </c>
      <c r="J75" s="35">
        <v>30</v>
      </c>
      <c r="K75" s="35">
        <v>40</v>
      </c>
      <c r="L75" s="35">
        <v>20</v>
      </c>
      <c r="M75" s="25">
        <v>6</v>
      </c>
      <c r="N75" s="25">
        <v>4</v>
      </c>
      <c r="R75" s="30">
        <f t="shared" si="14"/>
        <v>10</v>
      </c>
      <c r="S75" s="37">
        <v>0.7</v>
      </c>
      <c r="T75" s="30">
        <f t="shared" si="10"/>
        <v>10.361599999999999</v>
      </c>
      <c r="U75" s="37">
        <v>0.7</v>
      </c>
      <c r="V75" s="30">
        <f t="shared" si="24"/>
        <v>14.777200000000001</v>
      </c>
      <c r="W75" s="25">
        <v>80</v>
      </c>
      <c r="X75" s="31">
        <f t="shared" si="15"/>
        <v>191.76000000000002</v>
      </c>
      <c r="Y75" s="25">
        <v>141</v>
      </c>
      <c r="Z75" s="25">
        <v>9</v>
      </c>
      <c r="AA75" s="25">
        <v>48</v>
      </c>
      <c r="AB75" s="37">
        <v>1.1000000000000001</v>
      </c>
      <c r="AC75" s="30">
        <f t="shared" si="25"/>
        <v>110.00000000000001</v>
      </c>
      <c r="AD75" s="31">
        <f t="shared" si="16"/>
        <v>1</v>
      </c>
      <c r="AE75" s="31">
        <f t="shared" si="17"/>
        <v>8</v>
      </c>
      <c r="AF75" s="31" t="str">
        <f t="shared" si="18"/>
        <v/>
      </c>
      <c r="AG75" s="31" t="str">
        <f t="shared" si="19"/>
        <v/>
      </c>
      <c r="AH75" s="31" t="str">
        <f t="shared" si="20"/>
        <v/>
      </c>
      <c r="AI75" s="31" t="str">
        <f t="shared" si="21"/>
        <v/>
      </c>
      <c r="AJ75" s="25">
        <v>9</v>
      </c>
      <c r="AK75" s="25">
        <v>0</v>
      </c>
      <c r="AL75" s="25">
        <v>0</v>
      </c>
      <c r="AM75" s="23" t="s">
        <v>206</v>
      </c>
      <c r="AN75" s="23" t="s">
        <v>92</v>
      </c>
      <c r="AO75" s="25">
        <v>255</v>
      </c>
      <c r="AR75" s="32" t="str">
        <f t="shared" si="22"/>
        <v>2 doors</v>
      </c>
      <c r="AT75" s="23" t="s">
        <v>48</v>
      </c>
      <c r="AU75" s="23" t="str">
        <f t="shared" si="26"/>
        <v>CC</v>
      </c>
      <c r="AV75" s="34">
        <f t="shared" si="23"/>
        <v>1221.03</v>
      </c>
      <c r="AW75" s="23">
        <v>12</v>
      </c>
      <c r="AX75" s="23">
        <v>21</v>
      </c>
      <c r="AY75" s="23">
        <v>3</v>
      </c>
    </row>
    <row r="76" spans="1:51">
      <c r="A76" s="25">
        <v>255</v>
      </c>
      <c r="D76" s="23">
        <v>2</v>
      </c>
      <c r="E76" s="25" t="s">
        <v>285</v>
      </c>
      <c r="F76" s="25" t="s">
        <v>303</v>
      </c>
      <c r="G76" s="23" t="s">
        <v>27</v>
      </c>
      <c r="H76" s="23" t="s">
        <v>327</v>
      </c>
      <c r="I76" s="25">
        <v>1972</v>
      </c>
      <c r="J76" s="35">
        <v>30</v>
      </c>
      <c r="K76" s="35">
        <v>40</v>
      </c>
      <c r="L76" s="35">
        <v>20</v>
      </c>
      <c r="M76" s="25">
        <v>6</v>
      </c>
      <c r="N76" s="25">
        <v>4</v>
      </c>
      <c r="R76" s="30">
        <f t="shared" si="14"/>
        <v>10</v>
      </c>
      <c r="S76" s="37">
        <v>0.7</v>
      </c>
      <c r="T76" s="30">
        <f t="shared" si="10"/>
        <v>10.361599999999999</v>
      </c>
      <c r="U76" s="37">
        <v>0.7</v>
      </c>
      <c r="V76" s="30">
        <f t="shared" si="24"/>
        <v>14.777200000000001</v>
      </c>
      <c r="W76" s="25">
        <v>80</v>
      </c>
      <c r="X76" s="31">
        <f t="shared" si="15"/>
        <v>191.76000000000002</v>
      </c>
      <c r="Y76" s="25">
        <v>141</v>
      </c>
      <c r="Z76" s="25">
        <v>9</v>
      </c>
      <c r="AA76" s="25">
        <v>48</v>
      </c>
      <c r="AB76" s="37">
        <v>1.1000000000000001</v>
      </c>
      <c r="AC76" s="30">
        <f t="shared" si="25"/>
        <v>110.00000000000001</v>
      </c>
      <c r="AD76" s="31">
        <f t="shared" si="16"/>
        <v>1</v>
      </c>
      <c r="AE76" s="31">
        <f t="shared" si="17"/>
        <v>8</v>
      </c>
      <c r="AF76" s="31" t="str">
        <f t="shared" si="18"/>
        <v/>
      </c>
      <c r="AG76" s="31" t="str">
        <f t="shared" si="19"/>
        <v/>
      </c>
      <c r="AH76" s="31" t="str">
        <f t="shared" si="20"/>
        <v/>
      </c>
      <c r="AI76" s="31" t="str">
        <f t="shared" si="21"/>
        <v/>
      </c>
      <c r="AJ76" s="25">
        <v>9</v>
      </c>
      <c r="AK76" s="25">
        <v>0</v>
      </c>
      <c r="AL76" s="25">
        <v>0</v>
      </c>
      <c r="AM76" s="23" t="s">
        <v>206</v>
      </c>
      <c r="AN76" s="23" t="s">
        <v>92</v>
      </c>
      <c r="AO76" s="25">
        <v>255</v>
      </c>
      <c r="AR76" s="32" t="str">
        <f t="shared" si="22"/>
        <v>2 doors</v>
      </c>
      <c r="AT76" s="23" t="s">
        <v>48</v>
      </c>
      <c r="AU76" s="23" t="str">
        <f t="shared" si="26"/>
        <v>CC</v>
      </c>
      <c r="AV76" s="34">
        <f t="shared" si="23"/>
        <v>1221.04</v>
      </c>
      <c r="AW76" s="23">
        <v>12</v>
      </c>
      <c r="AX76" s="23">
        <v>21</v>
      </c>
      <c r="AY76" s="23">
        <v>4</v>
      </c>
    </row>
    <row r="77" spans="1:51">
      <c r="A77" s="25">
        <v>255</v>
      </c>
      <c r="D77" s="23">
        <v>2</v>
      </c>
      <c r="E77" s="25" t="s">
        <v>286</v>
      </c>
      <c r="F77" s="25" t="s">
        <v>308</v>
      </c>
      <c r="G77" s="23" t="s">
        <v>27</v>
      </c>
      <c r="H77" s="23" t="s">
        <v>327</v>
      </c>
      <c r="I77" s="25">
        <v>1972</v>
      </c>
      <c r="J77" s="35">
        <v>30</v>
      </c>
      <c r="K77" s="35">
        <v>40</v>
      </c>
      <c r="L77" s="35">
        <v>20</v>
      </c>
      <c r="M77" s="25">
        <v>6</v>
      </c>
      <c r="N77" s="25">
        <v>4</v>
      </c>
      <c r="R77" s="30">
        <f t="shared" si="14"/>
        <v>10</v>
      </c>
      <c r="S77" s="37">
        <v>0.7</v>
      </c>
      <c r="T77" s="30">
        <f t="shared" si="10"/>
        <v>10.361599999999999</v>
      </c>
      <c r="U77" s="37">
        <v>0.7</v>
      </c>
      <c r="V77" s="30">
        <f t="shared" si="24"/>
        <v>14.777200000000001</v>
      </c>
      <c r="W77" s="25">
        <v>80</v>
      </c>
      <c r="X77" s="31">
        <f t="shared" si="15"/>
        <v>191.76000000000002</v>
      </c>
      <c r="Y77" s="25">
        <v>141</v>
      </c>
      <c r="Z77" s="25">
        <v>9</v>
      </c>
      <c r="AA77" s="25">
        <v>48</v>
      </c>
      <c r="AB77" s="37">
        <v>1.1000000000000001</v>
      </c>
      <c r="AC77" s="30">
        <f t="shared" si="25"/>
        <v>110.00000000000001</v>
      </c>
      <c r="AD77" s="31">
        <f t="shared" si="16"/>
        <v>1</v>
      </c>
      <c r="AE77" s="31">
        <f t="shared" si="17"/>
        <v>8</v>
      </c>
      <c r="AF77" s="31" t="str">
        <f t="shared" si="18"/>
        <v/>
      </c>
      <c r="AG77" s="31" t="str">
        <f t="shared" si="19"/>
        <v/>
      </c>
      <c r="AH77" s="31" t="str">
        <f t="shared" si="20"/>
        <v/>
      </c>
      <c r="AI77" s="31" t="str">
        <f t="shared" si="21"/>
        <v/>
      </c>
      <c r="AJ77" s="25">
        <v>9</v>
      </c>
      <c r="AK77" s="25">
        <v>0</v>
      </c>
      <c r="AL77" s="25">
        <v>0</v>
      </c>
      <c r="AM77" s="23" t="s">
        <v>206</v>
      </c>
      <c r="AN77" s="23" t="s">
        <v>92</v>
      </c>
      <c r="AO77" s="25">
        <v>255</v>
      </c>
      <c r="AR77" s="32" t="str">
        <f t="shared" si="22"/>
        <v>2 doors</v>
      </c>
      <c r="AT77" s="23" t="s">
        <v>48</v>
      </c>
      <c r="AU77" s="23" t="str">
        <f t="shared" si="26"/>
        <v>CC</v>
      </c>
      <c r="AV77" s="34">
        <f t="shared" si="23"/>
        <v>1221.05</v>
      </c>
      <c r="AW77" s="23">
        <v>12</v>
      </c>
      <c r="AX77" s="23">
        <v>21</v>
      </c>
      <c r="AY77" s="23">
        <v>5</v>
      </c>
    </row>
    <row r="78" spans="1:51">
      <c r="A78" s="25">
        <v>256</v>
      </c>
      <c r="C78" s="23" t="s">
        <v>123</v>
      </c>
      <c r="D78" s="23">
        <v>2</v>
      </c>
      <c r="E78" s="25" t="s">
        <v>30</v>
      </c>
      <c r="F78" s="25" t="s">
        <v>314</v>
      </c>
      <c r="G78" s="23" t="s">
        <v>27</v>
      </c>
      <c r="H78" s="23" t="s">
        <v>152</v>
      </c>
      <c r="I78" s="25">
        <v>1974</v>
      </c>
      <c r="J78" s="35">
        <v>30</v>
      </c>
      <c r="K78" s="35">
        <v>40</v>
      </c>
      <c r="L78" s="35">
        <v>20</v>
      </c>
      <c r="M78" s="25">
        <v>6</v>
      </c>
      <c r="N78" s="25">
        <v>4</v>
      </c>
      <c r="R78" s="30">
        <f t="shared" si="14"/>
        <v>10</v>
      </c>
      <c r="S78" s="37">
        <v>0.9</v>
      </c>
      <c r="T78" s="30">
        <f t="shared" si="10"/>
        <v>14.222057142857143</v>
      </c>
      <c r="U78" s="37">
        <v>0.9</v>
      </c>
      <c r="V78" s="30">
        <f t="shared" si="24"/>
        <v>19.161257142857146</v>
      </c>
      <c r="W78" s="25">
        <v>102</v>
      </c>
      <c r="X78" s="31">
        <f t="shared" si="15"/>
        <v>191.76000000000002</v>
      </c>
      <c r="Y78" s="25">
        <v>141</v>
      </c>
      <c r="Z78" s="25">
        <v>11</v>
      </c>
      <c r="AA78" s="25">
        <v>45</v>
      </c>
      <c r="AB78" s="37">
        <v>1</v>
      </c>
      <c r="AC78" s="30">
        <f t="shared" si="25"/>
        <v>100</v>
      </c>
      <c r="AD78" s="31">
        <f t="shared" si="16"/>
        <v>1</v>
      </c>
      <c r="AE78" s="31">
        <f t="shared" si="17"/>
        <v>8</v>
      </c>
      <c r="AF78" s="31" t="str">
        <f t="shared" si="18"/>
        <v/>
      </c>
      <c r="AG78" s="31" t="str">
        <f t="shared" si="19"/>
        <v/>
      </c>
      <c r="AH78" s="31" t="str">
        <f t="shared" si="20"/>
        <v/>
      </c>
      <c r="AI78" s="31" t="str">
        <f t="shared" si="21"/>
        <v/>
      </c>
      <c r="AJ78" s="25">
        <v>9</v>
      </c>
      <c r="AK78" s="25">
        <v>0</v>
      </c>
      <c r="AL78" s="25">
        <v>0</v>
      </c>
      <c r="AM78" s="23" t="s">
        <v>206</v>
      </c>
      <c r="AN78" s="23" t="s">
        <v>92</v>
      </c>
      <c r="AO78" s="25">
        <v>256</v>
      </c>
      <c r="AR78" s="32" t="str">
        <f t="shared" si="22"/>
        <v>2 doors</v>
      </c>
      <c r="AT78" s="23" t="s">
        <v>48</v>
      </c>
      <c r="AU78" s="23" t="str">
        <f t="shared" si="26"/>
        <v>CC</v>
      </c>
      <c r="AV78" s="34">
        <f t="shared" si="23"/>
        <v>1300</v>
      </c>
      <c r="AW78" s="23">
        <v>13</v>
      </c>
      <c r="AX78" s="23">
        <v>0</v>
      </c>
      <c r="AY78" s="23">
        <v>0</v>
      </c>
    </row>
    <row r="79" spans="1:51">
      <c r="A79" s="25">
        <v>256</v>
      </c>
      <c r="C79" s="23" t="s">
        <v>123</v>
      </c>
      <c r="D79" s="23">
        <v>2</v>
      </c>
      <c r="E79" s="25" t="s">
        <v>42</v>
      </c>
      <c r="F79" s="25" t="s">
        <v>304</v>
      </c>
      <c r="G79" s="23" t="s">
        <v>27</v>
      </c>
      <c r="H79" s="23" t="s">
        <v>152</v>
      </c>
      <c r="I79" s="25">
        <v>1974</v>
      </c>
      <c r="J79" s="35">
        <v>30</v>
      </c>
      <c r="K79" s="35">
        <v>40</v>
      </c>
      <c r="L79" s="35">
        <v>20</v>
      </c>
      <c r="M79" s="25">
        <v>6</v>
      </c>
      <c r="N79" s="25">
        <v>4</v>
      </c>
      <c r="R79" s="30">
        <f t="shared" si="14"/>
        <v>10</v>
      </c>
      <c r="S79" s="37">
        <v>0.9</v>
      </c>
      <c r="T79" s="30">
        <f t="shared" ref="T79:T142" si="27">S79*IF(OR(G79="diesel", G79="petrol"), ((Z79+(X79/10))/2)+(R79/14), IF(OR(G79="cng", G79="hybrid"), ((Z79+(X79/10))/2*1.2)+(R79/14), IF(OR(G79="hydrogen", G79="electric"), ((Z79+(X79/10))/2*1.5)+(R79/14), 0)))</f>
        <v>14.222057142857143</v>
      </c>
      <c r="U79" s="37">
        <v>0.9</v>
      </c>
      <c r="V79" s="30">
        <f t="shared" si="24"/>
        <v>19.161257142857146</v>
      </c>
      <c r="W79" s="25">
        <v>102</v>
      </c>
      <c r="X79" s="31">
        <f t="shared" si="15"/>
        <v>191.76000000000002</v>
      </c>
      <c r="Y79" s="25">
        <v>141</v>
      </c>
      <c r="Z79" s="25">
        <v>11</v>
      </c>
      <c r="AA79" s="25">
        <v>45</v>
      </c>
      <c r="AB79" s="37">
        <v>1</v>
      </c>
      <c r="AC79" s="30">
        <f t="shared" si="25"/>
        <v>100</v>
      </c>
      <c r="AD79" s="31">
        <f t="shared" si="16"/>
        <v>1</v>
      </c>
      <c r="AE79" s="31">
        <f t="shared" si="17"/>
        <v>8</v>
      </c>
      <c r="AF79" s="31" t="str">
        <f t="shared" si="18"/>
        <v/>
      </c>
      <c r="AG79" s="31" t="str">
        <f t="shared" si="19"/>
        <v/>
      </c>
      <c r="AH79" s="31" t="str">
        <f t="shared" si="20"/>
        <v/>
      </c>
      <c r="AI79" s="31" t="str">
        <f t="shared" si="21"/>
        <v/>
      </c>
      <c r="AJ79" s="25">
        <v>9</v>
      </c>
      <c r="AK79" s="25">
        <v>0</v>
      </c>
      <c r="AL79" s="25">
        <v>0</v>
      </c>
      <c r="AM79" s="23" t="s">
        <v>206</v>
      </c>
      <c r="AN79" s="23" t="s">
        <v>92</v>
      </c>
      <c r="AO79" s="25">
        <v>256</v>
      </c>
      <c r="AR79" s="32" t="str">
        <f t="shared" si="22"/>
        <v>2 doors</v>
      </c>
      <c r="AT79" s="23" t="s">
        <v>48</v>
      </c>
      <c r="AU79" s="23" t="str">
        <f t="shared" si="26"/>
        <v>CC</v>
      </c>
      <c r="AV79" s="34">
        <f t="shared" si="23"/>
        <v>1300.01</v>
      </c>
      <c r="AW79" s="23">
        <v>13</v>
      </c>
      <c r="AX79" s="23">
        <v>0</v>
      </c>
      <c r="AY79" s="23">
        <v>1</v>
      </c>
    </row>
    <row r="80" spans="1:51">
      <c r="A80" s="25">
        <v>256</v>
      </c>
      <c r="C80" s="23" t="s">
        <v>123</v>
      </c>
      <c r="D80" s="23">
        <v>2</v>
      </c>
      <c r="E80" s="25" t="s">
        <v>43</v>
      </c>
      <c r="F80" s="25" t="s">
        <v>302</v>
      </c>
      <c r="G80" s="23" t="s">
        <v>27</v>
      </c>
      <c r="H80" s="23" t="s">
        <v>152</v>
      </c>
      <c r="I80" s="25">
        <v>1974</v>
      </c>
      <c r="J80" s="35">
        <v>30</v>
      </c>
      <c r="K80" s="35">
        <v>40</v>
      </c>
      <c r="L80" s="35">
        <v>20</v>
      </c>
      <c r="M80" s="25">
        <v>6</v>
      </c>
      <c r="N80" s="25">
        <v>4</v>
      </c>
      <c r="R80" s="30">
        <f t="shared" si="14"/>
        <v>10</v>
      </c>
      <c r="S80" s="37">
        <v>0.9</v>
      </c>
      <c r="T80" s="30">
        <f t="shared" si="27"/>
        <v>14.222057142857143</v>
      </c>
      <c r="U80" s="37">
        <v>0.9</v>
      </c>
      <c r="V80" s="30">
        <f t="shared" si="24"/>
        <v>19.161257142857146</v>
      </c>
      <c r="W80" s="25">
        <v>102</v>
      </c>
      <c r="X80" s="31">
        <f t="shared" si="15"/>
        <v>191.76000000000002</v>
      </c>
      <c r="Y80" s="25">
        <v>141</v>
      </c>
      <c r="Z80" s="25">
        <v>11</v>
      </c>
      <c r="AA80" s="25">
        <v>45</v>
      </c>
      <c r="AB80" s="37">
        <v>1</v>
      </c>
      <c r="AC80" s="30">
        <f t="shared" si="25"/>
        <v>100</v>
      </c>
      <c r="AD80" s="31">
        <f t="shared" si="16"/>
        <v>1</v>
      </c>
      <c r="AE80" s="31">
        <f t="shared" si="17"/>
        <v>8</v>
      </c>
      <c r="AF80" s="31" t="str">
        <f t="shared" si="18"/>
        <v/>
      </c>
      <c r="AG80" s="31" t="str">
        <f t="shared" si="19"/>
        <v/>
      </c>
      <c r="AH80" s="31" t="str">
        <f t="shared" si="20"/>
        <v/>
      </c>
      <c r="AI80" s="31" t="str">
        <f t="shared" si="21"/>
        <v/>
      </c>
      <c r="AJ80" s="25">
        <v>9</v>
      </c>
      <c r="AK80" s="25">
        <v>0</v>
      </c>
      <c r="AL80" s="25">
        <v>0</v>
      </c>
      <c r="AM80" s="23" t="s">
        <v>206</v>
      </c>
      <c r="AN80" s="23" t="s">
        <v>92</v>
      </c>
      <c r="AO80" s="25">
        <v>256</v>
      </c>
      <c r="AR80" s="32" t="str">
        <f t="shared" si="22"/>
        <v>2 doors</v>
      </c>
      <c r="AT80" s="23" t="s">
        <v>48</v>
      </c>
      <c r="AU80" s="23" t="str">
        <f t="shared" si="26"/>
        <v>CC</v>
      </c>
      <c r="AV80" s="34">
        <f t="shared" si="23"/>
        <v>1300.02</v>
      </c>
      <c r="AW80" s="23">
        <v>13</v>
      </c>
      <c r="AX80" s="23">
        <v>0</v>
      </c>
      <c r="AY80" s="23">
        <v>2</v>
      </c>
    </row>
    <row r="81" spans="1:51">
      <c r="A81" s="25">
        <v>256</v>
      </c>
      <c r="C81" s="23" t="s">
        <v>123</v>
      </c>
      <c r="D81" s="23">
        <v>2</v>
      </c>
      <c r="E81" s="25" t="s">
        <v>284</v>
      </c>
      <c r="F81" s="25" t="s">
        <v>316</v>
      </c>
      <c r="G81" s="23" t="s">
        <v>27</v>
      </c>
      <c r="H81" s="23" t="s">
        <v>152</v>
      </c>
      <c r="I81" s="25">
        <v>1974</v>
      </c>
      <c r="J81" s="35">
        <v>30</v>
      </c>
      <c r="K81" s="35">
        <v>40</v>
      </c>
      <c r="L81" s="35">
        <v>20</v>
      </c>
      <c r="M81" s="25">
        <v>6</v>
      </c>
      <c r="N81" s="25">
        <v>4</v>
      </c>
      <c r="R81" s="30">
        <f t="shared" si="14"/>
        <v>10</v>
      </c>
      <c r="S81" s="37">
        <v>0.9</v>
      </c>
      <c r="T81" s="30">
        <f t="shared" si="27"/>
        <v>14.222057142857143</v>
      </c>
      <c r="U81" s="37">
        <v>0.9</v>
      </c>
      <c r="V81" s="30">
        <f t="shared" si="24"/>
        <v>19.161257142857146</v>
      </c>
      <c r="W81" s="25">
        <v>102</v>
      </c>
      <c r="X81" s="31">
        <f t="shared" si="15"/>
        <v>191.76000000000002</v>
      </c>
      <c r="Y81" s="25">
        <v>141</v>
      </c>
      <c r="Z81" s="25">
        <v>11</v>
      </c>
      <c r="AA81" s="25">
        <v>45</v>
      </c>
      <c r="AB81" s="37">
        <v>1</v>
      </c>
      <c r="AC81" s="30">
        <f t="shared" si="25"/>
        <v>100</v>
      </c>
      <c r="AD81" s="31">
        <f t="shared" si="16"/>
        <v>1</v>
      </c>
      <c r="AE81" s="31">
        <f t="shared" si="17"/>
        <v>8</v>
      </c>
      <c r="AF81" s="31" t="str">
        <f t="shared" si="18"/>
        <v/>
      </c>
      <c r="AG81" s="31" t="str">
        <f t="shared" si="19"/>
        <v/>
      </c>
      <c r="AH81" s="31" t="str">
        <f t="shared" si="20"/>
        <v/>
      </c>
      <c r="AI81" s="31" t="str">
        <f t="shared" si="21"/>
        <v/>
      </c>
      <c r="AJ81" s="25">
        <v>9</v>
      </c>
      <c r="AK81" s="25">
        <v>0</v>
      </c>
      <c r="AL81" s="25">
        <v>0</v>
      </c>
      <c r="AM81" s="23" t="s">
        <v>206</v>
      </c>
      <c r="AN81" s="23" t="s">
        <v>92</v>
      </c>
      <c r="AO81" s="25">
        <v>256</v>
      </c>
      <c r="AR81" s="32" t="str">
        <f t="shared" si="22"/>
        <v>2 doors</v>
      </c>
      <c r="AT81" s="23" t="s">
        <v>48</v>
      </c>
      <c r="AU81" s="23" t="str">
        <f t="shared" si="26"/>
        <v>CC</v>
      </c>
      <c r="AV81" s="34">
        <f t="shared" si="23"/>
        <v>1300.03</v>
      </c>
      <c r="AW81" s="23">
        <v>13</v>
      </c>
      <c r="AX81" s="23">
        <v>0</v>
      </c>
      <c r="AY81" s="23">
        <v>3</v>
      </c>
    </row>
    <row r="82" spans="1:51">
      <c r="A82" s="25">
        <v>256</v>
      </c>
      <c r="C82" s="23" t="s">
        <v>123</v>
      </c>
      <c r="D82" s="23">
        <v>2</v>
      </c>
      <c r="E82" s="25" t="s">
        <v>285</v>
      </c>
      <c r="F82" s="25" t="s">
        <v>303</v>
      </c>
      <c r="G82" s="23" t="s">
        <v>27</v>
      </c>
      <c r="H82" s="23" t="s">
        <v>152</v>
      </c>
      <c r="I82" s="25">
        <v>1974</v>
      </c>
      <c r="J82" s="35">
        <v>30</v>
      </c>
      <c r="K82" s="35">
        <v>40</v>
      </c>
      <c r="L82" s="35">
        <v>20</v>
      </c>
      <c r="M82" s="25">
        <v>6</v>
      </c>
      <c r="N82" s="25">
        <v>4</v>
      </c>
      <c r="R82" s="30">
        <f t="shared" si="14"/>
        <v>10</v>
      </c>
      <c r="S82" s="37">
        <v>0.9</v>
      </c>
      <c r="T82" s="30">
        <f t="shared" si="27"/>
        <v>14.222057142857143</v>
      </c>
      <c r="U82" s="37">
        <v>0.9</v>
      </c>
      <c r="V82" s="30">
        <f t="shared" si="24"/>
        <v>19.161257142857146</v>
      </c>
      <c r="W82" s="25">
        <v>102</v>
      </c>
      <c r="X82" s="31">
        <f t="shared" si="15"/>
        <v>191.76000000000002</v>
      </c>
      <c r="Y82" s="25">
        <v>141</v>
      </c>
      <c r="Z82" s="25">
        <v>11</v>
      </c>
      <c r="AA82" s="25">
        <v>45</v>
      </c>
      <c r="AB82" s="37">
        <v>1</v>
      </c>
      <c r="AC82" s="30">
        <f t="shared" si="25"/>
        <v>100</v>
      </c>
      <c r="AD82" s="31">
        <f t="shared" si="16"/>
        <v>1</v>
      </c>
      <c r="AE82" s="31">
        <f t="shared" si="17"/>
        <v>8</v>
      </c>
      <c r="AF82" s="31" t="str">
        <f t="shared" si="18"/>
        <v/>
      </c>
      <c r="AG82" s="31" t="str">
        <f t="shared" si="19"/>
        <v/>
      </c>
      <c r="AH82" s="31" t="str">
        <f t="shared" si="20"/>
        <v/>
      </c>
      <c r="AI82" s="31" t="str">
        <f t="shared" si="21"/>
        <v/>
      </c>
      <c r="AJ82" s="25">
        <v>9</v>
      </c>
      <c r="AK82" s="25">
        <v>0</v>
      </c>
      <c r="AL82" s="25">
        <v>0</v>
      </c>
      <c r="AM82" s="23" t="s">
        <v>206</v>
      </c>
      <c r="AN82" s="23" t="s">
        <v>92</v>
      </c>
      <c r="AO82" s="25">
        <v>256</v>
      </c>
      <c r="AR82" s="32" t="str">
        <f t="shared" si="22"/>
        <v>2 doors</v>
      </c>
      <c r="AT82" s="23" t="s">
        <v>48</v>
      </c>
      <c r="AU82" s="23" t="str">
        <f t="shared" si="26"/>
        <v>CC</v>
      </c>
      <c r="AV82" s="34">
        <f t="shared" si="23"/>
        <v>1300.04</v>
      </c>
      <c r="AW82" s="23">
        <v>13</v>
      </c>
      <c r="AX82" s="23">
        <v>0</v>
      </c>
      <c r="AY82" s="23">
        <v>4</v>
      </c>
    </row>
    <row r="83" spans="1:51">
      <c r="A83" s="25">
        <v>256</v>
      </c>
      <c r="C83" s="23" t="s">
        <v>123</v>
      </c>
      <c r="D83" s="23">
        <v>2</v>
      </c>
      <c r="E83" s="25" t="s">
        <v>286</v>
      </c>
      <c r="F83" s="25" t="s">
        <v>308</v>
      </c>
      <c r="G83" s="23" t="s">
        <v>27</v>
      </c>
      <c r="H83" s="23" t="s">
        <v>152</v>
      </c>
      <c r="I83" s="25">
        <v>1974</v>
      </c>
      <c r="J83" s="35">
        <v>30</v>
      </c>
      <c r="K83" s="35">
        <v>40</v>
      </c>
      <c r="L83" s="35">
        <v>20</v>
      </c>
      <c r="M83" s="25">
        <v>6</v>
      </c>
      <c r="N83" s="25">
        <v>4</v>
      </c>
      <c r="R83" s="30">
        <f t="shared" si="14"/>
        <v>10</v>
      </c>
      <c r="S83" s="37">
        <v>0.9</v>
      </c>
      <c r="T83" s="30">
        <f t="shared" si="27"/>
        <v>14.222057142857143</v>
      </c>
      <c r="U83" s="37">
        <v>0.9</v>
      </c>
      <c r="V83" s="30">
        <f t="shared" si="24"/>
        <v>19.161257142857146</v>
      </c>
      <c r="W83" s="25">
        <v>102</v>
      </c>
      <c r="X83" s="31">
        <f t="shared" si="15"/>
        <v>191.76000000000002</v>
      </c>
      <c r="Y83" s="25">
        <v>141</v>
      </c>
      <c r="Z83" s="25">
        <v>11</v>
      </c>
      <c r="AA83" s="25">
        <v>45</v>
      </c>
      <c r="AB83" s="37">
        <v>1</v>
      </c>
      <c r="AC83" s="30">
        <f t="shared" si="25"/>
        <v>100</v>
      </c>
      <c r="AD83" s="31">
        <f t="shared" si="16"/>
        <v>1</v>
      </c>
      <c r="AE83" s="31">
        <f t="shared" si="17"/>
        <v>8</v>
      </c>
      <c r="AF83" s="31" t="str">
        <f t="shared" si="18"/>
        <v/>
      </c>
      <c r="AG83" s="31" t="str">
        <f t="shared" si="19"/>
        <v/>
      </c>
      <c r="AH83" s="31" t="str">
        <f t="shared" si="20"/>
        <v/>
      </c>
      <c r="AI83" s="31" t="str">
        <f t="shared" si="21"/>
        <v/>
      </c>
      <c r="AJ83" s="25">
        <v>9</v>
      </c>
      <c r="AK83" s="25">
        <v>0</v>
      </c>
      <c r="AL83" s="25">
        <v>0</v>
      </c>
      <c r="AM83" s="23" t="s">
        <v>206</v>
      </c>
      <c r="AN83" s="23" t="s">
        <v>92</v>
      </c>
      <c r="AO83" s="25">
        <v>256</v>
      </c>
      <c r="AR83" s="32" t="str">
        <f t="shared" si="22"/>
        <v>2 doors</v>
      </c>
      <c r="AT83" s="23" t="s">
        <v>48</v>
      </c>
      <c r="AU83" s="23" t="str">
        <f t="shared" si="26"/>
        <v>CC</v>
      </c>
      <c r="AV83" s="34">
        <f t="shared" si="23"/>
        <v>1300.05</v>
      </c>
      <c r="AW83" s="23">
        <v>13</v>
      </c>
      <c r="AX83" s="23">
        <v>0</v>
      </c>
      <c r="AY83" s="23">
        <v>5</v>
      </c>
    </row>
    <row r="84" spans="1:51">
      <c r="A84" s="25">
        <v>256</v>
      </c>
      <c r="C84" s="23" t="s">
        <v>328</v>
      </c>
      <c r="D84" s="23">
        <v>2</v>
      </c>
      <c r="E84" s="25" t="s">
        <v>30</v>
      </c>
      <c r="F84" s="25" t="s">
        <v>314</v>
      </c>
      <c r="G84" s="23" t="s">
        <v>27</v>
      </c>
      <c r="H84" s="23" t="s">
        <v>153</v>
      </c>
      <c r="I84" s="25">
        <v>1980</v>
      </c>
      <c r="J84" s="35">
        <v>30</v>
      </c>
      <c r="K84" s="35">
        <v>40</v>
      </c>
      <c r="L84" s="35">
        <v>20</v>
      </c>
      <c r="M84" s="25">
        <v>6</v>
      </c>
      <c r="N84" s="25">
        <v>4</v>
      </c>
      <c r="R84" s="30">
        <f t="shared" si="14"/>
        <v>10</v>
      </c>
      <c r="S84" s="37">
        <v>1.1000000000000001</v>
      </c>
      <c r="T84" s="30">
        <f t="shared" si="27"/>
        <v>18.803714285714292</v>
      </c>
      <c r="U84" s="37">
        <v>1</v>
      </c>
      <c r="V84" s="30">
        <f t="shared" si="24"/>
        <v>23.874285714285719</v>
      </c>
      <c r="W84" s="25">
        <v>102</v>
      </c>
      <c r="X84" s="31">
        <f t="shared" si="15"/>
        <v>217.60000000000002</v>
      </c>
      <c r="Y84" s="25">
        <v>160</v>
      </c>
      <c r="Z84" s="25">
        <v>11</v>
      </c>
      <c r="AA84" s="25">
        <v>45</v>
      </c>
      <c r="AB84" s="37">
        <v>0.8</v>
      </c>
      <c r="AC84" s="30">
        <f t="shared" si="25"/>
        <v>120</v>
      </c>
      <c r="AD84" s="31">
        <f t="shared" si="16"/>
        <v>1</v>
      </c>
      <c r="AE84" s="31">
        <f t="shared" si="17"/>
        <v>8</v>
      </c>
      <c r="AF84" s="31" t="str">
        <f t="shared" si="18"/>
        <v/>
      </c>
      <c r="AG84" s="31" t="str">
        <f t="shared" si="19"/>
        <v/>
      </c>
      <c r="AH84" s="31" t="str">
        <f t="shared" si="20"/>
        <v/>
      </c>
      <c r="AI84" s="31" t="str">
        <f t="shared" si="21"/>
        <v/>
      </c>
      <c r="AJ84" s="25">
        <v>9</v>
      </c>
      <c r="AK84" s="25">
        <v>0</v>
      </c>
      <c r="AL84" s="25">
        <v>0</v>
      </c>
      <c r="AM84" s="23" t="s">
        <v>206</v>
      </c>
      <c r="AN84" s="23" t="s">
        <v>92</v>
      </c>
      <c r="AO84" s="25">
        <v>256</v>
      </c>
      <c r="AR84" s="32" t="str">
        <f t="shared" si="22"/>
        <v>2 doors</v>
      </c>
      <c r="AT84" s="23" t="s">
        <v>47</v>
      </c>
      <c r="AU84" s="23" t="str">
        <f t="shared" si="26"/>
        <v>CC</v>
      </c>
      <c r="AV84" s="34">
        <f t="shared" si="23"/>
        <v>1320</v>
      </c>
      <c r="AW84" s="23">
        <v>13</v>
      </c>
      <c r="AX84" s="23">
        <v>20</v>
      </c>
      <c r="AY84" s="23">
        <v>0</v>
      </c>
    </row>
    <row r="85" spans="1:51">
      <c r="A85" s="25">
        <v>256</v>
      </c>
      <c r="C85" s="23" t="s">
        <v>328</v>
      </c>
      <c r="D85" s="23">
        <v>2</v>
      </c>
      <c r="E85" s="25" t="s">
        <v>42</v>
      </c>
      <c r="F85" s="25" t="s">
        <v>304</v>
      </c>
      <c r="G85" s="23" t="s">
        <v>27</v>
      </c>
      <c r="H85" s="23" t="s">
        <v>153</v>
      </c>
      <c r="I85" s="25">
        <v>1980</v>
      </c>
      <c r="J85" s="35">
        <v>30</v>
      </c>
      <c r="K85" s="35">
        <v>40</v>
      </c>
      <c r="L85" s="35">
        <v>20</v>
      </c>
      <c r="M85" s="25">
        <v>6</v>
      </c>
      <c r="N85" s="25">
        <v>4</v>
      </c>
      <c r="R85" s="30">
        <f t="shared" si="14"/>
        <v>10</v>
      </c>
      <c r="S85" s="37">
        <v>1.1000000000000001</v>
      </c>
      <c r="T85" s="30">
        <f t="shared" si="27"/>
        <v>18.803714285714292</v>
      </c>
      <c r="U85" s="37">
        <v>1</v>
      </c>
      <c r="V85" s="30">
        <f t="shared" si="24"/>
        <v>23.874285714285719</v>
      </c>
      <c r="W85" s="25">
        <v>102</v>
      </c>
      <c r="X85" s="31">
        <f t="shared" si="15"/>
        <v>217.60000000000002</v>
      </c>
      <c r="Y85" s="25">
        <v>160</v>
      </c>
      <c r="Z85" s="25">
        <v>11</v>
      </c>
      <c r="AA85" s="25">
        <v>45</v>
      </c>
      <c r="AB85" s="37">
        <v>0.8</v>
      </c>
      <c r="AC85" s="30">
        <f t="shared" si="25"/>
        <v>120</v>
      </c>
      <c r="AD85" s="31">
        <f t="shared" si="16"/>
        <v>1</v>
      </c>
      <c r="AE85" s="31">
        <f t="shared" si="17"/>
        <v>8</v>
      </c>
      <c r="AF85" s="31" t="str">
        <f t="shared" si="18"/>
        <v/>
      </c>
      <c r="AG85" s="31" t="str">
        <f t="shared" si="19"/>
        <v/>
      </c>
      <c r="AH85" s="31" t="str">
        <f t="shared" si="20"/>
        <v/>
      </c>
      <c r="AI85" s="31" t="str">
        <f t="shared" si="21"/>
        <v/>
      </c>
      <c r="AJ85" s="25">
        <v>9</v>
      </c>
      <c r="AK85" s="25">
        <v>0</v>
      </c>
      <c r="AL85" s="25">
        <v>0</v>
      </c>
      <c r="AM85" s="23" t="s">
        <v>206</v>
      </c>
      <c r="AN85" s="23" t="s">
        <v>92</v>
      </c>
      <c r="AO85" s="25">
        <v>256</v>
      </c>
      <c r="AR85" s="32" t="str">
        <f t="shared" si="22"/>
        <v>2 doors</v>
      </c>
      <c r="AT85" s="23" t="s">
        <v>47</v>
      </c>
      <c r="AU85" s="23" t="str">
        <f t="shared" si="26"/>
        <v>CC</v>
      </c>
      <c r="AV85" s="34">
        <f t="shared" si="23"/>
        <v>1320.01</v>
      </c>
      <c r="AW85" s="23">
        <v>13</v>
      </c>
      <c r="AX85" s="23">
        <v>20</v>
      </c>
      <c r="AY85" s="23">
        <v>1</v>
      </c>
    </row>
    <row r="86" spans="1:51">
      <c r="A86" s="25">
        <v>256</v>
      </c>
      <c r="C86" s="23" t="s">
        <v>328</v>
      </c>
      <c r="D86" s="23">
        <v>2</v>
      </c>
      <c r="E86" s="25" t="s">
        <v>43</v>
      </c>
      <c r="F86" s="25" t="s">
        <v>302</v>
      </c>
      <c r="G86" s="23" t="s">
        <v>27</v>
      </c>
      <c r="H86" s="23" t="s">
        <v>153</v>
      </c>
      <c r="I86" s="25">
        <v>1980</v>
      </c>
      <c r="J86" s="35">
        <v>30</v>
      </c>
      <c r="K86" s="35">
        <v>40</v>
      </c>
      <c r="L86" s="35">
        <v>20</v>
      </c>
      <c r="M86" s="25">
        <v>6</v>
      </c>
      <c r="N86" s="25">
        <v>4</v>
      </c>
      <c r="R86" s="30">
        <f t="shared" si="14"/>
        <v>10</v>
      </c>
      <c r="S86" s="37">
        <v>1.1000000000000001</v>
      </c>
      <c r="T86" s="30">
        <f t="shared" si="27"/>
        <v>18.803714285714292</v>
      </c>
      <c r="U86" s="37">
        <v>1</v>
      </c>
      <c r="V86" s="30">
        <f t="shared" si="24"/>
        <v>23.874285714285719</v>
      </c>
      <c r="W86" s="25">
        <v>102</v>
      </c>
      <c r="X86" s="31">
        <f t="shared" si="15"/>
        <v>217.60000000000002</v>
      </c>
      <c r="Y86" s="25">
        <v>160</v>
      </c>
      <c r="Z86" s="25">
        <v>11</v>
      </c>
      <c r="AA86" s="25">
        <v>45</v>
      </c>
      <c r="AB86" s="37">
        <v>0.8</v>
      </c>
      <c r="AC86" s="30">
        <f t="shared" si="25"/>
        <v>120</v>
      </c>
      <c r="AD86" s="31">
        <f t="shared" si="16"/>
        <v>1</v>
      </c>
      <c r="AE86" s="31">
        <f t="shared" si="17"/>
        <v>8</v>
      </c>
      <c r="AF86" s="31" t="str">
        <f t="shared" si="18"/>
        <v/>
      </c>
      <c r="AG86" s="31" t="str">
        <f t="shared" si="19"/>
        <v/>
      </c>
      <c r="AH86" s="31" t="str">
        <f t="shared" si="20"/>
        <v/>
      </c>
      <c r="AI86" s="31" t="str">
        <f t="shared" si="21"/>
        <v/>
      </c>
      <c r="AJ86" s="25">
        <v>9</v>
      </c>
      <c r="AK86" s="25">
        <v>0</v>
      </c>
      <c r="AL86" s="25">
        <v>0</v>
      </c>
      <c r="AM86" s="23" t="s">
        <v>206</v>
      </c>
      <c r="AN86" s="23" t="s">
        <v>92</v>
      </c>
      <c r="AO86" s="25">
        <v>256</v>
      </c>
      <c r="AR86" s="32" t="str">
        <f t="shared" si="22"/>
        <v>2 doors</v>
      </c>
      <c r="AT86" s="23" t="s">
        <v>47</v>
      </c>
      <c r="AU86" s="23" t="str">
        <f t="shared" si="26"/>
        <v>CC</v>
      </c>
      <c r="AV86" s="34">
        <f t="shared" si="23"/>
        <v>1320.02</v>
      </c>
      <c r="AW86" s="23">
        <v>13</v>
      </c>
      <c r="AX86" s="23">
        <v>20</v>
      </c>
      <c r="AY86" s="23">
        <v>2</v>
      </c>
    </row>
    <row r="87" spans="1:51">
      <c r="A87" s="25">
        <v>256</v>
      </c>
      <c r="C87" s="23" t="s">
        <v>328</v>
      </c>
      <c r="D87" s="23">
        <v>2</v>
      </c>
      <c r="E87" s="25" t="s">
        <v>284</v>
      </c>
      <c r="F87" s="25" t="s">
        <v>316</v>
      </c>
      <c r="G87" s="23" t="s">
        <v>27</v>
      </c>
      <c r="H87" s="23" t="s">
        <v>153</v>
      </c>
      <c r="I87" s="25">
        <v>1980</v>
      </c>
      <c r="J87" s="35">
        <v>30</v>
      </c>
      <c r="K87" s="35">
        <v>40</v>
      </c>
      <c r="L87" s="35">
        <v>20</v>
      </c>
      <c r="M87" s="25">
        <v>6</v>
      </c>
      <c r="N87" s="25">
        <v>4</v>
      </c>
      <c r="R87" s="30">
        <f t="shared" si="14"/>
        <v>10</v>
      </c>
      <c r="S87" s="37">
        <v>1.1000000000000001</v>
      </c>
      <c r="T87" s="30">
        <f t="shared" si="27"/>
        <v>18.803714285714292</v>
      </c>
      <c r="U87" s="37">
        <v>1</v>
      </c>
      <c r="V87" s="30">
        <f t="shared" si="24"/>
        <v>23.874285714285719</v>
      </c>
      <c r="W87" s="25">
        <v>102</v>
      </c>
      <c r="X87" s="31">
        <f t="shared" si="15"/>
        <v>217.60000000000002</v>
      </c>
      <c r="Y87" s="25">
        <v>160</v>
      </c>
      <c r="Z87" s="25">
        <v>11</v>
      </c>
      <c r="AA87" s="25">
        <v>45</v>
      </c>
      <c r="AB87" s="37">
        <v>0.8</v>
      </c>
      <c r="AC87" s="30">
        <f t="shared" si="25"/>
        <v>120</v>
      </c>
      <c r="AD87" s="31">
        <f t="shared" si="16"/>
        <v>1</v>
      </c>
      <c r="AE87" s="31">
        <f t="shared" si="17"/>
        <v>8</v>
      </c>
      <c r="AF87" s="31" t="str">
        <f t="shared" si="18"/>
        <v/>
      </c>
      <c r="AG87" s="31" t="str">
        <f t="shared" si="19"/>
        <v/>
      </c>
      <c r="AH87" s="31" t="str">
        <f t="shared" si="20"/>
        <v/>
      </c>
      <c r="AI87" s="31" t="str">
        <f t="shared" si="21"/>
        <v/>
      </c>
      <c r="AJ87" s="25">
        <v>9</v>
      </c>
      <c r="AK87" s="25">
        <v>0</v>
      </c>
      <c r="AL87" s="25">
        <v>0</v>
      </c>
      <c r="AM87" s="23" t="s">
        <v>206</v>
      </c>
      <c r="AN87" s="23" t="s">
        <v>92</v>
      </c>
      <c r="AO87" s="25">
        <v>256</v>
      </c>
      <c r="AR87" s="32" t="str">
        <f t="shared" si="22"/>
        <v>2 doors</v>
      </c>
      <c r="AT87" s="23" t="s">
        <v>47</v>
      </c>
      <c r="AU87" s="23" t="str">
        <f t="shared" si="26"/>
        <v>CC</v>
      </c>
      <c r="AV87" s="34">
        <f t="shared" si="23"/>
        <v>1320.03</v>
      </c>
      <c r="AW87" s="23">
        <v>13</v>
      </c>
      <c r="AX87" s="23">
        <v>20</v>
      </c>
      <c r="AY87" s="23">
        <v>3</v>
      </c>
    </row>
    <row r="88" spans="1:51">
      <c r="A88" s="25">
        <v>256</v>
      </c>
      <c r="C88" s="23" t="s">
        <v>328</v>
      </c>
      <c r="D88" s="23">
        <v>2</v>
      </c>
      <c r="E88" s="25" t="s">
        <v>285</v>
      </c>
      <c r="F88" s="25" t="s">
        <v>303</v>
      </c>
      <c r="G88" s="23" t="s">
        <v>27</v>
      </c>
      <c r="H88" s="23" t="s">
        <v>153</v>
      </c>
      <c r="I88" s="25">
        <v>1980</v>
      </c>
      <c r="J88" s="35">
        <v>30</v>
      </c>
      <c r="K88" s="35">
        <v>40</v>
      </c>
      <c r="L88" s="35">
        <v>20</v>
      </c>
      <c r="M88" s="25">
        <v>6</v>
      </c>
      <c r="N88" s="25">
        <v>4</v>
      </c>
      <c r="R88" s="30">
        <f t="shared" si="14"/>
        <v>10</v>
      </c>
      <c r="S88" s="37">
        <v>1.1000000000000001</v>
      </c>
      <c r="T88" s="30">
        <f t="shared" si="27"/>
        <v>18.803714285714292</v>
      </c>
      <c r="U88" s="37">
        <v>1</v>
      </c>
      <c r="V88" s="30">
        <f t="shared" si="24"/>
        <v>23.874285714285719</v>
      </c>
      <c r="W88" s="25">
        <v>102</v>
      </c>
      <c r="X88" s="31">
        <f t="shared" si="15"/>
        <v>217.60000000000002</v>
      </c>
      <c r="Y88" s="25">
        <v>160</v>
      </c>
      <c r="Z88" s="25">
        <v>11</v>
      </c>
      <c r="AA88" s="25">
        <v>45</v>
      </c>
      <c r="AB88" s="37">
        <v>0.8</v>
      </c>
      <c r="AC88" s="30">
        <f t="shared" si="25"/>
        <v>120</v>
      </c>
      <c r="AD88" s="31">
        <f t="shared" si="16"/>
        <v>1</v>
      </c>
      <c r="AE88" s="31">
        <f t="shared" si="17"/>
        <v>8</v>
      </c>
      <c r="AF88" s="31" t="str">
        <f t="shared" si="18"/>
        <v/>
      </c>
      <c r="AG88" s="31" t="str">
        <f t="shared" si="19"/>
        <v/>
      </c>
      <c r="AH88" s="31" t="str">
        <f t="shared" si="20"/>
        <v/>
      </c>
      <c r="AI88" s="31" t="str">
        <f t="shared" si="21"/>
        <v/>
      </c>
      <c r="AJ88" s="25">
        <v>9</v>
      </c>
      <c r="AK88" s="25">
        <v>0</v>
      </c>
      <c r="AL88" s="25">
        <v>0</v>
      </c>
      <c r="AM88" s="23" t="s">
        <v>206</v>
      </c>
      <c r="AN88" s="23" t="s">
        <v>92</v>
      </c>
      <c r="AO88" s="25">
        <v>256</v>
      </c>
      <c r="AR88" s="32" t="str">
        <f t="shared" si="22"/>
        <v>2 doors</v>
      </c>
      <c r="AT88" s="23" t="s">
        <v>47</v>
      </c>
      <c r="AU88" s="23" t="str">
        <f t="shared" si="26"/>
        <v>CC</v>
      </c>
      <c r="AV88" s="34">
        <f t="shared" si="23"/>
        <v>1320.04</v>
      </c>
      <c r="AW88" s="23">
        <v>13</v>
      </c>
      <c r="AX88" s="23">
        <v>20</v>
      </c>
      <c r="AY88" s="23">
        <v>4</v>
      </c>
    </row>
    <row r="89" spans="1:51">
      <c r="A89" s="25">
        <v>256</v>
      </c>
      <c r="C89" s="23" t="s">
        <v>328</v>
      </c>
      <c r="D89" s="23">
        <v>2</v>
      </c>
      <c r="E89" s="25" t="s">
        <v>286</v>
      </c>
      <c r="F89" s="25" t="s">
        <v>308</v>
      </c>
      <c r="G89" s="23" t="s">
        <v>27</v>
      </c>
      <c r="H89" s="23" t="s">
        <v>153</v>
      </c>
      <c r="I89" s="25">
        <v>1980</v>
      </c>
      <c r="J89" s="35">
        <v>30</v>
      </c>
      <c r="K89" s="35">
        <v>40</v>
      </c>
      <c r="L89" s="35">
        <v>20</v>
      </c>
      <c r="M89" s="25">
        <v>6</v>
      </c>
      <c r="N89" s="25">
        <v>4</v>
      </c>
      <c r="R89" s="30">
        <f t="shared" si="14"/>
        <v>10</v>
      </c>
      <c r="S89" s="37">
        <v>1.1000000000000001</v>
      </c>
      <c r="T89" s="30">
        <f t="shared" si="27"/>
        <v>18.803714285714292</v>
      </c>
      <c r="U89" s="37">
        <v>1</v>
      </c>
      <c r="V89" s="30">
        <f t="shared" si="24"/>
        <v>23.874285714285719</v>
      </c>
      <c r="W89" s="25">
        <v>102</v>
      </c>
      <c r="X89" s="31">
        <f t="shared" si="15"/>
        <v>217.60000000000002</v>
      </c>
      <c r="Y89" s="25">
        <v>160</v>
      </c>
      <c r="Z89" s="25">
        <v>11</v>
      </c>
      <c r="AA89" s="25">
        <v>45</v>
      </c>
      <c r="AB89" s="37">
        <v>0.8</v>
      </c>
      <c r="AC89" s="30">
        <f t="shared" si="25"/>
        <v>120</v>
      </c>
      <c r="AD89" s="31">
        <f t="shared" si="16"/>
        <v>1</v>
      </c>
      <c r="AE89" s="31">
        <f t="shared" si="17"/>
        <v>8</v>
      </c>
      <c r="AF89" s="31" t="str">
        <f t="shared" si="18"/>
        <v/>
      </c>
      <c r="AG89" s="31" t="str">
        <f t="shared" si="19"/>
        <v/>
      </c>
      <c r="AH89" s="31" t="str">
        <f t="shared" si="20"/>
        <v/>
      </c>
      <c r="AI89" s="31" t="str">
        <f t="shared" si="21"/>
        <v/>
      </c>
      <c r="AJ89" s="25">
        <v>9</v>
      </c>
      <c r="AK89" s="25">
        <v>0</v>
      </c>
      <c r="AL89" s="25">
        <v>0</v>
      </c>
      <c r="AM89" s="23" t="s">
        <v>206</v>
      </c>
      <c r="AN89" s="23" t="s">
        <v>92</v>
      </c>
      <c r="AO89" s="25">
        <v>256</v>
      </c>
      <c r="AR89" s="32" t="str">
        <f t="shared" si="22"/>
        <v>2 doors</v>
      </c>
      <c r="AT89" s="23" t="s">
        <v>47</v>
      </c>
      <c r="AU89" s="23" t="str">
        <f t="shared" si="26"/>
        <v>CC</v>
      </c>
      <c r="AV89" s="34">
        <f t="shared" si="23"/>
        <v>1320.05</v>
      </c>
      <c r="AW89" s="23">
        <v>13</v>
      </c>
      <c r="AX89" s="23">
        <v>20</v>
      </c>
      <c r="AY89" s="23">
        <v>5</v>
      </c>
    </row>
    <row r="90" spans="1:51">
      <c r="A90" s="25">
        <v>256</v>
      </c>
      <c r="C90" s="23" t="s">
        <v>328</v>
      </c>
      <c r="D90" s="23">
        <v>2</v>
      </c>
      <c r="E90" s="25" t="s">
        <v>46</v>
      </c>
      <c r="F90" s="25" t="s">
        <v>46</v>
      </c>
      <c r="G90" s="23" t="s">
        <v>27</v>
      </c>
      <c r="H90" s="23" t="s">
        <v>153</v>
      </c>
      <c r="I90" s="25">
        <v>1980</v>
      </c>
      <c r="J90" s="35">
        <v>30</v>
      </c>
      <c r="K90" s="35">
        <v>40</v>
      </c>
      <c r="L90" s="35">
        <v>20</v>
      </c>
      <c r="M90" s="25">
        <v>6</v>
      </c>
      <c r="N90" s="25">
        <v>4</v>
      </c>
      <c r="R90" s="30">
        <f t="shared" si="14"/>
        <v>10</v>
      </c>
      <c r="S90" s="37">
        <v>1.1000000000000001</v>
      </c>
      <c r="T90" s="30">
        <f t="shared" si="27"/>
        <v>18.803714285714292</v>
      </c>
      <c r="U90" s="37">
        <v>1</v>
      </c>
      <c r="V90" s="30">
        <f t="shared" si="24"/>
        <v>23.874285714285719</v>
      </c>
      <c r="W90" s="25">
        <v>102</v>
      </c>
      <c r="X90" s="31">
        <f t="shared" si="15"/>
        <v>217.60000000000002</v>
      </c>
      <c r="Y90" s="25">
        <v>160</v>
      </c>
      <c r="Z90" s="25">
        <v>11</v>
      </c>
      <c r="AA90" s="25">
        <v>45</v>
      </c>
      <c r="AB90" s="37">
        <v>0.8</v>
      </c>
      <c r="AC90" s="30">
        <f t="shared" si="25"/>
        <v>120</v>
      </c>
      <c r="AD90" s="31">
        <f t="shared" si="16"/>
        <v>1</v>
      </c>
      <c r="AE90" s="31">
        <f t="shared" si="17"/>
        <v>8</v>
      </c>
      <c r="AF90" s="31" t="str">
        <f t="shared" si="18"/>
        <v/>
      </c>
      <c r="AG90" s="31" t="str">
        <f t="shared" si="19"/>
        <v/>
      </c>
      <c r="AH90" s="31" t="str">
        <f t="shared" si="20"/>
        <v/>
      </c>
      <c r="AI90" s="31" t="str">
        <f t="shared" si="21"/>
        <v/>
      </c>
      <c r="AJ90" s="25">
        <v>9</v>
      </c>
      <c r="AK90" s="25">
        <v>0</v>
      </c>
      <c r="AL90" s="25">
        <v>0</v>
      </c>
      <c r="AM90" s="23" t="s">
        <v>206</v>
      </c>
      <c r="AN90" s="23" t="s">
        <v>92</v>
      </c>
      <c r="AO90" s="25">
        <v>256</v>
      </c>
      <c r="AR90" s="32" t="str">
        <f t="shared" si="22"/>
        <v>2 doors</v>
      </c>
      <c r="AT90" s="23" t="s">
        <v>47</v>
      </c>
      <c r="AU90" s="23" t="str">
        <f t="shared" si="26"/>
        <v>Hungary</v>
      </c>
      <c r="AV90" s="34">
        <f t="shared" si="23"/>
        <v>1320.06</v>
      </c>
      <c r="AW90" s="23">
        <v>13</v>
      </c>
      <c r="AX90" s="23">
        <v>20</v>
      </c>
      <c r="AY90" s="23">
        <v>6</v>
      </c>
    </row>
    <row r="91" spans="1:51">
      <c r="A91" s="25">
        <v>256</v>
      </c>
      <c r="B91" s="23" t="s">
        <v>329</v>
      </c>
      <c r="C91" s="23" t="s">
        <v>122</v>
      </c>
      <c r="D91" s="23">
        <v>2</v>
      </c>
      <c r="E91" s="25" t="s">
        <v>30</v>
      </c>
      <c r="F91" s="25" t="s">
        <v>302</v>
      </c>
      <c r="G91" s="23" t="s">
        <v>27</v>
      </c>
      <c r="H91" s="23" t="s">
        <v>154</v>
      </c>
      <c r="I91" s="25">
        <v>1993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R91" s="30">
        <f t="shared" si="14"/>
        <v>20</v>
      </c>
      <c r="S91" s="37">
        <v>1</v>
      </c>
      <c r="T91" s="30">
        <f t="shared" si="27"/>
        <v>19.168571428571429</v>
      </c>
      <c r="U91" s="37">
        <v>1</v>
      </c>
      <c r="V91" s="30">
        <f t="shared" si="24"/>
        <v>27.495238095238097</v>
      </c>
      <c r="W91" s="25">
        <v>105</v>
      </c>
      <c r="X91" s="31">
        <f t="shared" si="15"/>
        <v>244.8</v>
      </c>
      <c r="Y91" s="25">
        <v>180</v>
      </c>
      <c r="Z91" s="25">
        <v>11</v>
      </c>
      <c r="AA91" s="25">
        <v>73</v>
      </c>
      <c r="AB91" s="37">
        <v>1</v>
      </c>
      <c r="AC91" s="30">
        <f t="shared" si="25"/>
        <v>200</v>
      </c>
      <c r="AD91" s="31">
        <f t="shared" si="16"/>
        <v>1</v>
      </c>
      <c r="AE91" s="31">
        <f t="shared" si="17"/>
        <v>8</v>
      </c>
      <c r="AF91" s="31" t="str">
        <f t="shared" si="18"/>
        <v/>
      </c>
      <c r="AG91" s="31" t="str">
        <f t="shared" si="19"/>
        <v/>
      </c>
      <c r="AH91" s="31" t="str">
        <f t="shared" si="20"/>
        <v/>
      </c>
      <c r="AI91" s="31" t="str">
        <f t="shared" si="21"/>
        <v/>
      </c>
      <c r="AJ91" s="25">
        <v>9</v>
      </c>
      <c r="AK91" s="25">
        <v>0</v>
      </c>
      <c r="AL91" s="25">
        <v>0</v>
      </c>
      <c r="AM91" s="23" t="s">
        <v>206</v>
      </c>
      <c r="AN91" s="23" t="s">
        <v>92</v>
      </c>
      <c r="AO91" s="25">
        <v>256</v>
      </c>
      <c r="AR91" s="32" t="str">
        <f t="shared" si="22"/>
        <v>2 doors</v>
      </c>
      <c r="AS91" s="23" t="s">
        <v>231</v>
      </c>
      <c r="AT91" s="23" t="s">
        <v>270</v>
      </c>
      <c r="AU91" s="23" t="str">
        <f t="shared" si="26"/>
        <v>CC</v>
      </c>
      <c r="AV91" s="34">
        <f t="shared" si="23"/>
        <v>1340</v>
      </c>
      <c r="AW91" s="23">
        <v>13</v>
      </c>
      <c r="AX91" s="23">
        <v>40</v>
      </c>
      <c r="AY91" s="23">
        <v>0</v>
      </c>
    </row>
    <row r="92" spans="1:51">
      <c r="A92" s="25">
        <v>256</v>
      </c>
      <c r="B92" s="23" t="s">
        <v>329</v>
      </c>
      <c r="C92" s="23" t="s">
        <v>122</v>
      </c>
      <c r="D92" s="23">
        <v>2</v>
      </c>
      <c r="E92" s="25" t="s">
        <v>42</v>
      </c>
      <c r="F92" s="25" t="s">
        <v>303</v>
      </c>
      <c r="G92" s="23" t="s">
        <v>27</v>
      </c>
      <c r="H92" s="23" t="s">
        <v>154</v>
      </c>
      <c r="I92" s="25">
        <v>1993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R92" s="30">
        <f t="shared" si="14"/>
        <v>20</v>
      </c>
      <c r="S92" s="37">
        <v>1</v>
      </c>
      <c r="T92" s="30">
        <f t="shared" si="27"/>
        <v>19.168571428571429</v>
      </c>
      <c r="U92" s="37">
        <v>1</v>
      </c>
      <c r="V92" s="30">
        <f t="shared" si="24"/>
        <v>27.495238095238097</v>
      </c>
      <c r="W92" s="25">
        <v>105</v>
      </c>
      <c r="X92" s="31">
        <f t="shared" si="15"/>
        <v>244.8</v>
      </c>
      <c r="Y92" s="25">
        <v>180</v>
      </c>
      <c r="Z92" s="25">
        <v>11</v>
      </c>
      <c r="AA92" s="25">
        <v>73</v>
      </c>
      <c r="AB92" s="37">
        <v>1</v>
      </c>
      <c r="AC92" s="30">
        <f t="shared" si="25"/>
        <v>200</v>
      </c>
      <c r="AD92" s="31">
        <f t="shared" si="16"/>
        <v>1</v>
      </c>
      <c r="AE92" s="31">
        <f t="shared" si="17"/>
        <v>8</v>
      </c>
      <c r="AF92" s="31" t="str">
        <f t="shared" si="18"/>
        <v/>
      </c>
      <c r="AG92" s="31" t="str">
        <f t="shared" si="19"/>
        <v/>
      </c>
      <c r="AH92" s="31" t="str">
        <f t="shared" si="20"/>
        <v/>
      </c>
      <c r="AI92" s="31" t="str">
        <f t="shared" si="21"/>
        <v/>
      </c>
      <c r="AJ92" s="25">
        <v>9</v>
      </c>
      <c r="AK92" s="25">
        <v>0</v>
      </c>
      <c r="AL92" s="25">
        <v>0</v>
      </c>
      <c r="AM92" s="23" t="s">
        <v>206</v>
      </c>
      <c r="AN92" s="23" t="s">
        <v>92</v>
      </c>
      <c r="AO92" s="25">
        <v>256</v>
      </c>
      <c r="AR92" s="32" t="str">
        <f t="shared" si="22"/>
        <v>2 doors</v>
      </c>
      <c r="AS92" s="23" t="s">
        <v>231</v>
      </c>
      <c r="AT92" s="23" t="s">
        <v>270</v>
      </c>
      <c r="AU92" s="23" t="str">
        <f t="shared" si="26"/>
        <v>CC</v>
      </c>
      <c r="AV92" s="34">
        <f t="shared" si="23"/>
        <v>1340.01</v>
      </c>
      <c r="AW92" s="23">
        <v>13</v>
      </c>
      <c r="AX92" s="23">
        <v>40</v>
      </c>
      <c r="AY92" s="23">
        <v>1</v>
      </c>
    </row>
    <row r="93" spans="1:51">
      <c r="A93" s="25">
        <v>256</v>
      </c>
      <c r="B93" s="23" t="s">
        <v>329</v>
      </c>
      <c r="C93" s="23" t="s">
        <v>122</v>
      </c>
      <c r="D93" s="23">
        <v>2</v>
      </c>
      <c r="E93" s="25" t="s">
        <v>43</v>
      </c>
      <c r="F93" s="25" t="s">
        <v>304</v>
      </c>
      <c r="G93" s="23" t="s">
        <v>27</v>
      </c>
      <c r="H93" s="23" t="s">
        <v>154</v>
      </c>
      <c r="I93" s="25">
        <v>1993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R93" s="30">
        <f t="shared" si="14"/>
        <v>20</v>
      </c>
      <c r="S93" s="37">
        <v>1</v>
      </c>
      <c r="T93" s="30">
        <f t="shared" si="27"/>
        <v>19.168571428571429</v>
      </c>
      <c r="U93" s="37">
        <v>1</v>
      </c>
      <c r="V93" s="30">
        <f t="shared" si="24"/>
        <v>27.495238095238097</v>
      </c>
      <c r="W93" s="25">
        <v>105</v>
      </c>
      <c r="X93" s="31">
        <f t="shared" si="15"/>
        <v>244.8</v>
      </c>
      <c r="Y93" s="25">
        <v>180</v>
      </c>
      <c r="Z93" s="25">
        <v>11</v>
      </c>
      <c r="AA93" s="25">
        <v>73</v>
      </c>
      <c r="AB93" s="37">
        <v>1</v>
      </c>
      <c r="AC93" s="30">
        <f t="shared" si="25"/>
        <v>200</v>
      </c>
      <c r="AD93" s="31">
        <f t="shared" si="16"/>
        <v>1</v>
      </c>
      <c r="AE93" s="31">
        <f t="shared" si="17"/>
        <v>8</v>
      </c>
      <c r="AF93" s="31" t="str">
        <f t="shared" si="18"/>
        <v/>
      </c>
      <c r="AG93" s="31" t="str">
        <f t="shared" si="19"/>
        <v/>
      </c>
      <c r="AH93" s="31" t="str">
        <f t="shared" si="20"/>
        <v/>
      </c>
      <c r="AI93" s="31" t="str">
        <f t="shared" si="21"/>
        <v/>
      </c>
      <c r="AJ93" s="25">
        <v>9</v>
      </c>
      <c r="AK93" s="25">
        <v>0</v>
      </c>
      <c r="AL93" s="25">
        <v>0</v>
      </c>
      <c r="AM93" s="23" t="s">
        <v>206</v>
      </c>
      <c r="AN93" s="23" t="s">
        <v>92</v>
      </c>
      <c r="AO93" s="25">
        <v>256</v>
      </c>
      <c r="AR93" s="32" t="str">
        <f t="shared" si="22"/>
        <v>2 doors</v>
      </c>
      <c r="AS93" s="23" t="s">
        <v>231</v>
      </c>
      <c r="AT93" s="23" t="s">
        <v>270</v>
      </c>
      <c r="AU93" s="23" t="str">
        <f t="shared" si="26"/>
        <v>CC</v>
      </c>
      <c r="AV93" s="34">
        <f t="shared" si="23"/>
        <v>1340.02</v>
      </c>
      <c r="AW93" s="23">
        <v>13</v>
      </c>
      <c r="AX93" s="23">
        <v>40</v>
      </c>
      <c r="AY93" s="23">
        <v>2</v>
      </c>
    </row>
    <row r="94" spans="1:51">
      <c r="A94" s="25">
        <v>256</v>
      </c>
      <c r="B94" s="23" t="s">
        <v>329</v>
      </c>
      <c r="C94" s="23" t="s">
        <v>122</v>
      </c>
      <c r="D94" s="23">
        <v>2</v>
      </c>
      <c r="E94" s="25" t="s">
        <v>284</v>
      </c>
      <c r="F94" s="25" t="s">
        <v>305</v>
      </c>
      <c r="G94" s="23" t="s">
        <v>27</v>
      </c>
      <c r="H94" s="23" t="s">
        <v>154</v>
      </c>
      <c r="I94" s="25">
        <v>1993</v>
      </c>
      <c r="J94" s="35">
        <v>30</v>
      </c>
      <c r="K94" s="35">
        <v>40</v>
      </c>
      <c r="L94" s="35">
        <v>20</v>
      </c>
      <c r="M94" s="25">
        <v>10</v>
      </c>
      <c r="N94" s="25">
        <v>10</v>
      </c>
      <c r="R94" s="30">
        <f t="shared" si="14"/>
        <v>20</v>
      </c>
      <c r="S94" s="37">
        <v>1</v>
      </c>
      <c r="T94" s="30">
        <f t="shared" si="27"/>
        <v>19.168571428571429</v>
      </c>
      <c r="U94" s="37">
        <v>1</v>
      </c>
      <c r="V94" s="30">
        <f t="shared" si="24"/>
        <v>27.495238095238097</v>
      </c>
      <c r="W94" s="25">
        <v>105</v>
      </c>
      <c r="X94" s="31">
        <f t="shared" si="15"/>
        <v>244.8</v>
      </c>
      <c r="Y94" s="25">
        <v>180</v>
      </c>
      <c r="Z94" s="25">
        <v>11</v>
      </c>
      <c r="AA94" s="25">
        <v>73</v>
      </c>
      <c r="AB94" s="37">
        <v>1</v>
      </c>
      <c r="AC94" s="30">
        <f t="shared" si="25"/>
        <v>200</v>
      </c>
      <c r="AD94" s="31">
        <f t="shared" si="16"/>
        <v>1</v>
      </c>
      <c r="AE94" s="31">
        <f t="shared" si="17"/>
        <v>8</v>
      </c>
      <c r="AF94" s="31" t="str">
        <f t="shared" si="18"/>
        <v/>
      </c>
      <c r="AG94" s="31" t="str">
        <f t="shared" si="19"/>
        <v/>
      </c>
      <c r="AH94" s="31" t="str">
        <f t="shared" si="20"/>
        <v/>
      </c>
      <c r="AI94" s="31" t="str">
        <f t="shared" si="21"/>
        <v/>
      </c>
      <c r="AJ94" s="25">
        <v>9</v>
      </c>
      <c r="AK94" s="25">
        <v>0</v>
      </c>
      <c r="AL94" s="25">
        <v>0</v>
      </c>
      <c r="AM94" s="23" t="s">
        <v>206</v>
      </c>
      <c r="AN94" s="23" t="s">
        <v>92</v>
      </c>
      <c r="AO94" s="25">
        <v>256</v>
      </c>
      <c r="AR94" s="32" t="str">
        <f t="shared" si="22"/>
        <v>2 doors</v>
      </c>
      <c r="AS94" s="23" t="s">
        <v>231</v>
      </c>
      <c r="AT94" s="23" t="s">
        <v>270</v>
      </c>
      <c r="AU94" s="23" t="str">
        <f t="shared" si="26"/>
        <v>CC</v>
      </c>
      <c r="AV94" s="34">
        <f t="shared" si="23"/>
        <v>1340.03</v>
      </c>
      <c r="AW94" s="23">
        <v>13</v>
      </c>
      <c r="AX94" s="23">
        <v>40</v>
      </c>
      <c r="AY94" s="23">
        <v>3</v>
      </c>
    </row>
    <row r="95" spans="1:51">
      <c r="A95" s="25">
        <v>256</v>
      </c>
      <c r="B95" s="23" t="s">
        <v>329</v>
      </c>
      <c r="C95" s="23" t="s">
        <v>122</v>
      </c>
      <c r="D95" s="23">
        <v>2</v>
      </c>
      <c r="E95" s="25" t="s">
        <v>285</v>
      </c>
      <c r="F95" s="25" t="s">
        <v>306</v>
      </c>
      <c r="G95" s="23" t="s">
        <v>27</v>
      </c>
      <c r="H95" s="23" t="s">
        <v>154</v>
      </c>
      <c r="I95" s="25">
        <v>1993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R95" s="30">
        <f t="shared" si="14"/>
        <v>20</v>
      </c>
      <c r="S95" s="37">
        <v>1</v>
      </c>
      <c r="T95" s="30">
        <f t="shared" si="27"/>
        <v>19.168571428571429</v>
      </c>
      <c r="U95" s="37">
        <v>1</v>
      </c>
      <c r="V95" s="30">
        <f t="shared" si="24"/>
        <v>27.495238095238097</v>
      </c>
      <c r="W95" s="25">
        <v>105</v>
      </c>
      <c r="X95" s="31">
        <f t="shared" si="15"/>
        <v>244.8</v>
      </c>
      <c r="Y95" s="25">
        <v>180</v>
      </c>
      <c r="Z95" s="25">
        <v>11</v>
      </c>
      <c r="AA95" s="25">
        <v>73</v>
      </c>
      <c r="AB95" s="37">
        <v>1</v>
      </c>
      <c r="AC95" s="30">
        <f t="shared" si="25"/>
        <v>200</v>
      </c>
      <c r="AD95" s="31">
        <f t="shared" si="16"/>
        <v>1</v>
      </c>
      <c r="AE95" s="31">
        <f t="shared" si="17"/>
        <v>8</v>
      </c>
      <c r="AF95" s="31" t="str">
        <f t="shared" si="18"/>
        <v/>
      </c>
      <c r="AG95" s="31" t="str">
        <f t="shared" si="19"/>
        <v/>
      </c>
      <c r="AH95" s="31" t="str">
        <f t="shared" si="20"/>
        <v/>
      </c>
      <c r="AI95" s="31" t="str">
        <f t="shared" si="21"/>
        <v/>
      </c>
      <c r="AJ95" s="25">
        <v>9</v>
      </c>
      <c r="AK95" s="25">
        <v>0</v>
      </c>
      <c r="AL95" s="25">
        <v>0</v>
      </c>
      <c r="AM95" s="23" t="s">
        <v>206</v>
      </c>
      <c r="AN95" s="23" t="s">
        <v>92</v>
      </c>
      <c r="AO95" s="25">
        <v>256</v>
      </c>
      <c r="AR95" s="32" t="str">
        <f t="shared" si="22"/>
        <v>2 doors</v>
      </c>
      <c r="AS95" s="23" t="s">
        <v>231</v>
      </c>
      <c r="AT95" s="23" t="s">
        <v>270</v>
      </c>
      <c r="AU95" s="23" t="str">
        <f t="shared" si="26"/>
        <v>CC</v>
      </c>
      <c r="AV95" s="34">
        <f t="shared" si="23"/>
        <v>1340.04</v>
      </c>
      <c r="AW95" s="23">
        <v>13</v>
      </c>
      <c r="AX95" s="23">
        <v>40</v>
      </c>
      <c r="AY95" s="23">
        <v>4</v>
      </c>
    </row>
    <row r="96" spans="1:51">
      <c r="A96" s="25">
        <v>256</v>
      </c>
      <c r="B96" s="23" t="s">
        <v>329</v>
      </c>
      <c r="C96" s="23" t="s">
        <v>122</v>
      </c>
      <c r="D96" s="23">
        <v>2</v>
      </c>
      <c r="E96" s="25" t="s">
        <v>286</v>
      </c>
      <c r="F96" s="25" t="s">
        <v>307</v>
      </c>
      <c r="G96" s="23" t="s">
        <v>27</v>
      </c>
      <c r="H96" s="23" t="s">
        <v>154</v>
      </c>
      <c r="I96" s="25">
        <v>1993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R96" s="30">
        <f t="shared" si="14"/>
        <v>20</v>
      </c>
      <c r="S96" s="37">
        <v>1</v>
      </c>
      <c r="T96" s="30">
        <f t="shared" si="27"/>
        <v>19.168571428571429</v>
      </c>
      <c r="U96" s="37">
        <v>1</v>
      </c>
      <c r="V96" s="30">
        <f t="shared" si="24"/>
        <v>27.495238095238097</v>
      </c>
      <c r="W96" s="25">
        <v>105</v>
      </c>
      <c r="X96" s="31">
        <f t="shared" si="15"/>
        <v>244.8</v>
      </c>
      <c r="Y96" s="25">
        <v>180</v>
      </c>
      <c r="Z96" s="25">
        <v>11</v>
      </c>
      <c r="AA96" s="25">
        <v>73</v>
      </c>
      <c r="AB96" s="37">
        <v>1</v>
      </c>
      <c r="AC96" s="30">
        <f t="shared" si="25"/>
        <v>200</v>
      </c>
      <c r="AD96" s="31">
        <f t="shared" si="16"/>
        <v>1</v>
      </c>
      <c r="AE96" s="31">
        <f t="shared" si="17"/>
        <v>8</v>
      </c>
      <c r="AF96" s="31" t="str">
        <f t="shared" si="18"/>
        <v/>
      </c>
      <c r="AG96" s="31" t="str">
        <f t="shared" si="19"/>
        <v/>
      </c>
      <c r="AH96" s="31" t="str">
        <f t="shared" si="20"/>
        <v/>
      </c>
      <c r="AI96" s="31" t="str">
        <f t="shared" si="21"/>
        <v/>
      </c>
      <c r="AJ96" s="25">
        <v>9</v>
      </c>
      <c r="AK96" s="25">
        <v>0</v>
      </c>
      <c r="AL96" s="25">
        <v>0</v>
      </c>
      <c r="AM96" s="23" t="s">
        <v>206</v>
      </c>
      <c r="AN96" s="23" t="s">
        <v>92</v>
      </c>
      <c r="AO96" s="25">
        <v>256</v>
      </c>
      <c r="AR96" s="32" t="str">
        <f t="shared" si="22"/>
        <v>2 doors</v>
      </c>
      <c r="AS96" s="23" t="s">
        <v>231</v>
      </c>
      <c r="AT96" s="23" t="s">
        <v>270</v>
      </c>
      <c r="AU96" s="23" t="str">
        <f t="shared" si="26"/>
        <v>CC</v>
      </c>
      <c r="AV96" s="34">
        <f t="shared" si="23"/>
        <v>1340.05</v>
      </c>
      <c r="AW96" s="23">
        <v>13</v>
      </c>
      <c r="AX96" s="23">
        <v>40</v>
      </c>
      <c r="AY96" s="23">
        <v>5</v>
      </c>
    </row>
    <row r="97" spans="1:51">
      <c r="A97" s="25">
        <v>256</v>
      </c>
      <c r="B97" s="23" t="s">
        <v>329</v>
      </c>
      <c r="C97" s="23" t="s">
        <v>122</v>
      </c>
      <c r="D97" s="23">
        <v>2</v>
      </c>
      <c r="E97" s="25" t="s">
        <v>287</v>
      </c>
      <c r="F97" s="25" t="s">
        <v>316</v>
      </c>
      <c r="G97" s="23" t="s">
        <v>27</v>
      </c>
      <c r="H97" s="23" t="s">
        <v>154</v>
      </c>
      <c r="I97" s="25">
        <v>1993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R97" s="30">
        <f t="shared" si="14"/>
        <v>20</v>
      </c>
      <c r="S97" s="37">
        <v>1</v>
      </c>
      <c r="T97" s="30">
        <f t="shared" si="27"/>
        <v>19.168571428571429</v>
      </c>
      <c r="U97" s="37">
        <v>1</v>
      </c>
      <c r="V97" s="30">
        <f t="shared" si="24"/>
        <v>27.495238095238097</v>
      </c>
      <c r="W97" s="25">
        <v>105</v>
      </c>
      <c r="X97" s="31">
        <f t="shared" si="15"/>
        <v>244.8</v>
      </c>
      <c r="Y97" s="25">
        <v>180</v>
      </c>
      <c r="Z97" s="25">
        <v>11</v>
      </c>
      <c r="AA97" s="25">
        <v>73</v>
      </c>
      <c r="AB97" s="37">
        <v>1</v>
      </c>
      <c r="AC97" s="30">
        <f t="shared" si="25"/>
        <v>200</v>
      </c>
      <c r="AD97" s="31">
        <f t="shared" si="16"/>
        <v>1</v>
      </c>
      <c r="AE97" s="31">
        <f t="shared" si="17"/>
        <v>8</v>
      </c>
      <c r="AF97" s="31" t="str">
        <f t="shared" si="18"/>
        <v/>
      </c>
      <c r="AG97" s="31" t="str">
        <f t="shared" si="19"/>
        <v/>
      </c>
      <c r="AH97" s="31" t="str">
        <f t="shared" si="20"/>
        <v/>
      </c>
      <c r="AI97" s="31" t="str">
        <f t="shared" si="21"/>
        <v/>
      </c>
      <c r="AJ97" s="25">
        <v>9</v>
      </c>
      <c r="AK97" s="25">
        <v>0</v>
      </c>
      <c r="AL97" s="25">
        <v>0</v>
      </c>
      <c r="AM97" s="23" t="s">
        <v>206</v>
      </c>
      <c r="AN97" s="23" t="s">
        <v>92</v>
      </c>
      <c r="AO97" s="25">
        <v>256</v>
      </c>
      <c r="AR97" s="32" t="str">
        <f t="shared" si="22"/>
        <v>2 doors</v>
      </c>
      <c r="AS97" s="23" t="s">
        <v>231</v>
      </c>
      <c r="AT97" s="23" t="s">
        <v>270</v>
      </c>
      <c r="AU97" s="23" t="str">
        <f t="shared" si="26"/>
        <v>CC</v>
      </c>
      <c r="AV97" s="34">
        <f t="shared" si="23"/>
        <v>1340.06</v>
      </c>
      <c r="AW97" s="23">
        <v>13</v>
      </c>
      <c r="AX97" s="23">
        <v>40</v>
      </c>
      <c r="AY97" s="23">
        <v>6</v>
      </c>
    </row>
    <row r="98" spans="1:51">
      <c r="A98" s="25">
        <v>256</v>
      </c>
      <c r="B98" s="23" t="s">
        <v>256</v>
      </c>
      <c r="C98" s="23" t="s">
        <v>122</v>
      </c>
      <c r="D98" s="23">
        <v>2</v>
      </c>
      <c r="E98" s="25" t="s">
        <v>30</v>
      </c>
      <c r="F98" s="25" t="s">
        <v>302</v>
      </c>
      <c r="G98" s="23" t="s">
        <v>27</v>
      </c>
      <c r="H98" s="23" t="s">
        <v>254</v>
      </c>
      <c r="I98" s="25">
        <v>1995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R98" s="30">
        <f t="shared" si="14"/>
        <v>20</v>
      </c>
      <c r="S98" s="37">
        <v>1</v>
      </c>
      <c r="T98" s="30">
        <f t="shared" si="27"/>
        <v>19.168571428571429</v>
      </c>
      <c r="U98" s="37">
        <v>1</v>
      </c>
      <c r="V98" s="30">
        <f t="shared" si="24"/>
        <v>27.548571428571424</v>
      </c>
      <c r="W98" s="25">
        <v>105</v>
      </c>
      <c r="X98" s="31">
        <f t="shared" si="15"/>
        <v>244.8</v>
      </c>
      <c r="Y98" s="25">
        <v>180</v>
      </c>
      <c r="Z98" s="25">
        <v>11</v>
      </c>
      <c r="AA98" s="25">
        <v>81</v>
      </c>
      <c r="AB98" s="37">
        <v>1</v>
      </c>
      <c r="AC98" s="30">
        <f t="shared" si="25"/>
        <v>185</v>
      </c>
      <c r="AD98" s="31">
        <f t="shared" si="16"/>
        <v>2</v>
      </c>
      <c r="AE98" s="31">
        <f t="shared" si="17"/>
        <v>8</v>
      </c>
      <c r="AF98" s="31" t="str">
        <f t="shared" si="18"/>
        <v/>
      </c>
      <c r="AG98" s="31" t="str">
        <f t="shared" si="19"/>
        <v/>
      </c>
      <c r="AH98" s="31" t="str">
        <f t="shared" si="20"/>
        <v/>
      </c>
      <c r="AI98" s="31" t="str">
        <f t="shared" si="21"/>
        <v/>
      </c>
      <c r="AJ98" s="25">
        <v>10</v>
      </c>
      <c r="AK98" s="25">
        <v>0</v>
      </c>
      <c r="AL98" s="25">
        <v>0</v>
      </c>
      <c r="AM98" s="23" t="s">
        <v>206</v>
      </c>
      <c r="AN98" s="23" t="s">
        <v>92</v>
      </c>
      <c r="AO98" s="25">
        <v>256</v>
      </c>
      <c r="AR98" s="32" t="str">
        <f t="shared" si="22"/>
        <v>2 doors</v>
      </c>
      <c r="AS98" s="23" t="s">
        <v>255</v>
      </c>
      <c r="AT98" s="23" t="s">
        <v>33</v>
      </c>
      <c r="AU98" s="23" t="str">
        <f t="shared" si="26"/>
        <v>CC</v>
      </c>
      <c r="AV98" s="34">
        <f t="shared" si="23"/>
        <v>1345</v>
      </c>
      <c r="AW98" s="23">
        <v>13</v>
      </c>
      <c r="AX98" s="23">
        <v>45</v>
      </c>
      <c r="AY98" s="23">
        <v>0</v>
      </c>
    </row>
    <row r="99" spans="1:51">
      <c r="A99" s="25">
        <v>256</v>
      </c>
      <c r="B99" s="23" t="s">
        <v>256</v>
      </c>
      <c r="C99" s="23" t="s">
        <v>122</v>
      </c>
      <c r="D99" s="23">
        <v>2</v>
      </c>
      <c r="E99" s="25" t="s">
        <v>42</v>
      </c>
      <c r="F99" s="25" t="s">
        <v>302</v>
      </c>
      <c r="G99" s="23" t="s">
        <v>27</v>
      </c>
      <c r="H99" s="23" t="s">
        <v>254</v>
      </c>
      <c r="I99" s="25">
        <v>1995</v>
      </c>
      <c r="J99" s="35">
        <v>30</v>
      </c>
      <c r="K99" s="35">
        <v>40</v>
      </c>
      <c r="L99" s="35">
        <v>20</v>
      </c>
      <c r="M99" s="25">
        <v>10</v>
      </c>
      <c r="N99" s="25">
        <v>10</v>
      </c>
      <c r="R99" s="30">
        <f t="shared" si="14"/>
        <v>20</v>
      </c>
      <c r="S99" s="37">
        <v>1</v>
      </c>
      <c r="T99" s="30">
        <f t="shared" si="27"/>
        <v>19.168571428571429</v>
      </c>
      <c r="U99" s="37">
        <v>1</v>
      </c>
      <c r="V99" s="30">
        <f t="shared" si="24"/>
        <v>27.548571428571424</v>
      </c>
      <c r="W99" s="25">
        <v>105</v>
      </c>
      <c r="X99" s="31">
        <f t="shared" si="15"/>
        <v>244.8</v>
      </c>
      <c r="Y99" s="25">
        <v>180</v>
      </c>
      <c r="Z99" s="25">
        <v>11</v>
      </c>
      <c r="AA99" s="25">
        <v>81</v>
      </c>
      <c r="AB99" s="37">
        <v>1</v>
      </c>
      <c r="AC99" s="30">
        <f t="shared" si="25"/>
        <v>185</v>
      </c>
      <c r="AD99" s="31">
        <f t="shared" si="16"/>
        <v>2</v>
      </c>
      <c r="AE99" s="31">
        <f t="shared" si="17"/>
        <v>8</v>
      </c>
      <c r="AF99" s="31" t="str">
        <f t="shared" si="18"/>
        <v/>
      </c>
      <c r="AG99" s="31" t="str">
        <f t="shared" si="19"/>
        <v/>
      </c>
      <c r="AH99" s="31" t="str">
        <f t="shared" si="20"/>
        <v/>
      </c>
      <c r="AI99" s="31" t="str">
        <f t="shared" si="21"/>
        <v/>
      </c>
      <c r="AJ99" s="25">
        <v>10</v>
      </c>
      <c r="AK99" s="25">
        <v>0</v>
      </c>
      <c r="AL99" s="25">
        <v>0</v>
      </c>
      <c r="AM99" s="23" t="s">
        <v>206</v>
      </c>
      <c r="AN99" s="23" t="s">
        <v>92</v>
      </c>
      <c r="AO99" s="25">
        <v>256</v>
      </c>
      <c r="AR99" s="32" t="str">
        <f t="shared" si="22"/>
        <v>2 doors</v>
      </c>
      <c r="AS99" s="23" t="s">
        <v>255</v>
      </c>
      <c r="AT99" s="23" t="s">
        <v>33</v>
      </c>
      <c r="AU99" s="23" t="str">
        <f t="shared" si="26"/>
        <v>CC</v>
      </c>
      <c r="AV99" s="34">
        <f t="shared" si="23"/>
        <v>1345.01</v>
      </c>
      <c r="AW99" s="23">
        <v>13</v>
      </c>
      <c r="AX99" s="23">
        <v>45</v>
      </c>
      <c r="AY99" s="23">
        <v>1</v>
      </c>
    </row>
    <row r="100" spans="1:51">
      <c r="A100" s="25">
        <v>256</v>
      </c>
      <c r="B100" s="23" t="s">
        <v>256</v>
      </c>
      <c r="C100" s="23" t="s">
        <v>122</v>
      </c>
      <c r="D100" s="23">
        <v>2</v>
      </c>
      <c r="E100" s="25" t="s">
        <v>43</v>
      </c>
      <c r="F100" s="25" t="s">
        <v>302</v>
      </c>
      <c r="G100" s="23" t="s">
        <v>27</v>
      </c>
      <c r="H100" s="23" t="s">
        <v>254</v>
      </c>
      <c r="I100" s="25">
        <v>1995</v>
      </c>
      <c r="J100" s="35">
        <v>30</v>
      </c>
      <c r="K100" s="35">
        <v>40</v>
      </c>
      <c r="L100" s="35">
        <v>20</v>
      </c>
      <c r="M100" s="25">
        <v>10</v>
      </c>
      <c r="N100" s="25">
        <v>10</v>
      </c>
      <c r="R100" s="30">
        <f t="shared" si="14"/>
        <v>20</v>
      </c>
      <c r="S100" s="37">
        <v>1</v>
      </c>
      <c r="T100" s="30">
        <f t="shared" si="27"/>
        <v>19.168571428571429</v>
      </c>
      <c r="U100" s="37">
        <v>1</v>
      </c>
      <c r="V100" s="30">
        <f t="shared" si="24"/>
        <v>27.548571428571424</v>
      </c>
      <c r="W100" s="25">
        <v>105</v>
      </c>
      <c r="X100" s="31">
        <f t="shared" si="15"/>
        <v>244.8</v>
      </c>
      <c r="Y100" s="25">
        <v>180</v>
      </c>
      <c r="Z100" s="25">
        <v>11</v>
      </c>
      <c r="AA100" s="25">
        <v>81</v>
      </c>
      <c r="AB100" s="37">
        <v>1</v>
      </c>
      <c r="AC100" s="30">
        <f t="shared" si="25"/>
        <v>185</v>
      </c>
      <c r="AD100" s="31">
        <f t="shared" si="16"/>
        <v>2</v>
      </c>
      <c r="AE100" s="31">
        <f t="shared" si="17"/>
        <v>8</v>
      </c>
      <c r="AF100" s="31" t="str">
        <f t="shared" si="18"/>
        <v/>
      </c>
      <c r="AG100" s="31" t="str">
        <f t="shared" si="19"/>
        <v/>
      </c>
      <c r="AH100" s="31" t="str">
        <f t="shared" si="20"/>
        <v/>
      </c>
      <c r="AI100" s="31" t="str">
        <f t="shared" si="21"/>
        <v/>
      </c>
      <c r="AJ100" s="25">
        <v>10</v>
      </c>
      <c r="AK100" s="25">
        <v>0</v>
      </c>
      <c r="AL100" s="25">
        <v>0</v>
      </c>
      <c r="AM100" s="23" t="s">
        <v>206</v>
      </c>
      <c r="AN100" s="23" t="s">
        <v>92</v>
      </c>
      <c r="AO100" s="25">
        <v>256</v>
      </c>
      <c r="AR100" s="32" t="str">
        <f t="shared" si="22"/>
        <v>2 doors</v>
      </c>
      <c r="AS100" s="23" t="s">
        <v>255</v>
      </c>
      <c r="AT100" s="23" t="s">
        <v>33</v>
      </c>
      <c r="AU100" s="23" t="str">
        <f t="shared" si="26"/>
        <v>CC</v>
      </c>
      <c r="AV100" s="34">
        <f t="shared" si="23"/>
        <v>1345.02</v>
      </c>
      <c r="AW100" s="23">
        <v>13</v>
      </c>
      <c r="AX100" s="23">
        <v>45</v>
      </c>
      <c r="AY100" s="23">
        <v>2</v>
      </c>
    </row>
    <row r="101" spans="1:51">
      <c r="A101" s="25">
        <v>256</v>
      </c>
      <c r="B101" s="23" t="s">
        <v>256</v>
      </c>
      <c r="C101" s="23" t="s">
        <v>122</v>
      </c>
      <c r="D101" s="23">
        <v>2</v>
      </c>
      <c r="E101" s="25" t="s">
        <v>284</v>
      </c>
      <c r="F101" s="25" t="s">
        <v>302</v>
      </c>
      <c r="G101" s="23" t="s">
        <v>27</v>
      </c>
      <c r="H101" s="23" t="s">
        <v>254</v>
      </c>
      <c r="I101" s="25">
        <v>1995</v>
      </c>
      <c r="J101" s="35">
        <v>30</v>
      </c>
      <c r="K101" s="35">
        <v>40</v>
      </c>
      <c r="L101" s="35">
        <v>20</v>
      </c>
      <c r="M101" s="25">
        <v>10</v>
      </c>
      <c r="N101" s="25">
        <v>10</v>
      </c>
      <c r="R101" s="30">
        <f t="shared" si="14"/>
        <v>20</v>
      </c>
      <c r="S101" s="37">
        <v>1</v>
      </c>
      <c r="T101" s="30">
        <f t="shared" si="27"/>
        <v>19.168571428571429</v>
      </c>
      <c r="U101" s="37">
        <v>1</v>
      </c>
      <c r="V101" s="30">
        <f t="shared" si="24"/>
        <v>27.548571428571424</v>
      </c>
      <c r="W101" s="25">
        <v>105</v>
      </c>
      <c r="X101" s="31">
        <f t="shared" si="15"/>
        <v>244.8</v>
      </c>
      <c r="Y101" s="25">
        <v>180</v>
      </c>
      <c r="Z101" s="25">
        <v>11</v>
      </c>
      <c r="AA101" s="25">
        <v>81</v>
      </c>
      <c r="AB101" s="37">
        <v>1</v>
      </c>
      <c r="AC101" s="30">
        <f t="shared" si="25"/>
        <v>185</v>
      </c>
      <c r="AD101" s="31">
        <f t="shared" si="16"/>
        <v>2</v>
      </c>
      <c r="AE101" s="31">
        <f t="shared" si="17"/>
        <v>8</v>
      </c>
      <c r="AF101" s="31" t="str">
        <f t="shared" si="18"/>
        <v/>
      </c>
      <c r="AG101" s="31" t="str">
        <f t="shared" si="19"/>
        <v/>
      </c>
      <c r="AH101" s="31" t="str">
        <f t="shared" si="20"/>
        <v/>
      </c>
      <c r="AI101" s="31" t="str">
        <f t="shared" si="21"/>
        <v/>
      </c>
      <c r="AJ101" s="25">
        <v>10</v>
      </c>
      <c r="AK101" s="25">
        <v>0</v>
      </c>
      <c r="AL101" s="25">
        <v>0</v>
      </c>
      <c r="AM101" s="23" t="s">
        <v>206</v>
      </c>
      <c r="AN101" s="23" t="s">
        <v>92</v>
      </c>
      <c r="AO101" s="25">
        <v>256</v>
      </c>
      <c r="AR101" s="32" t="str">
        <f t="shared" si="22"/>
        <v>2 doors</v>
      </c>
      <c r="AS101" s="23" t="s">
        <v>255</v>
      </c>
      <c r="AT101" s="23" t="s">
        <v>33</v>
      </c>
      <c r="AU101" s="23" t="str">
        <f t="shared" si="26"/>
        <v>CC</v>
      </c>
      <c r="AV101" s="34">
        <f t="shared" si="23"/>
        <v>1345.03</v>
      </c>
      <c r="AW101" s="23">
        <v>13</v>
      </c>
      <c r="AX101" s="23">
        <v>45</v>
      </c>
      <c r="AY101" s="23">
        <v>3</v>
      </c>
    </row>
    <row r="102" spans="1:51">
      <c r="A102" s="25">
        <v>256</v>
      </c>
      <c r="B102" s="23" t="s">
        <v>256</v>
      </c>
      <c r="C102" s="23" t="s">
        <v>122</v>
      </c>
      <c r="D102" s="23">
        <v>2</v>
      </c>
      <c r="E102" s="25" t="s">
        <v>285</v>
      </c>
      <c r="F102" s="25" t="s">
        <v>302</v>
      </c>
      <c r="G102" s="23" t="s">
        <v>27</v>
      </c>
      <c r="H102" s="23" t="s">
        <v>254</v>
      </c>
      <c r="I102" s="25">
        <v>1995</v>
      </c>
      <c r="J102" s="35">
        <v>30</v>
      </c>
      <c r="K102" s="35">
        <v>40</v>
      </c>
      <c r="L102" s="35">
        <v>20</v>
      </c>
      <c r="M102" s="25">
        <v>10</v>
      </c>
      <c r="N102" s="25">
        <v>10</v>
      </c>
      <c r="R102" s="30">
        <f t="shared" si="14"/>
        <v>20</v>
      </c>
      <c r="S102" s="37">
        <v>1</v>
      </c>
      <c r="T102" s="30">
        <f t="shared" si="27"/>
        <v>19.168571428571429</v>
      </c>
      <c r="U102" s="37">
        <v>1</v>
      </c>
      <c r="V102" s="30">
        <f t="shared" si="24"/>
        <v>27.548571428571424</v>
      </c>
      <c r="W102" s="25">
        <v>105</v>
      </c>
      <c r="X102" s="31">
        <f t="shared" si="15"/>
        <v>244.8</v>
      </c>
      <c r="Y102" s="25">
        <v>180</v>
      </c>
      <c r="Z102" s="25">
        <v>11</v>
      </c>
      <c r="AA102" s="25">
        <v>81</v>
      </c>
      <c r="AB102" s="37">
        <v>1</v>
      </c>
      <c r="AC102" s="30">
        <f t="shared" si="25"/>
        <v>185</v>
      </c>
      <c r="AD102" s="31">
        <f t="shared" si="16"/>
        <v>2</v>
      </c>
      <c r="AE102" s="31">
        <f t="shared" si="17"/>
        <v>8</v>
      </c>
      <c r="AF102" s="31" t="str">
        <f t="shared" si="18"/>
        <v/>
      </c>
      <c r="AG102" s="31" t="str">
        <f t="shared" si="19"/>
        <v/>
      </c>
      <c r="AH102" s="31" t="str">
        <f t="shared" si="20"/>
        <v/>
      </c>
      <c r="AI102" s="31" t="str">
        <f t="shared" si="21"/>
        <v/>
      </c>
      <c r="AJ102" s="25">
        <v>10</v>
      </c>
      <c r="AK102" s="25">
        <v>0</v>
      </c>
      <c r="AL102" s="25">
        <v>0</v>
      </c>
      <c r="AM102" s="23" t="s">
        <v>206</v>
      </c>
      <c r="AN102" s="23" t="s">
        <v>92</v>
      </c>
      <c r="AO102" s="25">
        <v>256</v>
      </c>
      <c r="AR102" s="32" t="str">
        <f t="shared" si="22"/>
        <v>2 doors</v>
      </c>
      <c r="AS102" s="23" t="s">
        <v>255</v>
      </c>
      <c r="AT102" s="23" t="s">
        <v>33</v>
      </c>
      <c r="AU102" s="23" t="str">
        <f t="shared" si="26"/>
        <v>CC</v>
      </c>
      <c r="AV102" s="34">
        <f t="shared" si="23"/>
        <v>1345.04</v>
      </c>
      <c r="AW102" s="23">
        <v>13</v>
      </c>
      <c r="AX102" s="23">
        <v>45</v>
      </c>
      <c r="AY102" s="23">
        <v>4</v>
      </c>
    </row>
    <row r="103" spans="1:51">
      <c r="A103" s="25">
        <v>256</v>
      </c>
      <c r="B103" s="23" t="s">
        <v>256</v>
      </c>
      <c r="C103" s="23" t="s">
        <v>122</v>
      </c>
      <c r="D103" s="23">
        <v>2</v>
      </c>
      <c r="E103" s="25" t="s">
        <v>286</v>
      </c>
      <c r="F103" s="25" t="s">
        <v>302</v>
      </c>
      <c r="G103" s="23" t="s">
        <v>27</v>
      </c>
      <c r="H103" s="23" t="s">
        <v>254</v>
      </c>
      <c r="I103" s="25">
        <v>1995</v>
      </c>
      <c r="J103" s="35">
        <v>30</v>
      </c>
      <c r="K103" s="35">
        <v>40</v>
      </c>
      <c r="L103" s="35">
        <v>20</v>
      </c>
      <c r="M103" s="25">
        <v>10</v>
      </c>
      <c r="N103" s="25">
        <v>10</v>
      </c>
      <c r="R103" s="30">
        <f t="shared" si="14"/>
        <v>20</v>
      </c>
      <c r="S103" s="37">
        <v>1</v>
      </c>
      <c r="T103" s="30">
        <f t="shared" si="27"/>
        <v>19.168571428571429</v>
      </c>
      <c r="U103" s="37">
        <v>1</v>
      </c>
      <c r="V103" s="30">
        <f t="shared" si="24"/>
        <v>27.548571428571424</v>
      </c>
      <c r="W103" s="25">
        <v>105</v>
      </c>
      <c r="X103" s="31">
        <f t="shared" si="15"/>
        <v>244.8</v>
      </c>
      <c r="Y103" s="25">
        <v>180</v>
      </c>
      <c r="Z103" s="25">
        <v>11</v>
      </c>
      <c r="AA103" s="25">
        <v>81</v>
      </c>
      <c r="AB103" s="37">
        <v>1</v>
      </c>
      <c r="AC103" s="30">
        <f t="shared" si="25"/>
        <v>185</v>
      </c>
      <c r="AD103" s="31">
        <f t="shared" si="16"/>
        <v>2</v>
      </c>
      <c r="AE103" s="31">
        <f t="shared" si="17"/>
        <v>8</v>
      </c>
      <c r="AF103" s="31" t="str">
        <f t="shared" si="18"/>
        <v/>
      </c>
      <c r="AG103" s="31" t="str">
        <f t="shared" si="19"/>
        <v/>
      </c>
      <c r="AH103" s="31" t="str">
        <f t="shared" si="20"/>
        <v/>
      </c>
      <c r="AI103" s="31" t="str">
        <f t="shared" si="21"/>
        <v/>
      </c>
      <c r="AJ103" s="25">
        <v>10</v>
      </c>
      <c r="AK103" s="25">
        <v>0</v>
      </c>
      <c r="AL103" s="25">
        <v>0</v>
      </c>
      <c r="AM103" s="23" t="s">
        <v>206</v>
      </c>
      <c r="AN103" s="23" t="s">
        <v>92</v>
      </c>
      <c r="AO103" s="25">
        <v>256</v>
      </c>
      <c r="AR103" s="32" t="str">
        <f t="shared" si="22"/>
        <v>2 doors</v>
      </c>
      <c r="AS103" s="23" t="s">
        <v>255</v>
      </c>
      <c r="AT103" s="23" t="s">
        <v>33</v>
      </c>
      <c r="AU103" s="23" t="str">
        <f t="shared" si="26"/>
        <v>CC</v>
      </c>
      <c r="AV103" s="34">
        <f t="shared" si="23"/>
        <v>1345.05</v>
      </c>
      <c r="AW103" s="23">
        <v>13</v>
      </c>
      <c r="AX103" s="23">
        <v>45</v>
      </c>
      <c r="AY103" s="23">
        <v>5</v>
      </c>
    </row>
    <row r="104" spans="1:51">
      <c r="A104" s="25">
        <v>256</v>
      </c>
      <c r="B104" s="23" t="s">
        <v>256</v>
      </c>
      <c r="C104" s="23" t="s">
        <v>122</v>
      </c>
      <c r="D104" s="23">
        <v>2</v>
      </c>
      <c r="E104" s="25" t="s">
        <v>287</v>
      </c>
      <c r="F104" s="25" t="s">
        <v>302</v>
      </c>
      <c r="G104" s="23" t="s">
        <v>27</v>
      </c>
      <c r="H104" s="23" t="s">
        <v>254</v>
      </c>
      <c r="I104" s="25">
        <v>1995</v>
      </c>
      <c r="J104" s="35">
        <v>30</v>
      </c>
      <c r="K104" s="35">
        <v>40</v>
      </c>
      <c r="L104" s="35">
        <v>20</v>
      </c>
      <c r="M104" s="25">
        <v>10</v>
      </c>
      <c r="N104" s="25">
        <v>10</v>
      </c>
      <c r="R104" s="30">
        <f t="shared" si="14"/>
        <v>20</v>
      </c>
      <c r="S104" s="37">
        <v>1</v>
      </c>
      <c r="T104" s="30">
        <f t="shared" si="27"/>
        <v>19.168571428571429</v>
      </c>
      <c r="U104" s="37">
        <v>1</v>
      </c>
      <c r="V104" s="30">
        <f t="shared" si="24"/>
        <v>27.548571428571424</v>
      </c>
      <c r="W104" s="25">
        <v>105</v>
      </c>
      <c r="X104" s="31">
        <f t="shared" si="15"/>
        <v>244.8</v>
      </c>
      <c r="Y104" s="25">
        <v>180</v>
      </c>
      <c r="Z104" s="25">
        <v>11</v>
      </c>
      <c r="AA104" s="25">
        <v>81</v>
      </c>
      <c r="AB104" s="37">
        <v>1</v>
      </c>
      <c r="AC104" s="30">
        <f t="shared" si="25"/>
        <v>185</v>
      </c>
      <c r="AD104" s="31">
        <f t="shared" si="16"/>
        <v>2</v>
      </c>
      <c r="AE104" s="31">
        <f t="shared" si="17"/>
        <v>8</v>
      </c>
      <c r="AF104" s="31" t="str">
        <f t="shared" si="18"/>
        <v/>
      </c>
      <c r="AG104" s="31" t="str">
        <f t="shared" si="19"/>
        <v/>
      </c>
      <c r="AH104" s="31" t="str">
        <f t="shared" si="20"/>
        <v/>
      </c>
      <c r="AI104" s="31" t="str">
        <f t="shared" si="21"/>
        <v/>
      </c>
      <c r="AJ104" s="25">
        <v>10</v>
      </c>
      <c r="AK104" s="25">
        <v>0</v>
      </c>
      <c r="AL104" s="25">
        <v>0</v>
      </c>
      <c r="AM104" s="23" t="s">
        <v>206</v>
      </c>
      <c r="AN104" s="23" t="s">
        <v>92</v>
      </c>
      <c r="AO104" s="25">
        <v>256</v>
      </c>
      <c r="AR104" s="32" t="str">
        <f t="shared" si="22"/>
        <v>2 doors</v>
      </c>
      <c r="AS104" s="23" t="s">
        <v>255</v>
      </c>
      <c r="AT104" s="23" t="s">
        <v>33</v>
      </c>
      <c r="AU104" s="23" t="str">
        <f t="shared" si="26"/>
        <v>CC</v>
      </c>
      <c r="AV104" s="34">
        <f t="shared" si="23"/>
        <v>1345.06</v>
      </c>
      <c r="AW104" s="23">
        <v>13</v>
      </c>
      <c r="AX104" s="23">
        <v>45</v>
      </c>
      <c r="AY104" s="23">
        <v>6</v>
      </c>
    </row>
    <row r="105" spans="1:51">
      <c r="A105" s="25">
        <v>256</v>
      </c>
      <c r="B105" s="23" t="s">
        <v>256</v>
      </c>
      <c r="C105" s="23" t="s">
        <v>330</v>
      </c>
      <c r="D105" s="23">
        <v>2</v>
      </c>
      <c r="E105" s="25" t="s">
        <v>30</v>
      </c>
      <c r="F105" s="25" t="s">
        <v>302</v>
      </c>
      <c r="G105" s="23" t="s">
        <v>27</v>
      </c>
      <c r="H105" s="23" t="s">
        <v>331</v>
      </c>
      <c r="I105" s="25">
        <v>1995</v>
      </c>
      <c r="J105" s="35">
        <v>30</v>
      </c>
      <c r="K105" s="35">
        <v>40</v>
      </c>
      <c r="L105" s="35">
        <v>20</v>
      </c>
      <c r="M105" s="25">
        <v>6</v>
      </c>
      <c r="N105" s="25">
        <v>4</v>
      </c>
      <c r="R105" s="30">
        <f t="shared" si="14"/>
        <v>10</v>
      </c>
      <c r="S105" s="37">
        <v>1</v>
      </c>
      <c r="T105" s="30">
        <f t="shared" si="27"/>
        <v>18.454285714285717</v>
      </c>
      <c r="U105" s="37">
        <v>1</v>
      </c>
      <c r="V105" s="30">
        <f t="shared" si="24"/>
        <v>26.627619047619049</v>
      </c>
      <c r="W105" s="25">
        <v>105</v>
      </c>
      <c r="X105" s="31">
        <f t="shared" si="15"/>
        <v>244.8</v>
      </c>
      <c r="Y105" s="25">
        <v>180</v>
      </c>
      <c r="Z105" s="25">
        <v>11</v>
      </c>
      <c r="AA105" s="25">
        <v>50</v>
      </c>
      <c r="AB105" s="37">
        <v>1</v>
      </c>
      <c r="AC105" s="30">
        <f t="shared" si="25"/>
        <v>200</v>
      </c>
      <c r="AD105" s="31">
        <f t="shared" si="16"/>
        <v>2</v>
      </c>
      <c r="AE105" s="31">
        <f t="shared" si="17"/>
        <v>8</v>
      </c>
      <c r="AF105" s="31" t="str">
        <f t="shared" si="18"/>
        <v/>
      </c>
      <c r="AG105" s="31" t="str">
        <f t="shared" si="19"/>
        <v/>
      </c>
      <c r="AH105" s="31" t="str">
        <f t="shared" si="20"/>
        <v/>
      </c>
      <c r="AI105" s="31" t="str">
        <f t="shared" si="21"/>
        <v/>
      </c>
      <c r="AJ105" s="25">
        <v>10</v>
      </c>
      <c r="AK105" s="25">
        <v>0</v>
      </c>
      <c r="AL105" s="25">
        <v>0</v>
      </c>
      <c r="AM105" s="23" t="s">
        <v>206</v>
      </c>
      <c r="AN105" s="23" t="s">
        <v>92</v>
      </c>
      <c r="AO105" s="25">
        <v>256</v>
      </c>
      <c r="AR105" s="32" t="str">
        <f t="shared" si="22"/>
        <v>2 doors</v>
      </c>
      <c r="AS105" s="23" t="s">
        <v>255</v>
      </c>
      <c r="AT105" s="23" t="s">
        <v>270</v>
      </c>
      <c r="AU105" s="23" t="str">
        <f t="shared" si="26"/>
        <v>CC</v>
      </c>
      <c r="AV105" s="34">
        <f t="shared" si="23"/>
        <v>1348</v>
      </c>
      <c r="AW105" s="23">
        <v>13</v>
      </c>
      <c r="AX105" s="23">
        <v>48</v>
      </c>
      <c r="AY105" s="23">
        <v>0</v>
      </c>
    </row>
    <row r="106" spans="1:51">
      <c r="A106" s="25">
        <v>256</v>
      </c>
      <c r="B106" s="23" t="s">
        <v>256</v>
      </c>
      <c r="C106" s="23" t="s">
        <v>330</v>
      </c>
      <c r="D106" s="23">
        <v>2</v>
      </c>
      <c r="E106" s="25" t="s">
        <v>42</v>
      </c>
      <c r="F106" s="25" t="s">
        <v>302</v>
      </c>
      <c r="G106" s="23" t="s">
        <v>27</v>
      </c>
      <c r="H106" s="23" t="s">
        <v>331</v>
      </c>
      <c r="I106" s="25">
        <v>1995</v>
      </c>
      <c r="J106" s="35">
        <v>30</v>
      </c>
      <c r="K106" s="35">
        <v>40</v>
      </c>
      <c r="L106" s="35">
        <v>20</v>
      </c>
      <c r="M106" s="25">
        <v>6</v>
      </c>
      <c r="N106" s="25">
        <v>4</v>
      </c>
      <c r="R106" s="30">
        <f t="shared" si="14"/>
        <v>10</v>
      </c>
      <c r="S106" s="37">
        <v>1</v>
      </c>
      <c r="T106" s="30">
        <f t="shared" si="27"/>
        <v>18.454285714285717</v>
      </c>
      <c r="U106" s="37">
        <v>1</v>
      </c>
      <c r="V106" s="30">
        <f t="shared" si="24"/>
        <v>26.627619047619049</v>
      </c>
      <c r="W106" s="25">
        <v>105</v>
      </c>
      <c r="X106" s="31">
        <f t="shared" si="15"/>
        <v>244.8</v>
      </c>
      <c r="Y106" s="25">
        <v>180</v>
      </c>
      <c r="Z106" s="25">
        <v>11</v>
      </c>
      <c r="AA106" s="25">
        <v>50</v>
      </c>
      <c r="AB106" s="37">
        <v>1</v>
      </c>
      <c r="AC106" s="30">
        <f t="shared" si="25"/>
        <v>200</v>
      </c>
      <c r="AD106" s="31">
        <f t="shared" si="16"/>
        <v>2</v>
      </c>
      <c r="AE106" s="31">
        <f t="shared" si="17"/>
        <v>8</v>
      </c>
      <c r="AF106" s="31" t="str">
        <f t="shared" si="18"/>
        <v/>
      </c>
      <c r="AG106" s="31" t="str">
        <f t="shared" si="19"/>
        <v/>
      </c>
      <c r="AH106" s="31" t="str">
        <f t="shared" si="20"/>
        <v/>
      </c>
      <c r="AI106" s="31" t="str">
        <f t="shared" si="21"/>
        <v/>
      </c>
      <c r="AJ106" s="25">
        <v>10</v>
      </c>
      <c r="AK106" s="25">
        <v>0</v>
      </c>
      <c r="AL106" s="25">
        <v>0</v>
      </c>
      <c r="AM106" s="23" t="s">
        <v>206</v>
      </c>
      <c r="AN106" s="23" t="s">
        <v>92</v>
      </c>
      <c r="AO106" s="25">
        <v>256</v>
      </c>
      <c r="AR106" s="32" t="str">
        <f t="shared" si="22"/>
        <v>2 doors</v>
      </c>
      <c r="AS106" s="23" t="s">
        <v>255</v>
      </c>
      <c r="AT106" s="23" t="s">
        <v>270</v>
      </c>
      <c r="AU106" s="23" t="str">
        <f t="shared" si="26"/>
        <v>CC</v>
      </c>
      <c r="AV106" s="34">
        <f t="shared" si="23"/>
        <v>1348.01</v>
      </c>
      <c r="AW106" s="23">
        <v>13</v>
      </c>
      <c r="AX106" s="23">
        <v>48</v>
      </c>
      <c r="AY106" s="23">
        <v>1</v>
      </c>
    </row>
    <row r="107" spans="1:51">
      <c r="A107" s="25">
        <v>256</v>
      </c>
      <c r="B107" s="23" t="s">
        <v>256</v>
      </c>
      <c r="C107" s="23" t="s">
        <v>330</v>
      </c>
      <c r="D107" s="23">
        <v>2</v>
      </c>
      <c r="E107" s="25" t="s">
        <v>43</v>
      </c>
      <c r="F107" s="25" t="s">
        <v>302</v>
      </c>
      <c r="G107" s="23" t="s">
        <v>27</v>
      </c>
      <c r="H107" s="23" t="s">
        <v>331</v>
      </c>
      <c r="I107" s="25">
        <v>1995</v>
      </c>
      <c r="J107" s="35">
        <v>30</v>
      </c>
      <c r="K107" s="35">
        <v>40</v>
      </c>
      <c r="L107" s="35">
        <v>20</v>
      </c>
      <c r="M107" s="25">
        <v>6</v>
      </c>
      <c r="N107" s="25">
        <v>4</v>
      </c>
      <c r="R107" s="30">
        <f t="shared" si="14"/>
        <v>10</v>
      </c>
      <c r="S107" s="37">
        <v>1</v>
      </c>
      <c r="T107" s="30">
        <f t="shared" si="27"/>
        <v>18.454285714285717</v>
      </c>
      <c r="U107" s="37">
        <v>1</v>
      </c>
      <c r="V107" s="30">
        <f t="shared" si="24"/>
        <v>26.627619047619049</v>
      </c>
      <c r="W107" s="25">
        <v>105</v>
      </c>
      <c r="X107" s="31">
        <f t="shared" si="15"/>
        <v>244.8</v>
      </c>
      <c r="Y107" s="25">
        <v>180</v>
      </c>
      <c r="Z107" s="25">
        <v>11</v>
      </c>
      <c r="AA107" s="25">
        <v>50</v>
      </c>
      <c r="AB107" s="37">
        <v>1</v>
      </c>
      <c r="AC107" s="30">
        <f t="shared" si="25"/>
        <v>200</v>
      </c>
      <c r="AD107" s="31">
        <f t="shared" si="16"/>
        <v>2</v>
      </c>
      <c r="AE107" s="31">
        <f t="shared" si="17"/>
        <v>8</v>
      </c>
      <c r="AF107" s="31" t="str">
        <f t="shared" si="18"/>
        <v/>
      </c>
      <c r="AG107" s="31" t="str">
        <f t="shared" si="19"/>
        <v/>
      </c>
      <c r="AH107" s="31" t="str">
        <f t="shared" si="20"/>
        <v/>
      </c>
      <c r="AI107" s="31" t="str">
        <f t="shared" si="21"/>
        <v/>
      </c>
      <c r="AJ107" s="25">
        <v>10</v>
      </c>
      <c r="AK107" s="25">
        <v>0</v>
      </c>
      <c r="AL107" s="25">
        <v>0</v>
      </c>
      <c r="AM107" s="23" t="s">
        <v>206</v>
      </c>
      <c r="AN107" s="23" t="s">
        <v>92</v>
      </c>
      <c r="AO107" s="25">
        <v>256</v>
      </c>
      <c r="AR107" s="32" t="str">
        <f t="shared" si="22"/>
        <v>2 doors</v>
      </c>
      <c r="AS107" s="23" t="s">
        <v>255</v>
      </c>
      <c r="AT107" s="23" t="s">
        <v>270</v>
      </c>
      <c r="AU107" s="23" t="str">
        <f t="shared" si="26"/>
        <v>CC</v>
      </c>
      <c r="AV107" s="34">
        <f t="shared" si="23"/>
        <v>1348.02</v>
      </c>
      <c r="AW107" s="23">
        <v>13</v>
      </c>
      <c r="AX107" s="23">
        <v>48</v>
      </c>
      <c r="AY107" s="23">
        <v>2</v>
      </c>
    </row>
    <row r="108" spans="1:51">
      <c r="A108" s="25">
        <v>256</v>
      </c>
      <c r="B108" s="23" t="s">
        <v>256</v>
      </c>
      <c r="C108" s="23" t="s">
        <v>330</v>
      </c>
      <c r="D108" s="23">
        <v>2</v>
      </c>
      <c r="E108" s="25" t="s">
        <v>284</v>
      </c>
      <c r="F108" s="25" t="s">
        <v>302</v>
      </c>
      <c r="G108" s="23" t="s">
        <v>27</v>
      </c>
      <c r="H108" s="23" t="s">
        <v>331</v>
      </c>
      <c r="I108" s="25">
        <v>1995</v>
      </c>
      <c r="J108" s="35">
        <v>30</v>
      </c>
      <c r="K108" s="35">
        <v>40</v>
      </c>
      <c r="L108" s="35">
        <v>20</v>
      </c>
      <c r="M108" s="25">
        <v>6</v>
      </c>
      <c r="N108" s="25">
        <v>4</v>
      </c>
      <c r="R108" s="30">
        <f t="shared" si="14"/>
        <v>10</v>
      </c>
      <c r="S108" s="37">
        <v>1</v>
      </c>
      <c r="T108" s="30">
        <f t="shared" si="27"/>
        <v>18.454285714285717</v>
      </c>
      <c r="U108" s="37">
        <v>1</v>
      </c>
      <c r="V108" s="30">
        <f t="shared" si="24"/>
        <v>26.627619047619049</v>
      </c>
      <c r="W108" s="25">
        <v>105</v>
      </c>
      <c r="X108" s="31">
        <f t="shared" si="15"/>
        <v>244.8</v>
      </c>
      <c r="Y108" s="25">
        <v>180</v>
      </c>
      <c r="Z108" s="25">
        <v>11</v>
      </c>
      <c r="AA108" s="25">
        <v>50</v>
      </c>
      <c r="AB108" s="37">
        <v>1</v>
      </c>
      <c r="AC108" s="30">
        <f t="shared" si="25"/>
        <v>200</v>
      </c>
      <c r="AD108" s="31">
        <f t="shared" si="16"/>
        <v>2</v>
      </c>
      <c r="AE108" s="31">
        <f t="shared" si="17"/>
        <v>8</v>
      </c>
      <c r="AF108" s="31" t="str">
        <f t="shared" si="18"/>
        <v/>
      </c>
      <c r="AG108" s="31" t="str">
        <f t="shared" si="19"/>
        <v/>
      </c>
      <c r="AH108" s="31" t="str">
        <f t="shared" si="20"/>
        <v/>
      </c>
      <c r="AI108" s="31" t="str">
        <f t="shared" si="21"/>
        <v/>
      </c>
      <c r="AJ108" s="25">
        <v>10</v>
      </c>
      <c r="AK108" s="25">
        <v>0</v>
      </c>
      <c r="AL108" s="25">
        <v>0</v>
      </c>
      <c r="AM108" s="23" t="s">
        <v>206</v>
      </c>
      <c r="AN108" s="23" t="s">
        <v>92</v>
      </c>
      <c r="AO108" s="25">
        <v>256</v>
      </c>
      <c r="AR108" s="32" t="str">
        <f t="shared" si="22"/>
        <v>2 doors</v>
      </c>
      <c r="AS108" s="23" t="s">
        <v>255</v>
      </c>
      <c r="AT108" s="23" t="s">
        <v>270</v>
      </c>
      <c r="AU108" s="23" t="str">
        <f t="shared" si="26"/>
        <v>CC</v>
      </c>
      <c r="AV108" s="34">
        <f t="shared" si="23"/>
        <v>1348.03</v>
      </c>
      <c r="AW108" s="23">
        <v>13</v>
      </c>
      <c r="AX108" s="23">
        <v>48</v>
      </c>
      <c r="AY108" s="23">
        <v>3</v>
      </c>
    </row>
    <row r="109" spans="1:51">
      <c r="A109" s="25">
        <v>256</v>
      </c>
      <c r="B109" s="23" t="s">
        <v>256</v>
      </c>
      <c r="C109" s="23" t="s">
        <v>330</v>
      </c>
      <c r="D109" s="23">
        <v>2</v>
      </c>
      <c r="E109" s="25" t="s">
        <v>285</v>
      </c>
      <c r="F109" s="25" t="s">
        <v>302</v>
      </c>
      <c r="G109" s="23" t="s">
        <v>27</v>
      </c>
      <c r="H109" s="23" t="s">
        <v>331</v>
      </c>
      <c r="I109" s="25">
        <v>1995</v>
      </c>
      <c r="J109" s="35">
        <v>30</v>
      </c>
      <c r="K109" s="35">
        <v>40</v>
      </c>
      <c r="L109" s="35">
        <v>20</v>
      </c>
      <c r="M109" s="25">
        <v>6</v>
      </c>
      <c r="N109" s="25">
        <v>4</v>
      </c>
      <c r="R109" s="30">
        <f t="shared" si="14"/>
        <v>10</v>
      </c>
      <c r="S109" s="37">
        <v>1</v>
      </c>
      <c r="T109" s="30">
        <f t="shared" si="27"/>
        <v>18.454285714285717</v>
      </c>
      <c r="U109" s="37">
        <v>1</v>
      </c>
      <c r="V109" s="30">
        <f t="shared" si="24"/>
        <v>26.627619047619049</v>
      </c>
      <c r="W109" s="25">
        <v>105</v>
      </c>
      <c r="X109" s="31">
        <f t="shared" si="15"/>
        <v>244.8</v>
      </c>
      <c r="Y109" s="25">
        <v>180</v>
      </c>
      <c r="Z109" s="25">
        <v>11</v>
      </c>
      <c r="AA109" s="25">
        <v>50</v>
      </c>
      <c r="AB109" s="37">
        <v>1</v>
      </c>
      <c r="AC109" s="30">
        <f t="shared" si="25"/>
        <v>200</v>
      </c>
      <c r="AD109" s="31">
        <f t="shared" si="16"/>
        <v>2</v>
      </c>
      <c r="AE109" s="31">
        <f t="shared" si="17"/>
        <v>8</v>
      </c>
      <c r="AF109" s="31" t="str">
        <f t="shared" si="18"/>
        <v/>
      </c>
      <c r="AG109" s="31" t="str">
        <f t="shared" si="19"/>
        <v/>
      </c>
      <c r="AH109" s="31" t="str">
        <f t="shared" si="20"/>
        <v/>
      </c>
      <c r="AI109" s="31" t="str">
        <f t="shared" si="21"/>
        <v/>
      </c>
      <c r="AJ109" s="25">
        <v>10</v>
      </c>
      <c r="AK109" s="25">
        <v>0</v>
      </c>
      <c r="AL109" s="25">
        <v>0</v>
      </c>
      <c r="AM109" s="23" t="s">
        <v>206</v>
      </c>
      <c r="AN109" s="23" t="s">
        <v>92</v>
      </c>
      <c r="AO109" s="25">
        <v>256</v>
      </c>
      <c r="AR109" s="32" t="str">
        <f t="shared" si="22"/>
        <v>2 doors</v>
      </c>
      <c r="AS109" s="23" t="s">
        <v>255</v>
      </c>
      <c r="AT109" s="23" t="s">
        <v>270</v>
      </c>
      <c r="AU109" s="23" t="str">
        <f t="shared" si="26"/>
        <v>CC</v>
      </c>
      <c r="AV109" s="34">
        <f t="shared" si="23"/>
        <v>1348.04</v>
      </c>
      <c r="AW109" s="23">
        <v>13</v>
      </c>
      <c r="AX109" s="23">
        <v>48</v>
      </c>
      <c r="AY109" s="23">
        <v>4</v>
      </c>
    </row>
    <row r="110" spans="1:51">
      <c r="A110" s="25">
        <v>256</v>
      </c>
      <c r="B110" s="23" t="s">
        <v>256</v>
      </c>
      <c r="C110" s="23" t="s">
        <v>330</v>
      </c>
      <c r="D110" s="23">
        <v>2</v>
      </c>
      <c r="E110" s="25" t="s">
        <v>286</v>
      </c>
      <c r="F110" s="25" t="s">
        <v>302</v>
      </c>
      <c r="G110" s="23" t="s">
        <v>27</v>
      </c>
      <c r="H110" s="23" t="s">
        <v>331</v>
      </c>
      <c r="I110" s="25">
        <v>1995</v>
      </c>
      <c r="J110" s="35">
        <v>30</v>
      </c>
      <c r="K110" s="35">
        <v>40</v>
      </c>
      <c r="L110" s="35">
        <v>20</v>
      </c>
      <c r="M110" s="25">
        <v>6</v>
      </c>
      <c r="N110" s="25">
        <v>4</v>
      </c>
      <c r="R110" s="30">
        <f t="shared" si="14"/>
        <v>10</v>
      </c>
      <c r="S110" s="37">
        <v>1</v>
      </c>
      <c r="T110" s="30">
        <f t="shared" si="27"/>
        <v>18.454285714285717</v>
      </c>
      <c r="U110" s="37">
        <v>1</v>
      </c>
      <c r="V110" s="30">
        <f t="shared" si="24"/>
        <v>26.627619047619049</v>
      </c>
      <c r="W110" s="25">
        <v>105</v>
      </c>
      <c r="X110" s="31">
        <f t="shared" si="15"/>
        <v>244.8</v>
      </c>
      <c r="Y110" s="25">
        <v>180</v>
      </c>
      <c r="Z110" s="25">
        <v>11</v>
      </c>
      <c r="AA110" s="25">
        <v>50</v>
      </c>
      <c r="AB110" s="37">
        <v>1</v>
      </c>
      <c r="AC110" s="30">
        <f t="shared" si="25"/>
        <v>200</v>
      </c>
      <c r="AD110" s="31">
        <f t="shared" si="16"/>
        <v>2</v>
      </c>
      <c r="AE110" s="31">
        <f t="shared" si="17"/>
        <v>8</v>
      </c>
      <c r="AF110" s="31" t="str">
        <f t="shared" si="18"/>
        <v/>
      </c>
      <c r="AG110" s="31" t="str">
        <f t="shared" si="19"/>
        <v/>
      </c>
      <c r="AH110" s="31" t="str">
        <f t="shared" si="20"/>
        <v/>
      </c>
      <c r="AI110" s="31" t="str">
        <f t="shared" si="21"/>
        <v/>
      </c>
      <c r="AJ110" s="25">
        <v>10</v>
      </c>
      <c r="AK110" s="25">
        <v>0</v>
      </c>
      <c r="AL110" s="25">
        <v>0</v>
      </c>
      <c r="AM110" s="23" t="s">
        <v>206</v>
      </c>
      <c r="AN110" s="23" t="s">
        <v>92</v>
      </c>
      <c r="AO110" s="25">
        <v>256</v>
      </c>
      <c r="AR110" s="32" t="str">
        <f t="shared" si="22"/>
        <v>2 doors</v>
      </c>
      <c r="AS110" s="23" t="s">
        <v>255</v>
      </c>
      <c r="AT110" s="23" t="s">
        <v>270</v>
      </c>
      <c r="AU110" s="23" t="str">
        <f t="shared" si="26"/>
        <v>CC</v>
      </c>
      <c r="AV110" s="34">
        <f t="shared" si="23"/>
        <v>1348.05</v>
      </c>
      <c r="AW110" s="23">
        <v>13</v>
      </c>
      <c r="AX110" s="23">
        <v>48</v>
      </c>
      <c r="AY110" s="23">
        <v>5</v>
      </c>
    </row>
    <row r="111" spans="1:51">
      <c r="A111" s="25">
        <v>256</v>
      </c>
      <c r="B111" s="23" t="s">
        <v>256</v>
      </c>
      <c r="C111" s="23" t="s">
        <v>330</v>
      </c>
      <c r="D111" s="23">
        <v>2</v>
      </c>
      <c r="E111" s="25" t="s">
        <v>287</v>
      </c>
      <c r="F111" s="25" t="s">
        <v>302</v>
      </c>
      <c r="G111" s="23" t="s">
        <v>27</v>
      </c>
      <c r="H111" s="23" t="s">
        <v>331</v>
      </c>
      <c r="I111" s="25">
        <v>1995</v>
      </c>
      <c r="J111" s="35">
        <v>30</v>
      </c>
      <c r="K111" s="35">
        <v>40</v>
      </c>
      <c r="L111" s="35">
        <v>20</v>
      </c>
      <c r="M111" s="25">
        <v>6</v>
      </c>
      <c r="N111" s="25">
        <v>4</v>
      </c>
      <c r="R111" s="30">
        <f t="shared" si="14"/>
        <v>10</v>
      </c>
      <c r="S111" s="37">
        <v>1</v>
      </c>
      <c r="T111" s="30">
        <f t="shared" si="27"/>
        <v>18.454285714285717</v>
      </c>
      <c r="U111" s="37">
        <v>1</v>
      </c>
      <c r="V111" s="30">
        <f t="shared" si="24"/>
        <v>26.627619047619049</v>
      </c>
      <c r="W111" s="25">
        <v>105</v>
      </c>
      <c r="X111" s="31">
        <f t="shared" si="15"/>
        <v>244.8</v>
      </c>
      <c r="Y111" s="25">
        <v>180</v>
      </c>
      <c r="Z111" s="25">
        <v>11</v>
      </c>
      <c r="AA111" s="25">
        <v>50</v>
      </c>
      <c r="AB111" s="37">
        <v>1</v>
      </c>
      <c r="AC111" s="30">
        <f t="shared" si="25"/>
        <v>200</v>
      </c>
      <c r="AD111" s="31">
        <f t="shared" si="16"/>
        <v>2</v>
      </c>
      <c r="AE111" s="31">
        <f t="shared" si="17"/>
        <v>8</v>
      </c>
      <c r="AF111" s="31" t="str">
        <f t="shared" si="18"/>
        <v/>
      </c>
      <c r="AG111" s="31" t="str">
        <f t="shared" si="19"/>
        <v/>
      </c>
      <c r="AH111" s="31" t="str">
        <f t="shared" si="20"/>
        <v/>
      </c>
      <c r="AI111" s="31" t="str">
        <f t="shared" si="21"/>
        <v/>
      </c>
      <c r="AJ111" s="25">
        <v>10</v>
      </c>
      <c r="AK111" s="25">
        <v>0</v>
      </c>
      <c r="AL111" s="25">
        <v>0</v>
      </c>
      <c r="AM111" s="23" t="s">
        <v>206</v>
      </c>
      <c r="AN111" s="23" t="s">
        <v>92</v>
      </c>
      <c r="AO111" s="25">
        <v>256</v>
      </c>
      <c r="AR111" s="32" t="str">
        <f t="shared" si="22"/>
        <v>2 doors</v>
      </c>
      <c r="AS111" s="23" t="s">
        <v>255</v>
      </c>
      <c r="AT111" s="23" t="s">
        <v>270</v>
      </c>
      <c r="AU111" s="23" t="str">
        <f t="shared" si="26"/>
        <v>CC</v>
      </c>
      <c r="AV111" s="34">
        <f t="shared" si="23"/>
        <v>1348.06</v>
      </c>
      <c r="AW111" s="23">
        <v>13</v>
      </c>
      <c r="AX111" s="23">
        <v>48</v>
      </c>
      <c r="AY111" s="23">
        <v>6</v>
      </c>
    </row>
    <row r="112" spans="1:51">
      <c r="A112" s="25">
        <v>260</v>
      </c>
      <c r="B112" s="23" t="s">
        <v>89</v>
      </c>
      <c r="C112" s="23" t="s">
        <v>124</v>
      </c>
      <c r="D112" s="23">
        <v>3</v>
      </c>
      <c r="E112" s="25" t="s">
        <v>30</v>
      </c>
      <c r="F112" s="25" t="s">
        <v>295</v>
      </c>
      <c r="G112" s="23" t="s">
        <v>27</v>
      </c>
      <c r="H112" s="23" t="s">
        <v>156</v>
      </c>
      <c r="I112" s="25">
        <v>1971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O112" s="25">
        <v>10</v>
      </c>
      <c r="R112" s="30">
        <f t="shared" si="14"/>
        <v>30</v>
      </c>
      <c r="S112" s="37">
        <v>1</v>
      </c>
      <c r="T112" s="30">
        <f t="shared" si="27"/>
        <v>17.230857142857143</v>
      </c>
      <c r="U112" s="37">
        <v>1</v>
      </c>
      <c r="V112" s="30">
        <f t="shared" si="24"/>
        <v>23.08552380952381</v>
      </c>
      <c r="W112" s="25">
        <v>62</v>
      </c>
      <c r="X112" s="31">
        <f t="shared" si="15"/>
        <v>191.76000000000002</v>
      </c>
      <c r="Y112" s="25">
        <v>141</v>
      </c>
      <c r="Z112" s="25">
        <v>11</v>
      </c>
      <c r="AA112" s="25">
        <v>100</v>
      </c>
      <c r="AB112" s="37">
        <v>1</v>
      </c>
      <c r="AC112" s="30">
        <f t="shared" si="25"/>
        <v>200</v>
      </c>
      <c r="AD112" s="31">
        <f t="shared" si="16"/>
        <v>1</v>
      </c>
      <c r="AE112" s="31">
        <f t="shared" si="17"/>
        <v>8</v>
      </c>
      <c r="AF112" s="31" t="str">
        <f t="shared" si="18"/>
        <v/>
      </c>
      <c r="AG112" s="31" t="str">
        <f t="shared" si="19"/>
        <v/>
      </c>
      <c r="AH112" s="31" t="str">
        <f t="shared" si="20"/>
        <v/>
      </c>
      <c r="AI112" s="31" t="str">
        <f t="shared" si="21"/>
        <v/>
      </c>
      <c r="AJ112" s="25">
        <v>9</v>
      </c>
      <c r="AK112" s="25">
        <v>0</v>
      </c>
      <c r="AL112" s="25">
        <v>0</v>
      </c>
      <c r="AM112" s="23" t="s">
        <v>206</v>
      </c>
      <c r="AN112" s="23" t="s">
        <v>92</v>
      </c>
      <c r="AO112" s="25">
        <v>260</v>
      </c>
      <c r="AR112" s="32" t="str">
        <f t="shared" si="22"/>
        <v>3 doors</v>
      </c>
      <c r="AS112" s="23" t="s">
        <v>232</v>
      </c>
      <c r="AT112" s="23" t="s">
        <v>32</v>
      </c>
      <c r="AU112" s="23" t="str">
        <f t="shared" si="26"/>
        <v>CC</v>
      </c>
      <c r="AV112" s="34">
        <f t="shared" si="23"/>
        <v>1400</v>
      </c>
      <c r="AW112" s="23">
        <v>14</v>
      </c>
      <c r="AX112" s="23">
        <v>0</v>
      </c>
      <c r="AY112" s="23">
        <v>0</v>
      </c>
    </row>
    <row r="113" spans="1:51">
      <c r="A113" s="25">
        <v>260</v>
      </c>
      <c r="B113" s="23" t="s">
        <v>89</v>
      </c>
      <c r="C113" s="23" t="s">
        <v>124</v>
      </c>
      <c r="D113" s="23">
        <v>3</v>
      </c>
      <c r="E113" s="25" t="s">
        <v>42</v>
      </c>
      <c r="F113" s="25" t="s">
        <v>296</v>
      </c>
      <c r="G113" s="23" t="s">
        <v>27</v>
      </c>
      <c r="H113" s="23" t="s">
        <v>156</v>
      </c>
      <c r="I113" s="25">
        <v>1971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O113" s="25">
        <v>10</v>
      </c>
      <c r="R113" s="30">
        <f t="shared" si="14"/>
        <v>30</v>
      </c>
      <c r="S113" s="37">
        <v>1</v>
      </c>
      <c r="T113" s="30">
        <f t="shared" si="27"/>
        <v>17.230857142857143</v>
      </c>
      <c r="U113" s="37">
        <v>1</v>
      </c>
      <c r="V113" s="30">
        <f t="shared" si="24"/>
        <v>23.08552380952381</v>
      </c>
      <c r="W113" s="25">
        <v>62</v>
      </c>
      <c r="X113" s="31">
        <f t="shared" si="15"/>
        <v>191.76000000000002</v>
      </c>
      <c r="Y113" s="25">
        <v>141</v>
      </c>
      <c r="Z113" s="25">
        <v>11</v>
      </c>
      <c r="AA113" s="25">
        <v>100</v>
      </c>
      <c r="AB113" s="37">
        <v>1</v>
      </c>
      <c r="AC113" s="30">
        <f t="shared" si="25"/>
        <v>200</v>
      </c>
      <c r="AD113" s="31">
        <f t="shared" si="16"/>
        <v>1</v>
      </c>
      <c r="AE113" s="31">
        <f t="shared" si="17"/>
        <v>8</v>
      </c>
      <c r="AF113" s="31" t="str">
        <f t="shared" si="18"/>
        <v/>
      </c>
      <c r="AG113" s="31" t="str">
        <f t="shared" si="19"/>
        <v/>
      </c>
      <c r="AH113" s="31" t="str">
        <f t="shared" si="20"/>
        <v/>
      </c>
      <c r="AI113" s="31" t="str">
        <f t="shared" si="21"/>
        <v/>
      </c>
      <c r="AJ113" s="25">
        <v>9</v>
      </c>
      <c r="AK113" s="25">
        <v>0</v>
      </c>
      <c r="AL113" s="25">
        <v>0</v>
      </c>
      <c r="AM113" s="23" t="s">
        <v>206</v>
      </c>
      <c r="AN113" s="23" t="s">
        <v>92</v>
      </c>
      <c r="AO113" s="25">
        <v>260</v>
      </c>
      <c r="AR113" s="32" t="str">
        <f t="shared" si="22"/>
        <v>3 doors</v>
      </c>
      <c r="AS113" s="23" t="s">
        <v>232</v>
      </c>
      <c r="AT113" s="23" t="s">
        <v>32</v>
      </c>
      <c r="AU113" s="23" t="str">
        <f t="shared" si="26"/>
        <v>CC</v>
      </c>
      <c r="AV113" s="34">
        <f t="shared" si="23"/>
        <v>1400.01</v>
      </c>
      <c r="AW113" s="23">
        <v>14</v>
      </c>
      <c r="AX113" s="23">
        <v>0</v>
      </c>
      <c r="AY113" s="23">
        <v>1</v>
      </c>
    </row>
    <row r="114" spans="1:51">
      <c r="A114" s="25">
        <v>260</v>
      </c>
      <c r="B114" s="23" t="s">
        <v>89</v>
      </c>
      <c r="C114" s="23" t="s">
        <v>124</v>
      </c>
      <c r="D114" s="23">
        <v>3</v>
      </c>
      <c r="E114" s="25" t="s">
        <v>43</v>
      </c>
      <c r="F114" s="25" t="s">
        <v>297</v>
      </c>
      <c r="G114" s="23" t="s">
        <v>27</v>
      </c>
      <c r="H114" s="23" t="s">
        <v>156</v>
      </c>
      <c r="I114" s="25">
        <v>1971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10</v>
      </c>
      <c r="R114" s="30">
        <f t="shared" si="14"/>
        <v>30</v>
      </c>
      <c r="S114" s="37">
        <v>1</v>
      </c>
      <c r="T114" s="30">
        <f t="shared" si="27"/>
        <v>17.230857142857143</v>
      </c>
      <c r="U114" s="37">
        <v>1</v>
      </c>
      <c r="V114" s="30">
        <f t="shared" si="24"/>
        <v>23.08552380952381</v>
      </c>
      <c r="W114" s="25">
        <v>62</v>
      </c>
      <c r="X114" s="31">
        <f t="shared" si="15"/>
        <v>191.76000000000002</v>
      </c>
      <c r="Y114" s="25">
        <v>141</v>
      </c>
      <c r="Z114" s="25">
        <v>11</v>
      </c>
      <c r="AA114" s="25">
        <v>100</v>
      </c>
      <c r="AB114" s="37">
        <v>1</v>
      </c>
      <c r="AC114" s="30">
        <f t="shared" si="25"/>
        <v>200</v>
      </c>
      <c r="AD114" s="31">
        <f t="shared" si="16"/>
        <v>1</v>
      </c>
      <c r="AE114" s="31">
        <f t="shared" si="17"/>
        <v>8</v>
      </c>
      <c r="AF114" s="31" t="str">
        <f t="shared" si="18"/>
        <v/>
      </c>
      <c r="AG114" s="31" t="str">
        <f t="shared" si="19"/>
        <v/>
      </c>
      <c r="AH114" s="31" t="str">
        <f t="shared" si="20"/>
        <v/>
      </c>
      <c r="AI114" s="31" t="str">
        <f t="shared" si="21"/>
        <v/>
      </c>
      <c r="AJ114" s="25">
        <v>9</v>
      </c>
      <c r="AK114" s="25">
        <v>0</v>
      </c>
      <c r="AL114" s="25">
        <v>0</v>
      </c>
      <c r="AM114" s="23" t="s">
        <v>206</v>
      </c>
      <c r="AN114" s="23" t="s">
        <v>92</v>
      </c>
      <c r="AO114" s="25">
        <v>260</v>
      </c>
      <c r="AR114" s="32" t="str">
        <f t="shared" si="22"/>
        <v>3 doors</v>
      </c>
      <c r="AS114" s="23" t="s">
        <v>232</v>
      </c>
      <c r="AT114" s="23" t="s">
        <v>32</v>
      </c>
      <c r="AU114" s="23" t="str">
        <f t="shared" si="26"/>
        <v>CC</v>
      </c>
      <c r="AV114" s="34">
        <f t="shared" si="23"/>
        <v>1400.02</v>
      </c>
      <c r="AW114" s="23">
        <v>14</v>
      </c>
      <c r="AX114" s="23">
        <v>0</v>
      </c>
      <c r="AY114" s="23">
        <v>2</v>
      </c>
    </row>
    <row r="115" spans="1:51">
      <c r="A115" s="25">
        <v>260</v>
      </c>
      <c r="B115" s="23" t="s">
        <v>89</v>
      </c>
      <c r="C115" s="23" t="s">
        <v>124</v>
      </c>
      <c r="D115" s="23">
        <v>3</v>
      </c>
      <c r="E115" s="25" t="s">
        <v>284</v>
      </c>
      <c r="F115" s="25" t="s">
        <v>298</v>
      </c>
      <c r="G115" s="23" t="s">
        <v>27</v>
      </c>
      <c r="H115" s="23" t="s">
        <v>156</v>
      </c>
      <c r="I115" s="25">
        <v>1971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10</v>
      </c>
      <c r="R115" s="30">
        <f t="shared" si="14"/>
        <v>30</v>
      </c>
      <c r="S115" s="37">
        <v>1</v>
      </c>
      <c r="T115" s="30">
        <f t="shared" si="27"/>
        <v>17.230857142857143</v>
      </c>
      <c r="U115" s="37">
        <v>1</v>
      </c>
      <c r="V115" s="30">
        <f t="shared" si="24"/>
        <v>23.08552380952381</v>
      </c>
      <c r="W115" s="25">
        <v>62</v>
      </c>
      <c r="X115" s="31">
        <f t="shared" si="15"/>
        <v>191.76000000000002</v>
      </c>
      <c r="Y115" s="25">
        <v>141</v>
      </c>
      <c r="Z115" s="25">
        <v>11</v>
      </c>
      <c r="AA115" s="25">
        <v>100</v>
      </c>
      <c r="AB115" s="37">
        <v>1</v>
      </c>
      <c r="AC115" s="30">
        <f t="shared" si="25"/>
        <v>200</v>
      </c>
      <c r="AD115" s="31">
        <f t="shared" si="16"/>
        <v>1</v>
      </c>
      <c r="AE115" s="31">
        <f t="shared" si="17"/>
        <v>8</v>
      </c>
      <c r="AF115" s="31" t="str">
        <f t="shared" si="18"/>
        <v/>
      </c>
      <c r="AG115" s="31" t="str">
        <f t="shared" si="19"/>
        <v/>
      </c>
      <c r="AH115" s="31" t="str">
        <f t="shared" si="20"/>
        <v/>
      </c>
      <c r="AI115" s="31" t="str">
        <f t="shared" si="21"/>
        <v/>
      </c>
      <c r="AJ115" s="25">
        <v>9</v>
      </c>
      <c r="AK115" s="25">
        <v>0</v>
      </c>
      <c r="AL115" s="25">
        <v>0</v>
      </c>
      <c r="AM115" s="23" t="s">
        <v>206</v>
      </c>
      <c r="AN115" s="23" t="s">
        <v>92</v>
      </c>
      <c r="AO115" s="25">
        <v>260</v>
      </c>
      <c r="AR115" s="32" t="str">
        <f t="shared" si="22"/>
        <v>3 doors</v>
      </c>
      <c r="AS115" s="23" t="s">
        <v>232</v>
      </c>
      <c r="AT115" s="23" t="s">
        <v>32</v>
      </c>
      <c r="AU115" s="23" t="str">
        <f t="shared" si="26"/>
        <v>CC</v>
      </c>
      <c r="AV115" s="34">
        <f t="shared" si="23"/>
        <v>1400.03</v>
      </c>
      <c r="AW115" s="23">
        <v>14</v>
      </c>
      <c r="AX115" s="23">
        <v>0</v>
      </c>
      <c r="AY115" s="23">
        <v>3</v>
      </c>
    </row>
    <row r="116" spans="1:51">
      <c r="A116" s="25">
        <v>260</v>
      </c>
      <c r="B116" s="23" t="s">
        <v>89</v>
      </c>
      <c r="C116" s="23" t="s">
        <v>124</v>
      </c>
      <c r="D116" s="23">
        <v>3</v>
      </c>
      <c r="E116" s="25" t="s">
        <v>285</v>
      </c>
      <c r="F116" s="25" t="s">
        <v>299</v>
      </c>
      <c r="G116" s="23" t="s">
        <v>27</v>
      </c>
      <c r="H116" s="23" t="s">
        <v>156</v>
      </c>
      <c r="I116" s="25">
        <v>1971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R116" s="30">
        <f t="shared" si="14"/>
        <v>30</v>
      </c>
      <c r="S116" s="37">
        <v>1</v>
      </c>
      <c r="T116" s="30">
        <f t="shared" si="27"/>
        <v>17.230857142857143</v>
      </c>
      <c r="U116" s="37">
        <v>1</v>
      </c>
      <c r="V116" s="30">
        <f t="shared" si="24"/>
        <v>23.08552380952381</v>
      </c>
      <c r="W116" s="25">
        <v>62</v>
      </c>
      <c r="X116" s="31">
        <f t="shared" si="15"/>
        <v>191.76000000000002</v>
      </c>
      <c r="Y116" s="25">
        <v>141</v>
      </c>
      <c r="Z116" s="25">
        <v>11</v>
      </c>
      <c r="AA116" s="25">
        <v>100</v>
      </c>
      <c r="AB116" s="37">
        <v>1</v>
      </c>
      <c r="AC116" s="30">
        <f t="shared" si="25"/>
        <v>200</v>
      </c>
      <c r="AD116" s="31">
        <f t="shared" si="16"/>
        <v>1</v>
      </c>
      <c r="AE116" s="31">
        <f t="shared" si="17"/>
        <v>8</v>
      </c>
      <c r="AF116" s="31" t="str">
        <f t="shared" si="18"/>
        <v/>
      </c>
      <c r="AG116" s="31" t="str">
        <f t="shared" si="19"/>
        <v/>
      </c>
      <c r="AH116" s="31" t="str">
        <f t="shared" si="20"/>
        <v/>
      </c>
      <c r="AI116" s="31" t="str">
        <f t="shared" si="21"/>
        <v/>
      </c>
      <c r="AJ116" s="25">
        <v>9</v>
      </c>
      <c r="AK116" s="25">
        <v>0</v>
      </c>
      <c r="AL116" s="25">
        <v>0</v>
      </c>
      <c r="AM116" s="23" t="s">
        <v>206</v>
      </c>
      <c r="AN116" s="23" t="s">
        <v>92</v>
      </c>
      <c r="AO116" s="25">
        <v>260</v>
      </c>
      <c r="AR116" s="32" t="str">
        <f t="shared" si="22"/>
        <v>3 doors</v>
      </c>
      <c r="AS116" s="23" t="s">
        <v>232</v>
      </c>
      <c r="AT116" s="23" t="s">
        <v>32</v>
      </c>
      <c r="AU116" s="23" t="str">
        <f t="shared" si="26"/>
        <v>CC</v>
      </c>
      <c r="AV116" s="34">
        <f t="shared" si="23"/>
        <v>1400.04</v>
      </c>
      <c r="AW116" s="23">
        <v>14</v>
      </c>
      <c r="AX116" s="23">
        <v>0</v>
      </c>
      <c r="AY116" s="23">
        <v>4</v>
      </c>
    </row>
    <row r="117" spans="1:51">
      <c r="A117" s="25">
        <v>260</v>
      </c>
      <c r="B117" s="23" t="s">
        <v>89</v>
      </c>
      <c r="C117" s="23" t="s">
        <v>124</v>
      </c>
      <c r="D117" s="23">
        <v>3</v>
      </c>
      <c r="E117" s="25" t="s">
        <v>286</v>
      </c>
      <c r="F117" s="25" t="s">
        <v>301</v>
      </c>
      <c r="G117" s="23" t="s">
        <v>27</v>
      </c>
      <c r="H117" s="23" t="s">
        <v>156</v>
      </c>
      <c r="I117" s="25">
        <v>1971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R117" s="30">
        <f t="shared" si="14"/>
        <v>30</v>
      </c>
      <c r="S117" s="37">
        <v>1</v>
      </c>
      <c r="T117" s="30">
        <f t="shared" si="27"/>
        <v>17.230857142857143</v>
      </c>
      <c r="U117" s="37">
        <v>1</v>
      </c>
      <c r="V117" s="30">
        <f t="shared" si="24"/>
        <v>23.08552380952381</v>
      </c>
      <c r="W117" s="25">
        <v>62</v>
      </c>
      <c r="X117" s="31">
        <f t="shared" si="15"/>
        <v>191.76000000000002</v>
      </c>
      <c r="Y117" s="25">
        <v>141</v>
      </c>
      <c r="Z117" s="25">
        <v>11</v>
      </c>
      <c r="AA117" s="25">
        <v>100</v>
      </c>
      <c r="AB117" s="37">
        <v>1</v>
      </c>
      <c r="AC117" s="30">
        <f t="shared" si="25"/>
        <v>200</v>
      </c>
      <c r="AD117" s="31">
        <f t="shared" si="16"/>
        <v>1</v>
      </c>
      <c r="AE117" s="31">
        <f t="shared" si="17"/>
        <v>8</v>
      </c>
      <c r="AF117" s="31" t="str">
        <f t="shared" si="18"/>
        <v/>
      </c>
      <c r="AG117" s="31" t="str">
        <f t="shared" si="19"/>
        <v/>
      </c>
      <c r="AH117" s="31" t="str">
        <f t="shared" si="20"/>
        <v/>
      </c>
      <c r="AI117" s="31" t="str">
        <f t="shared" si="21"/>
        <v/>
      </c>
      <c r="AJ117" s="25">
        <v>9</v>
      </c>
      <c r="AK117" s="25">
        <v>0</v>
      </c>
      <c r="AL117" s="25">
        <v>0</v>
      </c>
      <c r="AM117" s="23" t="s">
        <v>206</v>
      </c>
      <c r="AN117" s="23" t="s">
        <v>92</v>
      </c>
      <c r="AO117" s="25">
        <v>260</v>
      </c>
      <c r="AR117" s="32" t="str">
        <f t="shared" si="22"/>
        <v>3 doors</v>
      </c>
      <c r="AS117" s="23" t="s">
        <v>232</v>
      </c>
      <c r="AT117" s="23" t="s">
        <v>32</v>
      </c>
      <c r="AU117" s="23" t="str">
        <f t="shared" si="26"/>
        <v>CC</v>
      </c>
      <c r="AV117" s="34">
        <f t="shared" si="23"/>
        <v>1400.05</v>
      </c>
      <c r="AW117" s="23">
        <v>14</v>
      </c>
      <c r="AX117" s="23">
        <v>0</v>
      </c>
      <c r="AY117" s="23">
        <v>5</v>
      </c>
    </row>
    <row r="118" spans="1:51">
      <c r="A118" s="25">
        <v>260</v>
      </c>
      <c r="B118" s="23" t="s">
        <v>89</v>
      </c>
      <c r="C118" s="23" t="s">
        <v>124</v>
      </c>
      <c r="D118" s="23">
        <v>3</v>
      </c>
      <c r="E118" s="25" t="s">
        <v>287</v>
      </c>
      <c r="F118" s="25" t="s">
        <v>300</v>
      </c>
      <c r="G118" s="23" t="s">
        <v>27</v>
      </c>
      <c r="H118" s="23" t="s">
        <v>156</v>
      </c>
      <c r="I118" s="25">
        <v>1971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R118" s="30">
        <f t="shared" si="14"/>
        <v>30</v>
      </c>
      <c r="S118" s="37">
        <v>1</v>
      </c>
      <c r="T118" s="30">
        <f t="shared" si="27"/>
        <v>17.230857142857143</v>
      </c>
      <c r="U118" s="37">
        <v>1</v>
      </c>
      <c r="V118" s="30">
        <f t="shared" si="24"/>
        <v>23.08552380952381</v>
      </c>
      <c r="W118" s="25">
        <v>62</v>
      </c>
      <c r="X118" s="31">
        <f t="shared" si="15"/>
        <v>191.76000000000002</v>
      </c>
      <c r="Y118" s="25">
        <v>141</v>
      </c>
      <c r="Z118" s="25">
        <v>11</v>
      </c>
      <c r="AA118" s="25">
        <v>100</v>
      </c>
      <c r="AB118" s="37">
        <v>1</v>
      </c>
      <c r="AC118" s="30">
        <f t="shared" si="25"/>
        <v>200</v>
      </c>
      <c r="AD118" s="31">
        <f t="shared" si="16"/>
        <v>1</v>
      </c>
      <c r="AE118" s="31">
        <f t="shared" si="17"/>
        <v>8</v>
      </c>
      <c r="AF118" s="31" t="str">
        <f t="shared" si="18"/>
        <v/>
      </c>
      <c r="AG118" s="31" t="str">
        <f t="shared" si="19"/>
        <v/>
      </c>
      <c r="AH118" s="31" t="str">
        <f t="shared" si="20"/>
        <v/>
      </c>
      <c r="AI118" s="31" t="str">
        <f t="shared" si="21"/>
        <v/>
      </c>
      <c r="AJ118" s="25">
        <v>9</v>
      </c>
      <c r="AK118" s="25">
        <v>0</v>
      </c>
      <c r="AL118" s="25">
        <v>0</v>
      </c>
      <c r="AM118" s="23" t="s">
        <v>206</v>
      </c>
      <c r="AN118" s="23" t="s">
        <v>92</v>
      </c>
      <c r="AO118" s="25">
        <v>260</v>
      </c>
      <c r="AR118" s="32" t="str">
        <f t="shared" si="22"/>
        <v>3 doors</v>
      </c>
      <c r="AS118" s="23" t="s">
        <v>232</v>
      </c>
      <c r="AT118" s="23" t="s">
        <v>32</v>
      </c>
      <c r="AU118" s="23" t="str">
        <f t="shared" si="26"/>
        <v>CC</v>
      </c>
      <c r="AV118" s="34">
        <f t="shared" si="23"/>
        <v>1400.06</v>
      </c>
      <c r="AW118" s="23">
        <v>14</v>
      </c>
      <c r="AX118" s="23">
        <v>0</v>
      </c>
      <c r="AY118" s="23">
        <v>6</v>
      </c>
    </row>
    <row r="119" spans="1:51">
      <c r="A119" s="25">
        <v>260</v>
      </c>
      <c r="B119" s="23" t="s">
        <v>89</v>
      </c>
      <c r="C119" s="23" t="s">
        <v>124</v>
      </c>
      <c r="D119" s="23">
        <v>3</v>
      </c>
      <c r="E119" s="25" t="s">
        <v>288</v>
      </c>
      <c r="F119" s="25" t="s">
        <v>315</v>
      </c>
      <c r="G119" s="23" t="s">
        <v>27</v>
      </c>
      <c r="H119" s="23" t="s">
        <v>156</v>
      </c>
      <c r="I119" s="25">
        <v>1971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si="14"/>
        <v>30</v>
      </c>
      <c r="S119" s="37">
        <v>1</v>
      </c>
      <c r="T119" s="30">
        <f t="shared" si="27"/>
        <v>17.230857142857143</v>
      </c>
      <c r="U119" s="37">
        <v>1</v>
      </c>
      <c r="V119" s="30">
        <f t="shared" si="24"/>
        <v>23.08552380952381</v>
      </c>
      <c r="W119" s="25">
        <v>62</v>
      </c>
      <c r="X119" s="31">
        <f t="shared" si="15"/>
        <v>191.76000000000002</v>
      </c>
      <c r="Y119" s="25">
        <v>141</v>
      </c>
      <c r="Z119" s="25">
        <v>11</v>
      </c>
      <c r="AA119" s="25">
        <v>100</v>
      </c>
      <c r="AB119" s="37">
        <v>1</v>
      </c>
      <c r="AC119" s="30">
        <f t="shared" si="25"/>
        <v>200</v>
      </c>
      <c r="AD119" s="31">
        <f t="shared" si="16"/>
        <v>1</v>
      </c>
      <c r="AE119" s="31">
        <f t="shared" si="17"/>
        <v>8</v>
      </c>
      <c r="AF119" s="31" t="str">
        <f t="shared" si="18"/>
        <v/>
      </c>
      <c r="AG119" s="31" t="str">
        <f t="shared" si="19"/>
        <v/>
      </c>
      <c r="AH119" s="31" t="str">
        <f t="shared" si="20"/>
        <v/>
      </c>
      <c r="AI119" s="31" t="str">
        <f t="shared" si="21"/>
        <v/>
      </c>
      <c r="AJ119" s="25">
        <v>9</v>
      </c>
      <c r="AK119" s="25">
        <v>0</v>
      </c>
      <c r="AL119" s="25">
        <v>0</v>
      </c>
      <c r="AM119" s="23" t="s">
        <v>206</v>
      </c>
      <c r="AN119" s="23" t="s">
        <v>92</v>
      </c>
      <c r="AO119" s="25">
        <v>260</v>
      </c>
      <c r="AR119" s="32" t="str">
        <f t="shared" si="22"/>
        <v>3 doors</v>
      </c>
      <c r="AS119" s="23" t="s">
        <v>232</v>
      </c>
      <c r="AT119" s="23" t="s">
        <v>32</v>
      </c>
      <c r="AU119" s="23" t="str">
        <f t="shared" si="26"/>
        <v>CC</v>
      </c>
      <c r="AV119" s="34">
        <f t="shared" si="23"/>
        <v>1400.07</v>
      </c>
      <c r="AW119" s="23">
        <v>14</v>
      </c>
      <c r="AX119" s="23">
        <v>0</v>
      </c>
      <c r="AY119" s="23">
        <v>7</v>
      </c>
    </row>
    <row r="120" spans="1:51">
      <c r="A120" s="25">
        <v>260</v>
      </c>
      <c r="B120" s="23" t="s">
        <v>89</v>
      </c>
      <c r="C120" s="23" t="s">
        <v>124</v>
      </c>
      <c r="D120" s="23">
        <v>3</v>
      </c>
      <c r="E120" s="25" t="s">
        <v>85</v>
      </c>
      <c r="F120" s="25" t="s">
        <v>85</v>
      </c>
      <c r="G120" s="23" t="s">
        <v>27</v>
      </c>
      <c r="H120" s="23" t="s">
        <v>156</v>
      </c>
      <c r="I120" s="25">
        <v>1971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14"/>
        <v>30</v>
      </c>
      <c r="S120" s="37">
        <v>1</v>
      </c>
      <c r="T120" s="30">
        <f t="shared" si="27"/>
        <v>17.230857142857143</v>
      </c>
      <c r="U120" s="37">
        <v>1</v>
      </c>
      <c r="V120" s="30">
        <f t="shared" si="24"/>
        <v>23.08552380952381</v>
      </c>
      <c r="W120" s="25">
        <v>62</v>
      </c>
      <c r="X120" s="31">
        <f t="shared" si="15"/>
        <v>191.76000000000002</v>
      </c>
      <c r="Y120" s="25">
        <v>141</v>
      </c>
      <c r="Z120" s="25">
        <v>11</v>
      </c>
      <c r="AA120" s="25">
        <v>100</v>
      </c>
      <c r="AB120" s="37">
        <v>1</v>
      </c>
      <c r="AC120" s="30">
        <f t="shared" si="25"/>
        <v>200</v>
      </c>
      <c r="AD120" s="31">
        <f t="shared" si="16"/>
        <v>1</v>
      </c>
      <c r="AE120" s="31">
        <f t="shared" si="17"/>
        <v>8</v>
      </c>
      <c r="AF120" s="31" t="str">
        <f t="shared" si="18"/>
        <v/>
      </c>
      <c r="AG120" s="31" t="str">
        <f t="shared" si="19"/>
        <v/>
      </c>
      <c r="AH120" s="31" t="str">
        <f t="shared" si="20"/>
        <v/>
      </c>
      <c r="AI120" s="31" t="str">
        <f t="shared" si="21"/>
        <v/>
      </c>
      <c r="AJ120" s="25">
        <v>9</v>
      </c>
      <c r="AK120" s="25">
        <v>0</v>
      </c>
      <c r="AL120" s="25">
        <v>0</v>
      </c>
      <c r="AM120" s="23" t="s">
        <v>206</v>
      </c>
      <c r="AN120" s="23" t="s">
        <v>92</v>
      </c>
      <c r="AO120" s="25">
        <v>260</v>
      </c>
      <c r="AR120" s="32" t="str">
        <f t="shared" si="22"/>
        <v>3 doors</v>
      </c>
      <c r="AS120" s="23" t="s">
        <v>232</v>
      </c>
      <c r="AT120" s="23" t="s">
        <v>32</v>
      </c>
      <c r="AU120" s="23" t="str">
        <f t="shared" si="26"/>
        <v>Hungary</v>
      </c>
      <c r="AV120" s="34">
        <f t="shared" si="23"/>
        <v>1400.08</v>
      </c>
      <c r="AW120" s="23">
        <v>14</v>
      </c>
      <c r="AX120" s="23">
        <v>0</v>
      </c>
      <c r="AY120" s="23">
        <v>8</v>
      </c>
    </row>
    <row r="121" spans="1:51">
      <c r="A121" s="25">
        <v>260</v>
      </c>
      <c r="B121" s="23" t="s">
        <v>125</v>
      </c>
      <c r="C121" s="23" t="s">
        <v>124</v>
      </c>
      <c r="D121" s="23">
        <v>2</v>
      </c>
      <c r="E121" s="25" t="s">
        <v>30</v>
      </c>
      <c r="F121" s="25" t="s">
        <v>302</v>
      </c>
      <c r="G121" s="23" t="s">
        <v>27</v>
      </c>
      <c r="H121" s="23" t="s">
        <v>157</v>
      </c>
      <c r="I121" s="25">
        <v>1971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R121" s="30">
        <f t="shared" si="14"/>
        <v>20</v>
      </c>
      <c r="S121" s="37">
        <v>1</v>
      </c>
      <c r="T121" s="30">
        <f t="shared" si="27"/>
        <v>16.516571428571428</v>
      </c>
      <c r="U121" s="37">
        <v>1</v>
      </c>
      <c r="V121" s="30">
        <f t="shared" si="24"/>
        <v>22.17790476190476</v>
      </c>
      <c r="W121" s="25">
        <v>78</v>
      </c>
      <c r="X121" s="31">
        <f t="shared" si="15"/>
        <v>191.76000000000002</v>
      </c>
      <c r="Y121" s="25">
        <v>141</v>
      </c>
      <c r="Z121" s="25">
        <v>11</v>
      </c>
      <c r="AA121" s="25">
        <v>71</v>
      </c>
      <c r="AB121" s="37">
        <v>1</v>
      </c>
      <c r="AC121" s="30">
        <f t="shared" si="25"/>
        <v>200</v>
      </c>
      <c r="AD121" s="31">
        <f t="shared" si="16"/>
        <v>1</v>
      </c>
      <c r="AE121" s="31">
        <f t="shared" si="17"/>
        <v>8</v>
      </c>
      <c r="AF121" s="31" t="str">
        <f t="shared" si="18"/>
        <v/>
      </c>
      <c r="AG121" s="31" t="str">
        <f t="shared" si="19"/>
        <v/>
      </c>
      <c r="AH121" s="31" t="str">
        <f t="shared" si="20"/>
        <v/>
      </c>
      <c r="AI121" s="31" t="str">
        <f t="shared" si="21"/>
        <v/>
      </c>
      <c r="AJ121" s="25">
        <v>9</v>
      </c>
      <c r="AK121" s="25">
        <v>0</v>
      </c>
      <c r="AL121" s="25">
        <v>0</v>
      </c>
      <c r="AM121" s="23" t="s">
        <v>206</v>
      </c>
      <c r="AN121" s="23" t="s">
        <v>92</v>
      </c>
      <c r="AO121" s="25">
        <v>260</v>
      </c>
      <c r="AR121" s="32" t="str">
        <f t="shared" si="22"/>
        <v>2 doors</v>
      </c>
      <c r="AS121" s="23" t="s">
        <v>233</v>
      </c>
      <c r="AT121" s="23" t="s">
        <v>270</v>
      </c>
      <c r="AU121" s="23" t="str">
        <f t="shared" si="26"/>
        <v>CC</v>
      </c>
      <c r="AV121" s="34">
        <f t="shared" si="23"/>
        <v>1410</v>
      </c>
      <c r="AW121" s="23">
        <v>14</v>
      </c>
      <c r="AX121" s="23">
        <v>10</v>
      </c>
      <c r="AY121" s="23">
        <v>0</v>
      </c>
    </row>
    <row r="122" spans="1:51">
      <c r="A122" s="25">
        <v>260</v>
      </c>
      <c r="B122" s="23" t="s">
        <v>125</v>
      </c>
      <c r="C122" s="23" t="s">
        <v>124</v>
      </c>
      <c r="D122" s="23">
        <v>2</v>
      </c>
      <c r="E122" s="25" t="s">
        <v>42</v>
      </c>
      <c r="F122" s="25" t="s">
        <v>303</v>
      </c>
      <c r="G122" s="23" t="s">
        <v>27</v>
      </c>
      <c r="H122" s="23" t="s">
        <v>157</v>
      </c>
      <c r="I122" s="25">
        <v>1971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R122" s="30">
        <f t="shared" si="14"/>
        <v>20</v>
      </c>
      <c r="S122" s="37">
        <v>1</v>
      </c>
      <c r="T122" s="30">
        <f t="shared" si="27"/>
        <v>16.516571428571428</v>
      </c>
      <c r="U122" s="37">
        <v>1</v>
      </c>
      <c r="V122" s="30">
        <f t="shared" si="24"/>
        <v>22.17790476190476</v>
      </c>
      <c r="W122" s="25">
        <v>78</v>
      </c>
      <c r="X122" s="31">
        <f t="shared" si="15"/>
        <v>191.76000000000002</v>
      </c>
      <c r="Y122" s="25">
        <v>141</v>
      </c>
      <c r="Z122" s="25">
        <v>11</v>
      </c>
      <c r="AA122" s="25">
        <v>71</v>
      </c>
      <c r="AB122" s="37">
        <v>1</v>
      </c>
      <c r="AC122" s="30">
        <f t="shared" si="25"/>
        <v>200</v>
      </c>
      <c r="AD122" s="31">
        <f t="shared" si="16"/>
        <v>1</v>
      </c>
      <c r="AE122" s="31">
        <f t="shared" si="17"/>
        <v>8</v>
      </c>
      <c r="AF122" s="31" t="str">
        <f t="shared" si="18"/>
        <v/>
      </c>
      <c r="AG122" s="31" t="str">
        <f t="shared" si="19"/>
        <v/>
      </c>
      <c r="AH122" s="31" t="str">
        <f t="shared" si="20"/>
        <v/>
      </c>
      <c r="AI122" s="31" t="str">
        <f t="shared" si="21"/>
        <v/>
      </c>
      <c r="AJ122" s="25">
        <v>9</v>
      </c>
      <c r="AK122" s="25">
        <v>0</v>
      </c>
      <c r="AL122" s="25">
        <v>0</v>
      </c>
      <c r="AM122" s="23" t="s">
        <v>206</v>
      </c>
      <c r="AN122" s="23" t="s">
        <v>92</v>
      </c>
      <c r="AO122" s="25">
        <v>260</v>
      </c>
      <c r="AR122" s="32" t="str">
        <f t="shared" si="22"/>
        <v>2 doors</v>
      </c>
      <c r="AS122" s="23" t="s">
        <v>233</v>
      </c>
      <c r="AT122" s="23" t="s">
        <v>270</v>
      </c>
      <c r="AU122" s="23" t="str">
        <f t="shared" si="26"/>
        <v>CC</v>
      </c>
      <c r="AV122" s="34">
        <f t="shared" si="23"/>
        <v>1410.01</v>
      </c>
      <c r="AW122" s="23">
        <v>14</v>
      </c>
      <c r="AX122" s="23">
        <v>10</v>
      </c>
      <c r="AY122" s="23">
        <v>1</v>
      </c>
    </row>
    <row r="123" spans="1:51">
      <c r="A123" s="25">
        <v>260</v>
      </c>
      <c r="B123" s="23" t="s">
        <v>125</v>
      </c>
      <c r="C123" s="23" t="s">
        <v>124</v>
      </c>
      <c r="D123" s="23">
        <v>2</v>
      </c>
      <c r="E123" s="25" t="s">
        <v>43</v>
      </c>
      <c r="F123" s="25" t="s">
        <v>304</v>
      </c>
      <c r="G123" s="23" t="s">
        <v>27</v>
      </c>
      <c r="H123" s="23" t="s">
        <v>157</v>
      </c>
      <c r="I123" s="25">
        <v>1971</v>
      </c>
      <c r="J123" s="35">
        <v>30</v>
      </c>
      <c r="K123" s="35">
        <v>40</v>
      </c>
      <c r="L123" s="35">
        <v>20</v>
      </c>
      <c r="M123" s="25">
        <v>10</v>
      </c>
      <c r="N123" s="25">
        <v>10</v>
      </c>
      <c r="R123" s="30">
        <f t="shared" si="14"/>
        <v>20</v>
      </c>
      <c r="S123" s="37">
        <v>1</v>
      </c>
      <c r="T123" s="30">
        <f t="shared" si="27"/>
        <v>16.516571428571428</v>
      </c>
      <c r="U123" s="37">
        <v>1</v>
      </c>
      <c r="V123" s="30">
        <f t="shared" si="24"/>
        <v>22.17790476190476</v>
      </c>
      <c r="W123" s="25">
        <v>78</v>
      </c>
      <c r="X123" s="31">
        <f t="shared" si="15"/>
        <v>191.76000000000002</v>
      </c>
      <c r="Y123" s="25">
        <v>141</v>
      </c>
      <c r="Z123" s="25">
        <v>11</v>
      </c>
      <c r="AA123" s="25">
        <v>71</v>
      </c>
      <c r="AB123" s="37">
        <v>1</v>
      </c>
      <c r="AC123" s="30">
        <f t="shared" si="25"/>
        <v>200</v>
      </c>
      <c r="AD123" s="31">
        <f t="shared" si="16"/>
        <v>1</v>
      </c>
      <c r="AE123" s="31">
        <f t="shared" si="17"/>
        <v>8</v>
      </c>
      <c r="AF123" s="31" t="str">
        <f t="shared" si="18"/>
        <v/>
      </c>
      <c r="AG123" s="31" t="str">
        <f t="shared" si="19"/>
        <v/>
      </c>
      <c r="AH123" s="31" t="str">
        <f t="shared" si="20"/>
        <v/>
      </c>
      <c r="AI123" s="31" t="str">
        <f t="shared" si="21"/>
        <v/>
      </c>
      <c r="AJ123" s="25">
        <v>9</v>
      </c>
      <c r="AK123" s="25">
        <v>0</v>
      </c>
      <c r="AL123" s="25">
        <v>0</v>
      </c>
      <c r="AM123" s="23" t="s">
        <v>206</v>
      </c>
      <c r="AN123" s="23" t="s">
        <v>92</v>
      </c>
      <c r="AO123" s="25">
        <v>260</v>
      </c>
      <c r="AR123" s="32" t="str">
        <f t="shared" si="22"/>
        <v>2 doors</v>
      </c>
      <c r="AS123" s="23" t="s">
        <v>233</v>
      </c>
      <c r="AT123" s="23" t="s">
        <v>270</v>
      </c>
      <c r="AU123" s="23" t="str">
        <f t="shared" si="26"/>
        <v>CC</v>
      </c>
      <c r="AV123" s="34">
        <f t="shared" si="23"/>
        <v>1410.02</v>
      </c>
      <c r="AW123" s="23">
        <v>14</v>
      </c>
      <c r="AX123" s="23">
        <v>10</v>
      </c>
      <c r="AY123" s="23">
        <v>2</v>
      </c>
    </row>
    <row r="124" spans="1:51">
      <c r="A124" s="25">
        <v>260</v>
      </c>
      <c r="B124" s="23" t="s">
        <v>125</v>
      </c>
      <c r="C124" s="23" t="s">
        <v>124</v>
      </c>
      <c r="D124" s="23">
        <v>2</v>
      </c>
      <c r="E124" s="25" t="s">
        <v>284</v>
      </c>
      <c r="F124" s="25" t="s">
        <v>305</v>
      </c>
      <c r="G124" s="23" t="s">
        <v>27</v>
      </c>
      <c r="H124" s="23" t="s">
        <v>157</v>
      </c>
      <c r="I124" s="25">
        <v>1971</v>
      </c>
      <c r="J124" s="35">
        <v>30</v>
      </c>
      <c r="K124" s="35">
        <v>40</v>
      </c>
      <c r="L124" s="35">
        <v>20</v>
      </c>
      <c r="M124" s="25">
        <v>10</v>
      </c>
      <c r="N124" s="25">
        <v>10</v>
      </c>
      <c r="R124" s="30">
        <f t="shared" si="14"/>
        <v>20</v>
      </c>
      <c r="S124" s="37">
        <v>1</v>
      </c>
      <c r="T124" s="30">
        <f t="shared" si="27"/>
        <v>16.516571428571428</v>
      </c>
      <c r="U124" s="37">
        <v>1</v>
      </c>
      <c r="V124" s="30">
        <f t="shared" si="24"/>
        <v>22.17790476190476</v>
      </c>
      <c r="W124" s="25">
        <v>78</v>
      </c>
      <c r="X124" s="31">
        <f t="shared" si="15"/>
        <v>191.76000000000002</v>
      </c>
      <c r="Y124" s="25">
        <v>141</v>
      </c>
      <c r="Z124" s="25">
        <v>11</v>
      </c>
      <c r="AA124" s="25">
        <v>71</v>
      </c>
      <c r="AB124" s="37">
        <v>1</v>
      </c>
      <c r="AC124" s="30">
        <f t="shared" si="25"/>
        <v>200</v>
      </c>
      <c r="AD124" s="31">
        <f t="shared" si="16"/>
        <v>1</v>
      </c>
      <c r="AE124" s="31">
        <f t="shared" si="17"/>
        <v>8</v>
      </c>
      <c r="AF124" s="31" t="str">
        <f t="shared" si="18"/>
        <v/>
      </c>
      <c r="AG124" s="31" t="str">
        <f t="shared" si="19"/>
        <v/>
      </c>
      <c r="AH124" s="31" t="str">
        <f t="shared" si="20"/>
        <v/>
      </c>
      <c r="AI124" s="31" t="str">
        <f t="shared" si="21"/>
        <v/>
      </c>
      <c r="AJ124" s="25">
        <v>9</v>
      </c>
      <c r="AK124" s="25">
        <v>0</v>
      </c>
      <c r="AL124" s="25">
        <v>0</v>
      </c>
      <c r="AM124" s="23" t="s">
        <v>206</v>
      </c>
      <c r="AN124" s="23" t="s">
        <v>92</v>
      </c>
      <c r="AO124" s="25">
        <v>260</v>
      </c>
      <c r="AR124" s="32" t="str">
        <f t="shared" si="22"/>
        <v>2 doors</v>
      </c>
      <c r="AS124" s="23" t="s">
        <v>233</v>
      </c>
      <c r="AT124" s="23" t="s">
        <v>270</v>
      </c>
      <c r="AU124" s="23" t="str">
        <f t="shared" si="26"/>
        <v>CC</v>
      </c>
      <c r="AV124" s="34">
        <f t="shared" si="23"/>
        <v>1410.03</v>
      </c>
      <c r="AW124" s="23">
        <v>14</v>
      </c>
      <c r="AX124" s="23">
        <v>10</v>
      </c>
      <c r="AY124" s="23">
        <v>3</v>
      </c>
    </row>
    <row r="125" spans="1:51">
      <c r="A125" s="25">
        <v>260</v>
      </c>
      <c r="B125" s="23" t="s">
        <v>125</v>
      </c>
      <c r="C125" s="23" t="s">
        <v>124</v>
      </c>
      <c r="D125" s="23">
        <v>2</v>
      </c>
      <c r="E125" s="25" t="s">
        <v>285</v>
      </c>
      <c r="F125" s="25" t="s">
        <v>306</v>
      </c>
      <c r="G125" s="23" t="s">
        <v>27</v>
      </c>
      <c r="H125" s="23" t="s">
        <v>157</v>
      </c>
      <c r="I125" s="25">
        <v>1971</v>
      </c>
      <c r="J125" s="35">
        <v>30</v>
      </c>
      <c r="K125" s="35">
        <v>40</v>
      </c>
      <c r="L125" s="35">
        <v>20</v>
      </c>
      <c r="M125" s="25">
        <v>10</v>
      </c>
      <c r="N125" s="25">
        <v>10</v>
      </c>
      <c r="R125" s="30">
        <f t="shared" si="14"/>
        <v>20</v>
      </c>
      <c r="S125" s="37">
        <v>1</v>
      </c>
      <c r="T125" s="30">
        <f t="shared" si="27"/>
        <v>16.516571428571428</v>
      </c>
      <c r="U125" s="37">
        <v>1</v>
      </c>
      <c r="V125" s="30">
        <f t="shared" si="24"/>
        <v>22.17790476190476</v>
      </c>
      <c r="W125" s="25">
        <v>78</v>
      </c>
      <c r="X125" s="31">
        <f t="shared" si="15"/>
        <v>191.76000000000002</v>
      </c>
      <c r="Y125" s="25">
        <v>141</v>
      </c>
      <c r="Z125" s="25">
        <v>11</v>
      </c>
      <c r="AA125" s="25">
        <v>71</v>
      </c>
      <c r="AB125" s="37">
        <v>1</v>
      </c>
      <c r="AC125" s="30">
        <f t="shared" si="25"/>
        <v>200</v>
      </c>
      <c r="AD125" s="31">
        <f t="shared" si="16"/>
        <v>1</v>
      </c>
      <c r="AE125" s="31">
        <f t="shared" si="17"/>
        <v>8</v>
      </c>
      <c r="AF125" s="31" t="str">
        <f t="shared" si="18"/>
        <v/>
      </c>
      <c r="AG125" s="31" t="str">
        <f t="shared" si="19"/>
        <v/>
      </c>
      <c r="AH125" s="31" t="str">
        <f t="shared" si="20"/>
        <v/>
      </c>
      <c r="AI125" s="31" t="str">
        <f t="shared" si="21"/>
        <v/>
      </c>
      <c r="AJ125" s="25">
        <v>9</v>
      </c>
      <c r="AK125" s="25">
        <v>0</v>
      </c>
      <c r="AL125" s="25">
        <v>0</v>
      </c>
      <c r="AM125" s="23" t="s">
        <v>206</v>
      </c>
      <c r="AN125" s="23" t="s">
        <v>92</v>
      </c>
      <c r="AO125" s="25">
        <v>260</v>
      </c>
      <c r="AR125" s="32" t="str">
        <f t="shared" si="22"/>
        <v>2 doors</v>
      </c>
      <c r="AS125" s="23" t="s">
        <v>233</v>
      </c>
      <c r="AT125" s="23" t="s">
        <v>270</v>
      </c>
      <c r="AU125" s="23" t="str">
        <f t="shared" si="26"/>
        <v>CC</v>
      </c>
      <c r="AV125" s="34">
        <f t="shared" si="23"/>
        <v>1410.04</v>
      </c>
      <c r="AW125" s="23">
        <v>14</v>
      </c>
      <c r="AX125" s="23">
        <v>10</v>
      </c>
      <c r="AY125" s="23">
        <v>4</v>
      </c>
    </row>
    <row r="126" spans="1:51">
      <c r="A126" s="25">
        <v>260</v>
      </c>
      <c r="B126" s="23" t="s">
        <v>125</v>
      </c>
      <c r="C126" s="23" t="s">
        <v>124</v>
      </c>
      <c r="D126" s="23">
        <v>2</v>
      </c>
      <c r="E126" s="25" t="s">
        <v>286</v>
      </c>
      <c r="F126" s="25" t="s">
        <v>307</v>
      </c>
      <c r="G126" s="23" t="s">
        <v>27</v>
      </c>
      <c r="H126" s="23" t="s">
        <v>157</v>
      </c>
      <c r="I126" s="25">
        <v>1971</v>
      </c>
      <c r="J126" s="35">
        <v>30</v>
      </c>
      <c r="K126" s="35">
        <v>40</v>
      </c>
      <c r="L126" s="35">
        <v>20</v>
      </c>
      <c r="M126" s="25">
        <v>10</v>
      </c>
      <c r="N126" s="25">
        <v>10</v>
      </c>
      <c r="R126" s="30">
        <f t="shared" si="14"/>
        <v>20</v>
      </c>
      <c r="S126" s="37">
        <v>1</v>
      </c>
      <c r="T126" s="30">
        <f t="shared" si="27"/>
        <v>16.516571428571428</v>
      </c>
      <c r="U126" s="37">
        <v>1</v>
      </c>
      <c r="V126" s="30">
        <f t="shared" si="24"/>
        <v>22.17790476190476</v>
      </c>
      <c r="W126" s="25">
        <v>78</v>
      </c>
      <c r="X126" s="31">
        <f t="shared" si="15"/>
        <v>191.76000000000002</v>
      </c>
      <c r="Y126" s="25">
        <v>141</v>
      </c>
      <c r="Z126" s="25">
        <v>11</v>
      </c>
      <c r="AA126" s="25">
        <v>71</v>
      </c>
      <c r="AB126" s="37">
        <v>1</v>
      </c>
      <c r="AC126" s="30">
        <f t="shared" si="25"/>
        <v>200</v>
      </c>
      <c r="AD126" s="31">
        <f t="shared" si="16"/>
        <v>1</v>
      </c>
      <c r="AE126" s="31">
        <f t="shared" si="17"/>
        <v>8</v>
      </c>
      <c r="AF126" s="31" t="str">
        <f t="shared" si="18"/>
        <v/>
      </c>
      <c r="AG126" s="31" t="str">
        <f t="shared" si="19"/>
        <v/>
      </c>
      <c r="AH126" s="31" t="str">
        <f t="shared" si="20"/>
        <v/>
      </c>
      <c r="AI126" s="31" t="str">
        <f t="shared" si="21"/>
        <v/>
      </c>
      <c r="AJ126" s="25">
        <v>9</v>
      </c>
      <c r="AK126" s="25">
        <v>0</v>
      </c>
      <c r="AL126" s="25">
        <v>0</v>
      </c>
      <c r="AM126" s="23" t="s">
        <v>206</v>
      </c>
      <c r="AN126" s="23" t="s">
        <v>92</v>
      </c>
      <c r="AO126" s="25">
        <v>260</v>
      </c>
      <c r="AR126" s="32" t="str">
        <f t="shared" si="22"/>
        <v>2 doors</v>
      </c>
      <c r="AS126" s="23" t="s">
        <v>233</v>
      </c>
      <c r="AT126" s="23" t="s">
        <v>270</v>
      </c>
      <c r="AU126" s="23" t="str">
        <f t="shared" si="26"/>
        <v>CC</v>
      </c>
      <c r="AV126" s="34">
        <f t="shared" si="23"/>
        <v>1410.05</v>
      </c>
      <c r="AW126" s="23">
        <v>14</v>
      </c>
      <c r="AX126" s="23">
        <v>10</v>
      </c>
      <c r="AY126" s="23">
        <v>5</v>
      </c>
    </row>
    <row r="127" spans="1:51">
      <c r="A127" s="25">
        <v>260</v>
      </c>
      <c r="B127" s="23" t="s">
        <v>125</v>
      </c>
      <c r="C127" s="23" t="s">
        <v>124</v>
      </c>
      <c r="D127" s="23">
        <v>2</v>
      </c>
      <c r="E127" s="25" t="s">
        <v>287</v>
      </c>
      <c r="F127" s="25" t="s">
        <v>316</v>
      </c>
      <c r="G127" s="23" t="s">
        <v>27</v>
      </c>
      <c r="H127" s="23" t="s">
        <v>157</v>
      </c>
      <c r="I127" s="25">
        <v>1971</v>
      </c>
      <c r="J127" s="35">
        <v>30</v>
      </c>
      <c r="K127" s="35">
        <v>40</v>
      </c>
      <c r="L127" s="35">
        <v>20</v>
      </c>
      <c r="M127" s="25">
        <v>10</v>
      </c>
      <c r="N127" s="25">
        <v>10</v>
      </c>
      <c r="R127" s="30">
        <f t="shared" si="14"/>
        <v>20</v>
      </c>
      <c r="S127" s="37">
        <v>1</v>
      </c>
      <c r="T127" s="30">
        <f t="shared" si="27"/>
        <v>16.516571428571428</v>
      </c>
      <c r="U127" s="37">
        <v>1</v>
      </c>
      <c r="V127" s="30">
        <f t="shared" si="24"/>
        <v>22.17790476190476</v>
      </c>
      <c r="W127" s="25">
        <v>78</v>
      </c>
      <c r="X127" s="31">
        <f t="shared" si="15"/>
        <v>191.76000000000002</v>
      </c>
      <c r="Y127" s="25">
        <v>141</v>
      </c>
      <c r="Z127" s="25">
        <v>11</v>
      </c>
      <c r="AA127" s="25">
        <v>71</v>
      </c>
      <c r="AB127" s="37">
        <v>1</v>
      </c>
      <c r="AC127" s="30">
        <f t="shared" si="25"/>
        <v>200</v>
      </c>
      <c r="AD127" s="31">
        <f t="shared" si="16"/>
        <v>1</v>
      </c>
      <c r="AE127" s="31">
        <f t="shared" si="17"/>
        <v>8</v>
      </c>
      <c r="AF127" s="31" t="str">
        <f t="shared" si="18"/>
        <v/>
      </c>
      <c r="AG127" s="31" t="str">
        <f t="shared" si="19"/>
        <v/>
      </c>
      <c r="AH127" s="31" t="str">
        <f t="shared" si="20"/>
        <v/>
      </c>
      <c r="AI127" s="31" t="str">
        <f t="shared" si="21"/>
        <v/>
      </c>
      <c r="AJ127" s="25">
        <v>9</v>
      </c>
      <c r="AK127" s="25">
        <v>0</v>
      </c>
      <c r="AL127" s="25">
        <v>0</v>
      </c>
      <c r="AM127" s="23" t="s">
        <v>206</v>
      </c>
      <c r="AN127" s="23" t="s">
        <v>92</v>
      </c>
      <c r="AO127" s="25">
        <v>260</v>
      </c>
      <c r="AR127" s="32" t="str">
        <f t="shared" si="22"/>
        <v>2 doors</v>
      </c>
      <c r="AS127" s="23" t="s">
        <v>233</v>
      </c>
      <c r="AT127" s="23" t="s">
        <v>270</v>
      </c>
      <c r="AU127" s="23" t="str">
        <f t="shared" si="26"/>
        <v>CC</v>
      </c>
      <c r="AV127" s="34">
        <f t="shared" si="23"/>
        <v>1410.06</v>
      </c>
      <c r="AW127" s="23">
        <v>14</v>
      </c>
      <c r="AX127" s="23">
        <v>10</v>
      </c>
      <c r="AY127" s="23">
        <v>6</v>
      </c>
    </row>
    <row r="128" spans="1:51">
      <c r="A128" s="25">
        <v>260</v>
      </c>
      <c r="B128" s="23" t="s">
        <v>125</v>
      </c>
      <c r="C128" s="23" t="s">
        <v>124</v>
      </c>
      <c r="D128" s="23">
        <v>2</v>
      </c>
      <c r="E128" s="25" t="s">
        <v>46</v>
      </c>
      <c r="F128" s="25" t="s">
        <v>46</v>
      </c>
      <c r="G128" s="23" t="s">
        <v>27</v>
      </c>
      <c r="H128" s="23" t="s">
        <v>157</v>
      </c>
      <c r="I128" s="25">
        <v>1971</v>
      </c>
      <c r="J128" s="35">
        <v>30</v>
      </c>
      <c r="K128" s="35">
        <v>40</v>
      </c>
      <c r="L128" s="35">
        <v>20</v>
      </c>
      <c r="M128" s="25">
        <v>10</v>
      </c>
      <c r="N128" s="25">
        <v>10</v>
      </c>
      <c r="R128" s="30">
        <f t="shared" si="14"/>
        <v>20</v>
      </c>
      <c r="S128" s="37">
        <v>1</v>
      </c>
      <c r="T128" s="30">
        <f t="shared" si="27"/>
        <v>16.516571428571428</v>
      </c>
      <c r="U128" s="37">
        <v>1</v>
      </c>
      <c r="V128" s="30">
        <f t="shared" si="24"/>
        <v>22.17790476190476</v>
      </c>
      <c r="W128" s="25">
        <v>78</v>
      </c>
      <c r="X128" s="31">
        <f t="shared" si="15"/>
        <v>191.76000000000002</v>
      </c>
      <c r="Y128" s="25">
        <v>141</v>
      </c>
      <c r="Z128" s="25">
        <v>11</v>
      </c>
      <c r="AA128" s="25">
        <v>71</v>
      </c>
      <c r="AB128" s="37">
        <v>1</v>
      </c>
      <c r="AC128" s="30">
        <f t="shared" si="25"/>
        <v>200</v>
      </c>
      <c r="AD128" s="31">
        <f t="shared" si="16"/>
        <v>1</v>
      </c>
      <c r="AE128" s="31">
        <f t="shared" si="17"/>
        <v>8</v>
      </c>
      <c r="AF128" s="31" t="str">
        <f t="shared" si="18"/>
        <v/>
      </c>
      <c r="AG128" s="31" t="str">
        <f t="shared" si="19"/>
        <v/>
      </c>
      <c r="AH128" s="31" t="str">
        <f t="shared" si="20"/>
        <v/>
      </c>
      <c r="AI128" s="31" t="str">
        <f t="shared" si="21"/>
        <v/>
      </c>
      <c r="AJ128" s="25">
        <v>9</v>
      </c>
      <c r="AK128" s="25">
        <v>0</v>
      </c>
      <c r="AL128" s="25">
        <v>0</v>
      </c>
      <c r="AM128" s="23" t="s">
        <v>206</v>
      </c>
      <c r="AN128" s="23" t="s">
        <v>92</v>
      </c>
      <c r="AO128" s="25">
        <v>260</v>
      </c>
      <c r="AR128" s="32" t="str">
        <f t="shared" si="22"/>
        <v>2 doors</v>
      </c>
      <c r="AS128" s="23" t="s">
        <v>233</v>
      </c>
      <c r="AT128" s="23" t="s">
        <v>270</v>
      </c>
      <c r="AU128" s="23" t="str">
        <f t="shared" si="26"/>
        <v>Hungary</v>
      </c>
      <c r="AV128" s="34">
        <f t="shared" si="23"/>
        <v>1410.07</v>
      </c>
      <c r="AW128" s="23">
        <v>14</v>
      </c>
      <c r="AX128" s="23">
        <v>10</v>
      </c>
      <c r="AY128" s="23">
        <v>7</v>
      </c>
    </row>
    <row r="129" spans="1:51">
      <c r="A129" s="25">
        <v>260</v>
      </c>
      <c r="B129" s="23" t="s">
        <v>125</v>
      </c>
      <c r="C129" s="23" t="s">
        <v>124</v>
      </c>
      <c r="D129" s="23">
        <v>2</v>
      </c>
      <c r="E129" s="25" t="s">
        <v>30</v>
      </c>
      <c r="F129" s="25" t="s">
        <v>303</v>
      </c>
      <c r="G129" s="23" t="s">
        <v>27</v>
      </c>
      <c r="H129" s="23" t="s">
        <v>322</v>
      </c>
      <c r="I129" s="25">
        <v>1980</v>
      </c>
      <c r="J129" s="35">
        <v>30</v>
      </c>
      <c r="K129" s="35">
        <v>40</v>
      </c>
      <c r="L129" s="35">
        <v>20</v>
      </c>
      <c r="M129" s="25">
        <v>10</v>
      </c>
      <c r="N129" s="25">
        <v>10</v>
      </c>
      <c r="R129" s="30">
        <f t="shared" si="14"/>
        <v>20</v>
      </c>
      <c r="S129" s="37">
        <v>1</v>
      </c>
      <c r="T129" s="30">
        <f t="shared" si="27"/>
        <v>16.516571428571428</v>
      </c>
      <c r="U129" s="37">
        <v>1</v>
      </c>
      <c r="V129" s="30">
        <f t="shared" si="24"/>
        <v>22.20457142857143</v>
      </c>
      <c r="W129" s="25">
        <v>78</v>
      </c>
      <c r="X129" s="31">
        <f t="shared" si="15"/>
        <v>191.76000000000002</v>
      </c>
      <c r="Y129" s="25">
        <v>141</v>
      </c>
      <c r="Z129" s="25">
        <v>11</v>
      </c>
      <c r="AA129" s="25">
        <v>75</v>
      </c>
      <c r="AB129" s="37">
        <v>1</v>
      </c>
      <c r="AC129" s="30">
        <f t="shared" si="25"/>
        <v>200</v>
      </c>
      <c r="AD129" s="31">
        <f t="shared" si="16"/>
        <v>1</v>
      </c>
      <c r="AE129" s="31">
        <f t="shared" si="17"/>
        <v>8</v>
      </c>
      <c r="AF129" s="31" t="str">
        <f t="shared" si="18"/>
        <v/>
      </c>
      <c r="AG129" s="31" t="str">
        <f t="shared" si="19"/>
        <v/>
      </c>
      <c r="AH129" s="31" t="str">
        <f t="shared" si="20"/>
        <v/>
      </c>
      <c r="AI129" s="31" t="str">
        <f t="shared" si="21"/>
        <v/>
      </c>
      <c r="AJ129" s="25">
        <v>9</v>
      </c>
      <c r="AK129" s="25">
        <v>0</v>
      </c>
      <c r="AL129" s="25">
        <v>0</v>
      </c>
      <c r="AM129" s="23" t="s">
        <v>206</v>
      </c>
      <c r="AN129" s="23" t="s">
        <v>92</v>
      </c>
      <c r="AO129" s="25">
        <v>260</v>
      </c>
      <c r="AR129" s="32" t="str">
        <f t="shared" si="22"/>
        <v>2 doors</v>
      </c>
      <c r="AS129" s="23" t="s">
        <v>323</v>
      </c>
      <c r="AT129" s="23" t="s">
        <v>270</v>
      </c>
      <c r="AU129" s="23" t="str">
        <f t="shared" si="26"/>
        <v>CC</v>
      </c>
      <c r="AV129" s="34">
        <f t="shared" si="23"/>
        <v>1415</v>
      </c>
      <c r="AW129" s="23">
        <v>14</v>
      </c>
      <c r="AX129" s="23">
        <v>15</v>
      </c>
      <c r="AY129" s="23">
        <v>0</v>
      </c>
    </row>
    <row r="130" spans="1:51">
      <c r="A130" s="25">
        <v>260</v>
      </c>
      <c r="B130" s="23" t="s">
        <v>125</v>
      </c>
      <c r="C130" s="23" t="s">
        <v>124</v>
      </c>
      <c r="D130" s="23">
        <v>2</v>
      </c>
      <c r="E130" s="25" t="s">
        <v>42</v>
      </c>
      <c r="F130" s="25" t="s">
        <v>304</v>
      </c>
      <c r="G130" s="23" t="s">
        <v>27</v>
      </c>
      <c r="H130" s="23" t="s">
        <v>322</v>
      </c>
      <c r="I130" s="25">
        <v>1980</v>
      </c>
      <c r="J130" s="35">
        <v>30</v>
      </c>
      <c r="K130" s="35">
        <v>40</v>
      </c>
      <c r="L130" s="35">
        <v>20</v>
      </c>
      <c r="M130" s="25">
        <v>10</v>
      </c>
      <c r="N130" s="25">
        <v>10</v>
      </c>
      <c r="R130" s="30">
        <f t="shared" ref="R130:R193" si="28">SUM(M130:Q130)</f>
        <v>20</v>
      </c>
      <c r="S130" s="37">
        <v>1</v>
      </c>
      <c r="T130" s="30">
        <f t="shared" si="27"/>
        <v>16.516571428571428</v>
      </c>
      <c r="U130" s="37">
        <v>1</v>
      </c>
      <c r="V130" s="30">
        <f t="shared" si="24"/>
        <v>22.20457142857143</v>
      </c>
      <c r="W130" s="25">
        <v>78</v>
      </c>
      <c r="X130" s="31">
        <f t="shared" ref="X130:X193" si="29">Y130*1.36</f>
        <v>191.76000000000002</v>
      </c>
      <c r="Y130" s="25">
        <v>141</v>
      </c>
      <c r="Z130" s="25">
        <v>11</v>
      </c>
      <c r="AA130" s="25">
        <v>75</v>
      </c>
      <c r="AB130" s="37">
        <v>1</v>
      </c>
      <c r="AC130" s="30">
        <f t="shared" si="25"/>
        <v>200</v>
      </c>
      <c r="AD130" s="31">
        <f t="shared" ref="AD130:AD193" si="30">IF(AJ130&gt;8, AJ130-8, AJ130)</f>
        <v>1</v>
      </c>
      <c r="AE130" s="31">
        <f t="shared" ref="AE130:AE193" si="31">IF(AJ130&gt;8, 8, "")</f>
        <v>8</v>
      </c>
      <c r="AF130" s="31" t="str">
        <f t="shared" ref="AF130:AF193" si="32">IF(AK130&gt;8, AK130-8, IF(AK130=0, "", AK130))</f>
        <v/>
      </c>
      <c r="AG130" s="31" t="str">
        <f t="shared" ref="AG130:AG193" si="33">IF(AK130&gt;8, 8, "")</f>
        <v/>
      </c>
      <c r="AH130" s="31" t="str">
        <f t="shared" ref="AH130:AH193" si="34">IF(AL130&gt;8, AL130-8, IF(AL130=0, "", AL130))</f>
        <v/>
      </c>
      <c r="AI130" s="31" t="str">
        <f t="shared" ref="AI130:AI193" si="35">IF(AL130&gt;8, 8, "")</f>
        <v/>
      </c>
      <c r="AJ130" s="25">
        <v>9</v>
      </c>
      <c r="AK130" s="25">
        <v>0</v>
      </c>
      <c r="AL130" s="25">
        <v>0</v>
      </c>
      <c r="AM130" s="23" t="s">
        <v>206</v>
      </c>
      <c r="AN130" s="23" t="s">
        <v>92</v>
      </c>
      <c r="AO130" s="25">
        <v>260</v>
      </c>
      <c r="AR130" s="32" t="str">
        <f t="shared" ref="AR130:AR193" si="36">IF(Q130&gt;0, "5 doors", IF(P130&gt;0, "4 doors", IF(O130&gt;0, "3 doors", IF(N130&gt;0, "2 doors", "1 door"))))</f>
        <v>2 doors</v>
      </c>
      <c r="AS130" s="23" t="s">
        <v>323</v>
      </c>
      <c r="AT130" s="23" t="s">
        <v>270</v>
      </c>
      <c r="AU130" s="23" t="str">
        <f t="shared" si="26"/>
        <v>CC</v>
      </c>
      <c r="AV130" s="34">
        <f t="shared" ref="AV130:AV193" si="37">(AW130*100)+AX130+(AY130/100)</f>
        <v>1415.01</v>
      </c>
      <c r="AW130" s="23">
        <v>14</v>
      </c>
      <c r="AX130" s="23">
        <v>15</v>
      </c>
      <c r="AY130" s="23">
        <v>1</v>
      </c>
    </row>
    <row r="131" spans="1:51">
      <c r="A131" s="25">
        <v>260</v>
      </c>
      <c r="B131" s="23" t="s">
        <v>125</v>
      </c>
      <c r="C131" s="23" t="s">
        <v>124</v>
      </c>
      <c r="D131" s="23">
        <v>2</v>
      </c>
      <c r="E131" s="25" t="s">
        <v>43</v>
      </c>
      <c r="F131" s="25" t="s">
        <v>305</v>
      </c>
      <c r="G131" s="23" t="s">
        <v>27</v>
      </c>
      <c r="H131" s="23" t="s">
        <v>322</v>
      </c>
      <c r="I131" s="25">
        <v>1980</v>
      </c>
      <c r="J131" s="35">
        <v>30</v>
      </c>
      <c r="K131" s="35">
        <v>40</v>
      </c>
      <c r="L131" s="35">
        <v>20</v>
      </c>
      <c r="M131" s="25">
        <v>10</v>
      </c>
      <c r="N131" s="25">
        <v>10</v>
      </c>
      <c r="R131" s="30">
        <f t="shared" si="28"/>
        <v>20</v>
      </c>
      <c r="S131" s="37">
        <v>1</v>
      </c>
      <c r="T131" s="30">
        <f t="shared" si="27"/>
        <v>16.516571428571428</v>
      </c>
      <c r="U131" s="37">
        <v>1</v>
      </c>
      <c r="V131" s="30">
        <f t="shared" ref="V131:V223" si="38">U131*IF(G131="petrol", ((Z131+(AA131/15)+X131)/10*1.5)+(R131/14), IF(G131="diesel", ((Z131+(AA131/15)+X131)/10)+(R131/14), IF(OR(G131="cng", G131="hybrid"), ((Z131+(AA131/15)+X131)/10*0.8)+(R131/14), IF(OR(G131="hydrogen", G131="electric"), ((Z131+(AA131/15)+X131)/10*0.5)+(R131/14), 0))))</f>
        <v>22.20457142857143</v>
      </c>
      <c r="W131" s="25">
        <v>78</v>
      </c>
      <c r="X131" s="31">
        <f t="shared" si="29"/>
        <v>191.76000000000002</v>
      </c>
      <c r="Y131" s="25">
        <v>141</v>
      </c>
      <c r="Z131" s="25">
        <v>11</v>
      </c>
      <c r="AA131" s="25">
        <v>75</v>
      </c>
      <c r="AB131" s="37">
        <v>1</v>
      </c>
      <c r="AC131" s="30">
        <f t="shared" si="25"/>
        <v>200</v>
      </c>
      <c r="AD131" s="31">
        <f t="shared" si="30"/>
        <v>1</v>
      </c>
      <c r="AE131" s="31">
        <f t="shared" si="31"/>
        <v>8</v>
      </c>
      <c r="AF131" s="31" t="str">
        <f t="shared" si="32"/>
        <v/>
      </c>
      <c r="AG131" s="31" t="str">
        <f t="shared" si="33"/>
        <v/>
      </c>
      <c r="AH131" s="31" t="str">
        <f t="shared" si="34"/>
        <v/>
      </c>
      <c r="AI131" s="31" t="str">
        <f t="shared" si="35"/>
        <v/>
      </c>
      <c r="AJ131" s="25">
        <v>9</v>
      </c>
      <c r="AK131" s="25">
        <v>0</v>
      </c>
      <c r="AL131" s="25">
        <v>0</v>
      </c>
      <c r="AM131" s="23" t="s">
        <v>206</v>
      </c>
      <c r="AN131" s="23" t="s">
        <v>92</v>
      </c>
      <c r="AO131" s="25">
        <v>260</v>
      </c>
      <c r="AR131" s="32" t="str">
        <f t="shared" si="36"/>
        <v>2 doors</v>
      </c>
      <c r="AS131" s="23" t="s">
        <v>323</v>
      </c>
      <c r="AT131" s="23" t="s">
        <v>270</v>
      </c>
      <c r="AU131" s="23" t="str">
        <f t="shared" ref="AU131:AU194" si="39">IF(ISNUMBER(SEARCH("CC", E131)), "CC", "Hungary")</f>
        <v>CC</v>
      </c>
      <c r="AV131" s="34">
        <f t="shared" si="37"/>
        <v>1415.02</v>
      </c>
      <c r="AW131" s="23">
        <v>14</v>
      </c>
      <c r="AX131" s="23">
        <v>15</v>
      </c>
      <c r="AY131" s="23">
        <v>2</v>
      </c>
    </row>
    <row r="132" spans="1:51">
      <c r="A132" s="25">
        <v>260</v>
      </c>
      <c r="B132" s="23" t="s">
        <v>125</v>
      </c>
      <c r="C132" s="23" t="s">
        <v>124</v>
      </c>
      <c r="D132" s="23">
        <v>2</v>
      </c>
      <c r="E132" s="25" t="s">
        <v>284</v>
      </c>
      <c r="F132" s="25" t="s">
        <v>306</v>
      </c>
      <c r="G132" s="23" t="s">
        <v>27</v>
      </c>
      <c r="H132" s="23" t="s">
        <v>322</v>
      </c>
      <c r="I132" s="25">
        <v>1980</v>
      </c>
      <c r="J132" s="35">
        <v>30</v>
      </c>
      <c r="K132" s="35">
        <v>40</v>
      </c>
      <c r="L132" s="35">
        <v>20</v>
      </c>
      <c r="M132" s="25">
        <v>10</v>
      </c>
      <c r="N132" s="25">
        <v>10</v>
      </c>
      <c r="R132" s="30">
        <f t="shared" si="28"/>
        <v>20</v>
      </c>
      <c r="S132" s="37">
        <v>1</v>
      </c>
      <c r="T132" s="30">
        <f t="shared" si="27"/>
        <v>16.516571428571428</v>
      </c>
      <c r="U132" s="37">
        <v>1</v>
      </c>
      <c r="V132" s="30">
        <f t="shared" si="38"/>
        <v>22.20457142857143</v>
      </c>
      <c r="W132" s="25">
        <v>78</v>
      </c>
      <c r="X132" s="31">
        <f t="shared" si="29"/>
        <v>191.76000000000002</v>
      </c>
      <c r="Y132" s="25">
        <v>141</v>
      </c>
      <c r="Z132" s="25">
        <v>11</v>
      </c>
      <c r="AA132" s="25">
        <v>75</v>
      </c>
      <c r="AB132" s="37">
        <v>1</v>
      </c>
      <c r="AC132" s="30">
        <f t="shared" si="25"/>
        <v>200</v>
      </c>
      <c r="AD132" s="31">
        <f t="shared" si="30"/>
        <v>1</v>
      </c>
      <c r="AE132" s="31">
        <f t="shared" si="31"/>
        <v>8</v>
      </c>
      <c r="AF132" s="31" t="str">
        <f t="shared" si="32"/>
        <v/>
      </c>
      <c r="AG132" s="31" t="str">
        <f t="shared" si="33"/>
        <v/>
      </c>
      <c r="AH132" s="31" t="str">
        <f t="shared" si="34"/>
        <v/>
      </c>
      <c r="AI132" s="31" t="str">
        <f t="shared" si="35"/>
        <v/>
      </c>
      <c r="AJ132" s="25">
        <v>9</v>
      </c>
      <c r="AK132" s="25">
        <v>0</v>
      </c>
      <c r="AL132" s="25">
        <v>0</v>
      </c>
      <c r="AM132" s="23" t="s">
        <v>206</v>
      </c>
      <c r="AN132" s="23" t="s">
        <v>92</v>
      </c>
      <c r="AO132" s="25">
        <v>260</v>
      </c>
      <c r="AR132" s="32" t="str">
        <f t="shared" si="36"/>
        <v>2 doors</v>
      </c>
      <c r="AS132" s="23" t="s">
        <v>323</v>
      </c>
      <c r="AT132" s="23" t="s">
        <v>270</v>
      </c>
      <c r="AU132" s="23" t="str">
        <f t="shared" si="39"/>
        <v>CC</v>
      </c>
      <c r="AV132" s="34">
        <f t="shared" si="37"/>
        <v>1415.03</v>
      </c>
      <c r="AW132" s="23">
        <v>14</v>
      </c>
      <c r="AX132" s="23">
        <v>15</v>
      </c>
      <c r="AY132" s="23">
        <v>3</v>
      </c>
    </row>
    <row r="133" spans="1:51">
      <c r="A133" s="25">
        <v>260</v>
      </c>
      <c r="B133" s="23" t="s">
        <v>125</v>
      </c>
      <c r="C133" s="23" t="s">
        <v>124</v>
      </c>
      <c r="D133" s="23">
        <v>2</v>
      </c>
      <c r="E133" s="25" t="s">
        <v>285</v>
      </c>
      <c r="F133" s="25" t="s">
        <v>302</v>
      </c>
      <c r="G133" s="23" t="s">
        <v>27</v>
      </c>
      <c r="H133" s="23" t="s">
        <v>322</v>
      </c>
      <c r="I133" s="25">
        <v>1980</v>
      </c>
      <c r="J133" s="35">
        <v>30</v>
      </c>
      <c r="K133" s="35">
        <v>40</v>
      </c>
      <c r="L133" s="35">
        <v>20</v>
      </c>
      <c r="M133" s="25">
        <v>10</v>
      </c>
      <c r="N133" s="25">
        <v>10</v>
      </c>
      <c r="R133" s="30">
        <f t="shared" si="28"/>
        <v>20</v>
      </c>
      <c r="S133" s="37">
        <v>1</v>
      </c>
      <c r="T133" s="30">
        <f t="shared" si="27"/>
        <v>16.516571428571428</v>
      </c>
      <c r="U133" s="37">
        <v>1</v>
      </c>
      <c r="V133" s="30">
        <f t="shared" si="38"/>
        <v>22.20457142857143</v>
      </c>
      <c r="W133" s="25">
        <v>78</v>
      </c>
      <c r="X133" s="31">
        <f t="shared" si="29"/>
        <v>191.76000000000002</v>
      </c>
      <c r="Y133" s="25">
        <v>141</v>
      </c>
      <c r="Z133" s="25">
        <v>11</v>
      </c>
      <c r="AA133" s="25">
        <v>75</v>
      </c>
      <c r="AB133" s="37">
        <v>1</v>
      </c>
      <c r="AC133" s="30">
        <f t="shared" si="25"/>
        <v>200</v>
      </c>
      <c r="AD133" s="31">
        <f t="shared" si="30"/>
        <v>1</v>
      </c>
      <c r="AE133" s="31">
        <f t="shared" si="31"/>
        <v>8</v>
      </c>
      <c r="AF133" s="31" t="str">
        <f t="shared" si="32"/>
        <v/>
      </c>
      <c r="AG133" s="31" t="str">
        <f t="shared" si="33"/>
        <v/>
      </c>
      <c r="AH133" s="31" t="str">
        <f t="shared" si="34"/>
        <v/>
      </c>
      <c r="AI133" s="31" t="str">
        <f t="shared" si="35"/>
        <v/>
      </c>
      <c r="AJ133" s="25">
        <v>9</v>
      </c>
      <c r="AK133" s="25">
        <v>0</v>
      </c>
      <c r="AL133" s="25">
        <v>0</v>
      </c>
      <c r="AM133" s="23" t="s">
        <v>206</v>
      </c>
      <c r="AN133" s="23" t="s">
        <v>92</v>
      </c>
      <c r="AO133" s="25">
        <v>260</v>
      </c>
      <c r="AR133" s="32" t="str">
        <f t="shared" si="36"/>
        <v>2 doors</v>
      </c>
      <c r="AS133" s="23" t="s">
        <v>323</v>
      </c>
      <c r="AT133" s="23" t="s">
        <v>270</v>
      </c>
      <c r="AU133" s="23" t="str">
        <f t="shared" si="39"/>
        <v>CC</v>
      </c>
      <c r="AV133" s="34">
        <f t="shared" si="37"/>
        <v>1415.04</v>
      </c>
      <c r="AW133" s="23">
        <v>14</v>
      </c>
      <c r="AX133" s="23">
        <v>15</v>
      </c>
      <c r="AY133" s="23">
        <v>4</v>
      </c>
    </row>
    <row r="134" spans="1:51">
      <c r="A134" s="25">
        <v>260</v>
      </c>
      <c r="B134" s="23" t="s">
        <v>125</v>
      </c>
      <c r="C134" s="23" t="s">
        <v>124</v>
      </c>
      <c r="D134" s="23">
        <v>2</v>
      </c>
      <c r="E134" s="25" t="s">
        <v>286</v>
      </c>
      <c r="F134" s="25" t="s">
        <v>307</v>
      </c>
      <c r="G134" s="23" t="s">
        <v>27</v>
      </c>
      <c r="H134" s="23" t="s">
        <v>322</v>
      </c>
      <c r="I134" s="25">
        <v>1980</v>
      </c>
      <c r="J134" s="35">
        <v>30</v>
      </c>
      <c r="K134" s="35">
        <v>40</v>
      </c>
      <c r="L134" s="35">
        <v>20</v>
      </c>
      <c r="M134" s="25">
        <v>10</v>
      </c>
      <c r="N134" s="25">
        <v>10</v>
      </c>
      <c r="R134" s="30">
        <f t="shared" si="28"/>
        <v>20</v>
      </c>
      <c r="S134" s="37">
        <v>1</v>
      </c>
      <c r="T134" s="30">
        <f t="shared" si="27"/>
        <v>16.516571428571428</v>
      </c>
      <c r="U134" s="37">
        <v>1</v>
      </c>
      <c r="V134" s="30">
        <f t="shared" si="38"/>
        <v>22.20457142857143</v>
      </c>
      <c r="W134" s="25">
        <v>78</v>
      </c>
      <c r="X134" s="31">
        <f t="shared" si="29"/>
        <v>191.76000000000002</v>
      </c>
      <c r="Y134" s="25">
        <v>141</v>
      </c>
      <c r="Z134" s="25">
        <v>11</v>
      </c>
      <c r="AA134" s="25">
        <v>75</v>
      </c>
      <c r="AB134" s="37">
        <v>1</v>
      </c>
      <c r="AC134" s="30">
        <f t="shared" si="25"/>
        <v>200</v>
      </c>
      <c r="AD134" s="31">
        <f t="shared" si="30"/>
        <v>1</v>
      </c>
      <c r="AE134" s="31">
        <f t="shared" si="31"/>
        <v>8</v>
      </c>
      <c r="AF134" s="31" t="str">
        <f t="shared" si="32"/>
        <v/>
      </c>
      <c r="AG134" s="31" t="str">
        <f t="shared" si="33"/>
        <v/>
      </c>
      <c r="AH134" s="31" t="str">
        <f t="shared" si="34"/>
        <v/>
      </c>
      <c r="AI134" s="31" t="str">
        <f t="shared" si="35"/>
        <v/>
      </c>
      <c r="AJ134" s="25">
        <v>9</v>
      </c>
      <c r="AK134" s="25">
        <v>0</v>
      </c>
      <c r="AL134" s="25">
        <v>0</v>
      </c>
      <c r="AM134" s="23" t="s">
        <v>206</v>
      </c>
      <c r="AN134" s="23" t="s">
        <v>92</v>
      </c>
      <c r="AO134" s="25">
        <v>260</v>
      </c>
      <c r="AR134" s="32" t="str">
        <f t="shared" si="36"/>
        <v>2 doors</v>
      </c>
      <c r="AS134" s="23" t="s">
        <v>323</v>
      </c>
      <c r="AT134" s="23" t="s">
        <v>270</v>
      </c>
      <c r="AU134" s="23" t="str">
        <f t="shared" si="39"/>
        <v>CC</v>
      </c>
      <c r="AV134" s="34">
        <f t="shared" si="37"/>
        <v>1415.05</v>
      </c>
      <c r="AW134" s="23">
        <v>14</v>
      </c>
      <c r="AX134" s="23">
        <v>15</v>
      </c>
      <c r="AY134" s="23">
        <v>5</v>
      </c>
    </row>
    <row r="135" spans="1:51">
      <c r="A135" s="25">
        <v>260</v>
      </c>
      <c r="B135" s="23" t="s">
        <v>125</v>
      </c>
      <c r="C135" s="23" t="s">
        <v>124</v>
      </c>
      <c r="D135" s="23">
        <v>2</v>
      </c>
      <c r="E135" s="25" t="s">
        <v>287</v>
      </c>
      <c r="F135" s="25" t="s">
        <v>316</v>
      </c>
      <c r="G135" s="23" t="s">
        <v>27</v>
      </c>
      <c r="H135" s="23" t="s">
        <v>322</v>
      </c>
      <c r="I135" s="25">
        <v>1980</v>
      </c>
      <c r="J135" s="35">
        <v>30</v>
      </c>
      <c r="K135" s="35">
        <v>40</v>
      </c>
      <c r="L135" s="35">
        <v>20</v>
      </c>
      <c r="M135" s="25">
        <v>10</v>
      </c>
      <c r="N135" s="25">
        <v>10</v>
      </c>
      <c r="R135" s="30">
        <f t="shared" si="28"/>
        <v>20</v>
      </c>
      <c r="S135" s="37">
        <v>1</v>
      </c>
      <c r="T135" s="30">
        <f t="shared" si="27"/>
        <v>16.516571428571428</v>
      </c>
      <c r="U135" s="37">
        <v>1</v>
      </c>
      <c r="V135" s="30">
        <f t="shared" si="38"/>
        <v>22.20457142857143</v>
      </c>
      <c r="W135" s="25">
        <v>78</v>
      </c>
      <c r="X135" s="31">
        <f t="shared" si="29"/>
        <v>191.76000000000002</v>
      </c>
      <c r="Y135" s="25">
        <v>141</v>
      </c>
      <c r="Z135" s="25">
        <v>11</v>
      </c>
      <c r="AA135" s="25">
        <v>75</v>
      </c>
      <c r="AB135" s="37">
        <v>1</v>
      </c>
      <c r="AC135" s="30">
        <f t="shared" si="25"/>
        <v>200</v>
      </c>
      <c r="AD135" s="31">
        <f t="shared" si="30"/>
        <v>1</v>
      </c>
      <c r="AE135" s="31">
        <f t="shared" si="31"/>
        <v>8</v>
      </c>
      <c r="AF135" s="31" t="str">
        <f t="shared" si="32"/>
        <v/>
      </c>
      <c r="AG135" s="31" t="str">
        <f t="shared" si="33"/>
        <v/>
      </c>
      <c r="AH135" s="31" t="str">
        <f t="shared" si="34"/>
        <v/>
      </c>
      <c r="AI135" s="31" t="str">
        <f t="shared" si="35"/>
        <v/>
      </c>
      <c r="AJ135" s="25">
        <v>9</v>
      </c>
      <c r="AK135" s="25">
        <v>0</v>
      </c>
      <c r="AL135" s="25">
        <v>0</v>
      </c>
      <c r="AM135" s="23" t="s">
        <v>206</v>
      </c>
      <c r="AN135" s="23" t="s">
        <v>92</v>
      </c>
      <c r="AO135" s="25">
        <v>260</v>
      </c>
      <c r="AR135" s="32" t="str">
        <f t="shared" si="36"/>
        <v>2 doors</v>
      </c>
      <c r="AS135" s="23" t="s">
        <v>323</v>
      </c>
      <c r="AT135" s="23" t="s">
        <v>270</v>
      </c>
      <c r="AU135" s="23" t="str">
        <f t="shared" si="39"/>
        <v>CC</v>
      </c>
      <c r="AV135" s="34">
        <f t="shared" si="37"/>
        <v>1415.06</v>
      </c>
      <c r="AW135" s="23">
        <v>14</v>
      </c>
      <c r="AX135" s="23">
        <v>15</v>
      </c>
      <c r="AY135" s="23">
        <v>6</v>
      </c>
    </row>
    <row r="136" spans="1:51">
      <c r="A136" s="25">
        <v>260</v>
      </c>
      <c r="B136" s="23" t="s">
        <v>89</v>
      </c>
      <c r="D136" s="23">
        <v>3</v>
      </c>
      <c r="E136" s="25" t="s">
        <v>30</v>
      </c>
      <c r="F136" s="25" t="s">
        <v>295</v>
      </c>
      <c r="G136" s="23" t="s">
        <v>27</v>
      </c>
      <c r="H136" s="23" t="s">
        <v>158</v>
      </c>
      <c r="I136" s="25">
        <v>1980</v>
      </c>
      <c r="J136" s="35">
        <v>30</v>
      </c>
      <c r="K136" s="35">
        <v>40</v>
      </c>
      <c r="L136" s="35">
        <v>20</v>
      </c>
      <c r="M136" s="25">
        <v>10</v>
      </c>
      <c r="N136" s="25">
        <v>10</v>
      </c>
      <c r="O136" s="25">
        <v>10</v>
      </c>
      <c r="R136" s="30">
        <f t="shared" si="28"/>
        <v>30</v>
      </c>
      <c r="S136" s="37">
        <v>1</v>
      </c>
      <c r="T136" s="30">
        <f t="shared" si="27"/>
        <v>18.522857142857145</v>
      </c>
      <c r="U136" s="37">
        <v>1</v>
      </c>
      <c r="V136" s="30">
        <f t="shared" si="38"/>
        <v>25.66952380952381</v>
      </c>
      <c r="W136" s="25">
        <v>66</v>
      </c>
      <c r="X136" s="31">
        <f t="shared" si="29"/>
        <v>217.60000000000002</v>
      </c>
      <c r="Y136" s="25">
        <v>160</v>
      </c>
      <c r="Z136" s="25">
        <v>11</v>
      </c>
      <c r="AA136" s="25">
        <v>100</v>
      </c>
      <c r="AB136" s="37">
        <v>1</v>
      </c>
      <c r="AC136" s="30">
        <f t="shared" si="25"/>
        <v>200</v>
      </c>
      <c r="AD136" s="31">
        <f t="shared" si="30"/>
        <v>1</v>
      </c>
      <c r="AE136" s="31">
        <f t="shared" si="31"/>
        <v>8</v>
      </c>
      <c r="AF136" s="31" t="str">
        <f t="shared" si="32"/>
        <v/>
      </c>
      <c r="AG136" s="31" t="str">
        <f t="shared" si="33"/>
        <v/>
      </c>
      <c r="AH136" s="31" t="str">
        <f t="shared" si="34"/>
        <v/>
      </c>
      <c r="AI136" s="31" t="str">
        <f t="shared" si="35"/>
        <v/>
      </c>
      <c r="AJ136" s="25">
        <v>9</v>
      </c>
      <c r="AK136" s="25">
        <v>0</v>
      </c>
      <c r="AL136" s="25">
        <v>0</v>
      </c>
      <c r="AM136" s="23" t="s">
        <v>206</v>
      </c>
      <c r="AN136" s="23" t="s">
        <v>92</v>
      </c>
      <c r="AO136" s="25">
        <v>260</v>
      </c>
      <c r="AR136" s="32" t="str">
        <f t="shared" si="36"/>
        <v>3 doors</v>
      </c>
      <c r="AS136" s="23" t="s">
        <v>235</v>
      </c>
      <c r="AT136" s="23" t="s">
        <v>32</v>
      </c>
      <c r="AU136" s="23" t="str">
        <f t="shared" si="39"/>
        <v>CC</v>
      </c>
      <c r="AV136" s="34">
        <f t="shared" si="37"/>
        <v>1420</v>
      </c>
      <c r="AW136" s="23">
        <v>14</v>
      </c>
      <c r="AX136" s="23">
        <v>20</v>
      </c>
      <c r="AY136" s="23">
        <v>0</v>
      </c>
    </row>
    <row r="137" spans="1:51">
      <c r="A137" s="25">
        <v>260</v>
      </c>
      <c r="B137" s="23" t="s">
        <v>89</v>
      </c>
      <c r="D137" s="23">
        <v>3</v>
      </c>
      <c r="E137" s="25" t="s">
        <v>42</v>
      </c>
      <c r="F137" s="25" t="s">
        <v>296</v>
      </c>
      <c r="G137" s="23" t="s">
        <v>27</v>
      </c>
      <c r="H137" s="23" t="s">
        <v>158</v>
      </c>
      <c r="I137" s="25">
        <v>1980</v>
      </c>
      <c r="J137" s="35">
        <v>30</v>
      </c>
      <c r="K137" s="35">
        <v>40</v>
      </c>
      <c r="L137" s="35">
        <v>20</v>
      </c>
      <c r="M137" s="25">
        <v>10</v>
      </c>
      <c r="N137" s="25">
        <v>10</v>
      </c>
      <c r="O137" s="25">
        <v>10</v>
      </c>
      <c r="R137" s="30">
        <f t="shared" si="28"/>
        <v>30</v>
      </c>
      <c r="S137" s="37">
        <v>1</v>
      </c>
      <c r="T137" s="30">
        <f t="shared" si="27"/>
        <v>18.522857142857145</v>
      </c>
      <c r="U137" s="37">
        <v>1</v>
      </c>
      <c r="V137" s="30">
        <f t="shared" si="38"/>
        <v>25.66952380952381</v>
      </c>
      <c r="W137" s="25">
        <v>66</v>
      </c>
      <c r="X137" s="31">
        <f t="shared" si="29"/>
        <v>217.60000000000002</v>
      </c>
      <c r="Y137" s="25">
        <v>160</v>
      </c>
      <c r="Z137" s="25">
        <v>11</v>
      </c>
      <c r="AA137" s="25">
        <v>100</v>
      </c>
      <c r="AB137" s="37">
        <v>1</v>
      </c>
      <c r="AC137" s="30">
        <f t="shared" si="25"/>
        <v>200</v>
      </c>
      <c r="AD137" s="31">
        <f t="shared" si="30"/>
        <v>1</v>
      </c>
      <c r="AE137" s="31">
        <f t="shared" si="31"/>
        <v>8</v>
      </c>
      <c r="AF137" s="31" t="str">
        <f t="shared" si="32"/>
        <v/>
      </c>
      <c r="AG137" s="31" t="str">
        <f t="shared" si="33"/>
        <v/>
      </c>
      <c r="AH137" s="31" t="str">
        <f t="shared" si="34"/>
        <v/>
      </c>
      <c r="AI137" s="31" t="str">
        <f t="shared" si="35"/>
        <v/>
      </c>
      <c r="AJ137" s="25">
        <v>9</v>
      </c>
      <c r="AK137" s="25">
        <v>0</v>
      </c>
      <c r="AL137" s="25">
        <v>0</v>
      </c>
      <c r="AM137" s="23" t="s">
        <v>206</v>
      </c>
      <c r="AN137" s="23" t="s">
        <v>92</v>
      </c>
      <c r="AO137" s="25">
        <v>260</v>
      </c>
      <c r="AR137" s="32" t="str">
        <f t="shared" si="36"/>
        <v>3 doors</v>
      </c>
      <c r="AS137" s="23" t="s">
        <v>235</v>
      </c>
      <c r="AT137" s="23" t="s">
        <v>32</v>
      </c>
      <c r="AU137" s="23" t="str">
        <f t="shared" si="39"/>
        <v>CC</v>
      </c>
      <c r="AV137" s="34">
        <f t="shared" si="37"/>
        <v>1420.01</v>
      </c>
      <c r="AW137" s="23">
        <v>14</v>
      </c>
      <c r="AX137" s="23">
        <v>20</v>
      </c>
      <c r="AY137" s="23">
        <v>1</v>
      </c>
    </row>
    <row r="138" spans="1:51">
      <c r="A138" s="25">
        <v>260</v>
      </c>
      <c r="B138" s="23" t="s">
        <v>89</v>
      </c>
      <c r="D138" s="23">
        <v>3</v>
      </c>
      <c r="E138" s="25" t="s">
        <v>43</v>
      </c>
      <c r="F138" s="25" t="s">
        <v>297</v>
      </c>
      <c r="G138" s="23" t="s">
        <v>27</v>
      </c>
      <c r="H138" s="23" t="s">
        <v>158</v>
      </c>
      <c r="I138" s="25">
        <v>1980</v>
      </c>
      <c r="J138" s="35">
        <v>30</v>
      </c>
      <c r="K138" s="35">
        <v>40</v>
      </c>
      <c r="L138" s="35">
        <v>20</v>
      </c>
      <c r="M138" s="25">
        <v>10</v>
      </c>
      <c r="N138" s="25">
        <v>10</v>
      </c>
      <c r="O138" s="25">
        <v>10</v>
      </c>
      <c r="R138" s="30">
        <f t="shared" si="28"/>
        <v>30</v>
      </c>
      <c r="S138" s="37">
        <v>1</v>
      </c>
      <c r="T138" s="30">
        <f t="shared" si="27"/>
        <v>18.522857142857145</v>
      </c>
      <c r="U138" s="37">
        <v>1</v>
      </c>
      <c r="V138" s="30">
        <f t="shared" si="38"/>
        <v>25.66952380952381</v>
      </c>
      <c r="W138" s="25">
        <v>66</v>
      </c>
      <c r="X138" s="31">
        <f t="shared" si="29"/>
        <v>217.60000000000002</v>
      </c>
      <c r="Y138" s="25">
        <v>160</v>
      </c>
      <c r="Z138" s="25">
        <v>11</v>
      </c>
      <c r="AA138" s="25">
        <v>100</v>
      </c>
      <c r="AB138" s="37">
        <v>1</v>
      </c>
      <c r="AC138" s="30">
        <f t="shared" si="25"/>
        <v>200</v>
      </c>
      <c r="AD138" s="31">
        <f t="shared" si="30"/>
        <v>1</v>
      </c>
      <c r="AE138" s="31">
        <f t="shared" si="31"/>
        <v>8</v>
      </c>
      <c r="AF138" s="31" t="str">
        <f t="shared" si="32"/>
        <v/>
      </c>
      <c r="AG138" s="31" t="str">
        <f t="shared" si="33"/>
        <v/>
      </c>
      <c r="AH138" s="31" t="str">
        <f t="shared" si="34"/>
        <v/>
      </c>
      <c r="AI138" s="31" t="str">
        <f t="shared" si="35"/>
        <v/>
      </c>
      <c r="AJ138" s="25">
        <v>9</v>
      </c>
      <c r="AK138" s="25">
        <v>0</v>
      </c>
      <c r="AL138" s="25">
        <v>0</v>
      </c>
      <c r="AM138" s="23" t="s">
        <v>206</v>
      </c>
      <c r="AN138" s="23" t="s">
        <v>92</v>
      </c>
      <c r="AO138" s="25">
        <v>260</v>
      </c>
      <c r="AR138" s="32" t="str">
        <f t="shared" si="36"/>
        <v>3 doors</v>
      </c>
      <c r="AS138" s="23" t="s">
        <v>235</v>
      </c>
      <c r="AT138" s="23" t="s">
        <v>32</v>
      </c>
      <c r="AU138" s="23" t="str">
        <f t="shared" si="39"/>
        <v>CC</v>
      </c>
      <c r="AV138" s="34">
        <f t="shared" si="37"/>
        <v>1420.02</v>
      </c>
      <c r="AW138" s="23">
        <v>14</v>
      </c>
      <c r="AX138" s="23">
        <v>20</v>
      </c>
      <c r="AY138" s="23">
        <v>2</v>
      </c>
    </row>
    <row r="139" spans="1:51">
      <c r="A139" s="25">
        <v>260</v>
      </c>
      <c r="B139" s="23" t="s">
        <v>89</v>
      </c>
      <c r="D139" s="23">
        <v>3</v>
      </c>
      <c r="E139" s="25" t="s">
        <v>284</v>
      </c>
      <c r="F139" s="25" t="s">
        <v>298</v>
      </c>
      <c r="G139" s="23" t="s">
        <v>27</v>
      </c>
      <c r="H139" s="23" t="s">
        <v>158</v>
      </c>
      <c r="I139" s="25">
        <v>1980</v>
      </c>
      <c r="J139" s="35">
        <v>30</v>
      </c>
      <c r="K139" s="35">
        <v>40</v>
      </c>
      <c r="L139" s="35">
        <v>20</v>
      </c>
      <c r="M139" s="25">
        <v>10</v>
      </c>
      <c r="N139" s="25">
        <v>10</v>
      </c>
      <c r="O139" s="25">
        <v>10</v>
      </c>
      <c r="R139" s="30">
        <f t="shared" si="28"/>
        <v>30</v>
      </c>
      <c r="S139" s="37">
        <v>1</v>
      </c>
      <c r="T139" s="30">
        <f t="shared" si="27"/>
        <v>18.522857142857145</v>
      </c>
      <c r="U139" s="37">
        <v>1</v>
      </c>
      <c r="V139" s="30">
        <f t="shared" si="38"/>
        <v>25.66952380952381</v>
      </c>
      <c r="W139" s="25">
        <v>66</v>
      </c>
      <c r="X139" s="31">
        <f t="shared" si="29"/>
        <v>217.60000000000002</v>
      </c>
      <c r="Y139" s="25">
        <v>160</v>
      </c>
      <c r="Z139" s="25">
        <v>11</v>
      </c>
      <c r="AA139" s="25">
        <v>100</v>
      </c>
      <c r="AB139" s="37">
        <v>1</v>
      </c>
      <c r="AC139" s="30">
        <f t="shared" si="25"/>
        <v>200</v>
      </c>
      <c r="AD139" s="31">
        <f t="shared" si="30"/>
        <v>1</v>
      </c>
      <c r="AE139" s="31">
        <f t="shared" si="31"/>
        <v>8</v>
      </c>
      <c r="AF139" s="31" t="str">
        <f t="shared" si="32"/>
        <v/>
      </c>
      <c r="AG139" s="31" t="str">
        <f t="shared" si="33"/>
        <v/>
      </c>
      <c r="AH139" s="31" t="str">
        <f t="shared" si="34"/>
        <v/>
      </c>
      <c r="AI139" s="31" t="str">
        <f t="shared" si="35"/>
        <v/>
      </c>
      <c r="AJ139" s="25">
        <v>9</v>
      </c>
      <c r="AK139" s="25">
        <v>0</v>
      </c>
      <c r="AL139" s="25">
        <v>0</v>
      </c>
      <c r="AM139" s="23" t="s">
        <v>206</v>
      </c>
      <c r="AN139" s="23" t="s">
        <v>92</v>
      </c>
      <c r="AO139" s="25">
        <v>260</v>
      </c>
      <c r="AR139" s="32" t="str">
        <f t="shared" si="36"/>
        <v>3 doors</v>
      </c>
      <c r="AS139" s="23" t="s">
        <v>235</v>
      </c>
      <c r="AT139" s="23" t="s">
        <v>32</v>
      </c>
      <c r="AU139" s="23" t="str">
        <f t="shared" si="39"/>
        <v>CC</v>
      </c>
      <c r="AV139" s="34">
        <f t="shared" si="37"/>
        <v>1420.03</v>
      </c>
      <c r="AW139" s="23">
        <v>14</v>
      </c>
      <c r="AX139" s="23">
        <v>20</v>
      </c>
      <c r="AY139" s="23">
        <v>3</v>
      </c>
    </row>
    <row r="140" spans="1:51">
      <c r="A140" s="25">
        <v>260</v>
      </c>
      <c r="B140" s="23" t="s">
        <v>89</v>
      </c>
      <c r="D140" s="23">
        <v>3</v>
      </c>
      <c r="E140" s="25" t="s">
        <v>285</v>
      </c>
      <c r="F140" s="25" t="s">
        <v>301</v>
      </c>
      <c r="G140" s="23" t="s">
        <v>27</v>
      </c>
      <c r="H140" s="23" t="s">
        <v>158</v>
      </c>
      <c r="I140" s="25">
        <v>1980</v>
      </c>
      <c r="J140" s="35">
        <v>30</v>
      </c>
      <c r="K140" s="35">
        <v>40</v>
      </c>
      <c r="L140" s="35">
        <v>20</v>
      </c>
      <c r="M140" s="25">
        <v>10</v>
      </c>
      <c r="N140" s="25">
        <v>10</v>
      </c>
      <c r="O140" s="25">
        <v>10</v>
      </c>
      <c r="R140" s="30">
        <f t="shared" si="28"/>
        <v>30</v>
      </c>
      <c r="S140" s="37">
        <v>1</v>
      </c>
      <c r="T140" s="30">
        <f t="shared" si="27"/>
        <v>18.522857142857145</v>
      </c>
      <c r="U140" s="37">
        <v>1</v>
      </c>
      <c r="V140" s="30">
        <f t="shared" si="38"/>
        <v>25.66952380952381</v>
      </c>
      <c r="W140" s="25">
        <v>66</v>
      </c>
      <c r="X140" s="31">
        <f t="shared" si="29"/>
        <v>217.60000000000002</v>
      </c>
      <c r="Y140" s="25">
        <v>160</v>
      </c>
      <c r="Z140" s="25">
        <v>11</v>
      </c>
      <c r="AA140" s="25">
        <v>100</v>
      </c>
      <c r="AB140" s="37">
        <v>1</v>
      </c>
      <c r="AC140" s="30">
        <f t="shared" si="25"/>
        <v>200</v>
      </c>
      <c r="AD140" s="31">
        <f t="shared" si="30"/>
        <v>1</v>
      </c>
      <c r="AE140" s="31">
        <f t="shared" si="31"/>
        <v>8</v>
      </c>
      <c r="AF140" s="31" t="str">
        <f t="shared" si="32"/>
        <v/>
      </c>
      <c r="AG140" s="31" t="str">
        <f t="shared" si="33"/>
        <v/>
      </c>
      <c r="AH140" s="31" t="str">
        <f t="shared" si="34"/>
        <v/>
      </c>
      <c r="AI140" s="31" t="str">
        <f t="shared" si="35"/>
        <v/>
      </c>
      <c r="AJ140" s="25">
        <v>9</v>
      </c>
      <c r="AK140" s="25">
        <v>0</v>
      </c>
      <c r="AL140" s="25">
        <v>0</v>
      </c>
      <c r="AM140" s="23" t="s">
        <v>206</v>
      </c>
      <c r="AN140" s="23" t="s">
        <v>92</v>
      </c>
      <c r="AO140" s="25">
        <v>260</v>
      </c>
      <c r="AR140" s="32" t="str">
        <f t="shared" si="36"/>
        <v>3 doors</v>
      </c>
      <c r="AS140" s="23" t="s">
        <v>235</v>
      </c>
      <c r="AT140" s="23" t="s">
        <v>32</v>
      </c>
      <c r="AU140" s="23" t="str">
        <f t="shared" si="39"/>
        <v>CC</v>
      </c>
      <c r="AV140" s="34">
        <f t="shared" si="37"/>
        <v>1420.04</v>
      </c>
      <c r="AW140" s="23">
        <v>14</v>
      </c>
      <c r="AX140" s="23">
        <v>20</v>
      </c>
      <c r="AY140" s="23">
        <v>4</v>
      </c>
    </row>
    <row r="141" spans="1:51">
      <c r="A141" s="25">
        <v>260</v>
      </c>
      <c r="B141" s="23" t="s">
        <v>89</v>
      </c>
      <c r="D141" s="23">
        <v>3</v>
      </c>
      <c r="E141" s="25" t="s">
        <v>286</v>
      </c>
      <c r="F141" s="25" t="s">
        <v>300</v>
      </c>
      <c r="G141" s="23" t="s">
        <v>27</v>
      </c>
      <c r="H141" s="23" t="s">
        <v>158</v>
      </c>
      <c r="I141" s="25">
        <v>1980</v>
      </c>
      <c r="J141" s="35">
        <v>30</v>
      </c>
      <c r="K141" s="35">
        <v>40</v>
      </c>
      <c r="L141" s="35">
        <v>20</v>
      </c>
      <c r="M141" s="25">
        <v>10</v>
      </c>
      <c r="N141" s="25">
        <v>10</v>
      </c>
      <c r="O141" s="25">
        <v>10</v>
      </c>
      <c r="R141" s="30">
        <f t="shared" si="28"/>
        <v>30</v>
      </c>
      <c r="S141" s="37">
        <v>1</v>
      </c>
      <c r="T141" s="30">
        <f t="shared" si="27"/>
        <v>18.522857142857145</v>
      </c>
      <c r="U141" s="37">
        <v>1</v>
      </c>
      <c r="V141" s="30">
        <f t="shared" si="38"/>
        <v>25.66952380952381</v>
      </c>
      <c r="W141" s="25">
        <v>66</v>
      </c>
      <c r="X141" s="31">
        <f t="shared" si="29"/>
        <v>217.60000000000002</v>
      </c>
      <c r="Y141" s="25">
        <v>160</v>
      </c>
      <c r="Z141" s="25">
        <v>11</v>
      </c>
      <c r="AA141" s="25">
        <v>100</v>
      </c>
      <c r="AB141" s="37">
        <v>1</v>
      </c>
      <c r="AC141" s="30">
        <f t="shared" si="25"/>
        <v>200</v>
      </c>
      <c r="AD141" s="31">
        <f t="shared" si="30"/>
        <v>1</v>
      </c>
      <c r="AE141" s="31">
        <f t="shared" si="31"/>
        <v>8</v>
      </c>
      <c r="AF141" s="31" t="str">
        <f t="shared" si="32"/>
        <v/>
      </c>
      <c r="AG141" s="31" t="str">
        <f t="shared" si="33"/>
        <v/>
      </c>
      <c r="AH141" s="31" t="str">
        <f t="shared" si="34"/>
        <v/>
      </c>
      <c r="AI141" s="31" t="str">
        <f t="shared" si="35"/>
        <v/>
      </c>
      <c r="AJ141" s="25">
        <v>9</v>
      </c>
      <c r="AK141" s="25">
        <v>0</v>
      </c>
      <c r="AL141" s="25">
        <v>0</v>
      </c>
      <c r="AM141" s="23" t="s">
        <v>206</v>
      </c>
      <c r="AN141" s="23" t="s">
        <v>92</v>
      </c>
      <c r="AO141" s="25">
        <v>260</v>
      </c>
      <c r="AR141" s="32" t="str">
        <f t="shared" si="36"/>
        <v>3 doors</v>
      </c>
      <c r="AS141" s="23" t="s">
        <v>235</v>
      </c>
      <c r="AT141" s="23" t="s">
        <v>32</v>
      </c>
      <c r="AU141" s="23" t="str">
        <f t="shared" si="39"/>
        <v>CC</v>
      </c>
      <c r="AV141" s="34">
        <f t="shared" si="37"/>
        <v>1420.05</v>
      </c>
      <c r="AW141" s="23">
        <v>14</v>
      </c>
      <c r="AX141" s="23">
        <v>20</v>
      </c>
      <c r="AY141" s="23">
        <v>5</v>
      </c>
    </row>
    <row r="142" spans="1:51">
      <c r="A142" s="25">
        <v>260</v>
      </c>
      <c r="B142" s="23" t="s">
        <v>89</v>
      </c>
      <c r="D142" s="23">
        <v>3</v>
      </c>
      <c r="E142" s="25" t="s">
        <v>287</v>
      </c>
      <c r="F142" s="25" t="s">
        <v>315</v>
      </c>
      <c r="G142" s="23" t="s">
        <v>27</v>
      </c>
      <c r="H142" s="23" t="s">
        <v>158</v>
      </c>
      <c r="I142" s="25">
        <v>1980</v>
      </c>
      <c r="J142" s="35">
        <v>30</v>
      </c>
      <c r="K142" s="35">
        <v>40</v>
      </c>
      <c r="L142" s="35">
        <v>20</v>
      </c>
      <c r="M142" s="25">
        <v>10</v>
      </c>
      <c r="N142" s="25">
        <v>10</v>
      </c>
      <c r="O142" s="25">
        <v>10</v>
      </c>
      <c r="R142" s="30">
        <f t="shared" si="28"/>
        <v>30</v>
      </c>
      <c r="S142" s="37">
        <v>1</v>
      </c>
      <c r="T142" s="30">
        <f t="shared" si="27"/>
        <v>18.522857142857145</v>
      </c>
      <c r="U142" s="37">
        <v>1</v>
      </c>
      <c r="V142" s="30">
        <f t="shared" si="38"/>
        <v>25.66952380952381</v>
      </c>
      <c r="W142" s="25">
        <v>66</v>
      </c>
      <c r="X142" s="31">
        <f t="shared" si="29"/>
        <v>217.60000000000002</v>
      </c>
      <c r="Y142" s="25">
        <v>160</v>
      </c>
      <c r="Z142" s="25">
        <v>11</v>
      </c>
      <c r="AA142" s="25">
        <v>100</v>
      </c>
      <c r="AB142" s="37">
        <v>1</v>
      </c>
      <c r="AC142" s="30">
        <f t="shared" si="25"/>
        <v>200</v>
      </c>
      <c r="AD142" s="31">
        <f t="shared" si="30"/>
        <v>1</v>
      </c>
      <c r="AE142" s="31">
        <f t="shared" si="31"/>
        <v>8</v>
      </c>
      <c r="AF142" s="31" t="str">
        <f t="shared" si="32"/>
        <v/>
      </c>
      <c r="AG142" s="31" t="str">
        <f t="shared" si="33"/>
        <v/>
      </c>
      <c r="AH142" s="31" t="str">
        <f t="shared" si="34"/>
        <v/>
      </c>
      <c r="AI142" s="31" t="str">
        <f t="shared" si="35"/>
        <v/>
      </c>
      <c r="AJ142" s="25">
        <v>9</v>
      </c>
      <c r="AK142" s="25">
        <v>0</v>
      </c>
      <c r="AL142" s="25">
        <v>0</v>
      </c>
      <c r="AM142" s="23" t="s">
        <v>206</v>
      </c>
      <c r="AN142" s="23" t="s">
        <v>92</v>
      </c>
      <c r="AO142" s="25">
        <v>260</v>
      </c>
      <c r="AR142" s="32" t="str">
        <f t="shared" si="36"/>
        <v>3 doors</v>
      </c>
      <c r="AS142" s="23" t="s">
        <v>235</v>
      </c>
      <c r="AT142" s="23" t="s">
        <v>32</v>
      </c>
      <c r="AU142" s="23" t="str">
        <f t="shared" si="39"/>
        <v>CC</v>
      </c>
      <c r="AV142" s="34">
        <f t="shared" si="37"/>
        <v>1420.06</v>
      </c>
      <c r="AW142" s="23">
        <v>14</v>
      </c>
      <c r="AX142" s="23">
        <v>20</v>
      </c>
      <c r="AY142" s="23">
        <v>6</v>
      </c>
    </row>
    <row r="143" spans="1:51">
      <c r="A143" s="25">
        <v>260</v>
      </c>
      <c r="B143" s="23" t="s">
        <v>89</v>
      </c>
      <c r="D143" s="23">
        <v>3</v>
      </c>
      <c r="E143" s="25" t="s">
        <v>85</v>
      </c>
      <c r="F143" s="25" t="s">
        <v>85</v>
      </c>
      <c r="G143" s="23" t="s">
        <v>27</v>
      </c>
      <c r="H143" s="23" t="s">
        <v>158</v>
      </c>
      <c r="I143" s="25">
        <v>1980</v>
      </c>
      <c r="J143" s="35">
        <v>30</v>
      </c>
      <c r="K143" s="35">
        <v>40</v>
      </c>
      <c r="L143" s="35">
        <v>20</v>
      </c>
      <c r="M143" s="25">
        <v>10</v>
      </c>
      <c r="N143" s="25">
        <v>10</v>
      </c>
      <c r="O143" s="25">
        <v>10</v>
      </c>
      <c r="R143" s="30">
        <f t="shared" si="28"/>
        <v>30</v>
      </c>
      <c r="S143" s="37">
        <v>1</v>
      </c>
      <c r="T143" s="30">
        <f t="shared" ref="T143:T230" si="40">S143*IF(OR(G143="diesel", G143="petrol"), ((Z143+(X143/10))/2)+(R143/14), IF(OR(G143="cng", G143="hybrid"), ((Z143+(X143/10))/2*1.2)+(R143/14), IF(OR(G143="hydrogen", G143="electric"), ((Z143+(X143/10))/2*1.5)+(R143/14), 0)))</f>
        <v>18.522857142857145</v>
      </c>
      <c r="U143" s="37">
        <v>1</v>
      </c>
      <c r="V143" s="30">
        <f t="shared" si="38"/>
        <v>25.66952380952381</v>
      </c>
      <c r="W143" s="25">
        <v>66</v>
      </c>
      <c r="X143" s="31">
        <f t="shared" si="29"/>
        <v>217.60000000000002</v>
      </c>
      <c r="Y143" s="25">
        <v>160</v>
      </c>
      <c r="Z143" s="25">
        <v>11</v>
      </c>
      <c r="AA143" s="25">
        <v>100</v>
      </c>
      <c r="AB143" s="37">
        <v>1</v>
      </c>
      <c r="AC143" s="30">
        <f t="shared" si="25"/>
        <v>200</v>
      </c>
      <c r="AD143" s="31">
        <f t="shared" si="30"/>
        <v>1</v>
      </c>
      <c r="AE143" s="31">
        <f t="shared" si="31"/>
        <v>8</v>
      </c>
      <c r="AF143" s="31" t="str">
        <f t="shared" si="32"/>
        <v/>
      </c>
      <c r="AG143" s="31" t="str">
        <f t="shared" si="33"/>
        <v/>
      </c>
      <c r="AH143" s="31" t="str">
        <f t="shared" si="34"/>
        <v/>
      </c>
      <c r="AI143" s="31" t="str">
        <f t="shared" si="35"/>
        <v/>
      </c>
      <c r="AJ143" s="25">
        <v>9</v>
      </c>
      <c r="AK143" s="25">
        <v>0</v>
      </c>
      <c r="AL143" s="25">
        <v>0</v>
      </c>
      <c r="AM143" s="23" t="s">
        <v>206</v>
      </c>
      <c r="AN143" s="23" t="s">
        <v>92</v>
      </c>
      <c r="AO143" s="25">
        <v>260</v>
      </c>
      <c r="AR143" s="32" t="str">
        <f t="shared" si="36"/>
        <v>3 doors</v>
      </c>
      <c r="AS143" s="23" t="s">
        <v>235</v>
      </c>
      <c r="AT143" s="23" t="s">
        <v>32</v>
      </c>
      <c r="AU143" s="23" t="str">
        <f t="shared" si="39"/>
        <v>Hungary</v>
      </c>
      <c r="AV143" s="34">
        <f t="shared" si="37"/>
        <v>1420.07</v>
      </c>
      <c r="AW143" s="23">
        <v>14</v>
      </c>
      <c r="AX143" s="23">
        <v>20</v>
      </c>
      <c r="AY143" s="23">
        <v>7</v>
      </c>
    </row>
    <row r="144" spans="1:51">
      <c r="A144" s="25">
        <v>260</v>
      </c>
      <c r="B144" s="23" t="s">
        <v>125</v>
      </c>
      <c r="D144" s="23">
        <v>2</v>
      </c>
      <c r="E144" s="25" t="s">
        <v>30</v>
      </c>
      <c r="F144" s="25" t="s">
        <v>302</v>
      </c>
      <c r="G144" s="23" t="s">
        <v>27</v>
      </c>
      <c r="H144" s="23" t="s">
        <v>159</v>
      </c>
      <c r="I144" s="25">
        <v>1980</v>
      </c>
      <c r="J144" s="35">
        <v>30</v>
      </c>
      <c r="K144" s="35">
        <v>40</v>
      </c>
      <c r="L144" s="35">
        <v>20</v>
      </c>
      <c r="M144" s="25">
        <v>10</v>
      </c>
      <c r="N144" s="25">
        <v>10</v>
      </c>
      <c r="R144" s="30">
        <f t="shared" si="28"/>
        <v>20</v>
      </c>
      <c r="S144" s="37">
        <v>1</v>
      </c>
      <c r="T144" s="30">
        <f t="shared" si="40"/>
        <v>17.80857142857143</v>
      </c>
      <c r="U144" s="37">
        <v>1</v>
      </c>
      <c r="V144" s="30">
        <f t="shared" si="38"/>
        <v>24.761904761904763</v>
      </c>
      <c r="W144" s="25">
        <v>78</v>
      </c>
      <c r="X144" s="31">
        <f t="shared" si="29"/>
        <v>217.60000000000002</v>
      </c>
      <c r="Y144" s="25">
        <v>160</v>
      </c>
      <c r="Z144" s="25">
        <v>11</v>
      </c>
      <c r="AA144" s="25">
        <v>71</v>
      </c>
      <c r="AB144" s="37">
        <v>1</v>
      </c>
      <c r="AC144" s="30">
        <f t="shared" si="25"/>
        <v>200</v>
      </c>
      <c r="AD144" s="31">
        <f t="shared" si="30"/>
        <v>1</v>
      </c>
      <c r="AE144" s="31">
        <f t="shared" si="31"/>
        <v>8</v>
      </c>
      <c r="AF144" s="31" t="str">
        <f t="shared" si="32"/>
        <v/>
      </c>
      <c r="AG144" s="31" t="str">
        <f t="shared" si="33"/>
        <v/>
      </c>
      <c r="AH144" s="31" t="str">
        <f t="shared" si="34"/>
        <v/>
      </c>
      <c r="AI144" s="31" t="str">
        <f t="shared" si="35"/>
        <v/>
      </c>
      <c r="AJ144" s="25">
        <v>9</v>
      </c>
      <c r="AK144" s="25">
        <v>0</v>
      </c>
      <c r="AL144" s="25">
        <v>0</v>
      </c>
      <c r="AM144" s="23" t="s">
        <v>206</v>
      </c>
      <c r="AN144" s="23" t="s">
        <v>92</v>
      </c>
      <c r="AO144" s="25">
        <v>260</v>
      </c>
      <c r="AR144" s="32" t="str">
        <f t="shared" si="36"/>
        <v>2 doors</v>
      </c>
      <c r="AS144" s="23" t="s">
        <v>234</v>
      </c>
      <c r="AT144" s="23" t="s">
        <v>270</v>
      </c>
      <c r="AU144" s="23" t="str">
        <f t="shared" si="39"/>
        <v>CC</v>
      </c>
      <c r="AV144" s="34">
        <f t="shared" si="37"/>
        <v>1430</v>
      </c>
      <c r="AW144" s="23">
        <v>14</v>
      </c>
      <c r="AX144" s="23">
        <v>30</v>
      </c>
      <c r="AY144" s="23">
        <v>0</v>
      </c>
    </row>
    <row r="145" spans="1:51">
      <c r="A145" s="25">
        <v>260</v>
      </c>
      <c r="B145" s="23" t="s">
        <v>125</v>
      </c>
      <c r="D145" s="23">
        <v>2</v>
      </c>
      <c r="E145" s="25" t="s">
        <v>42</v>
      </c>
      <c r="F145" s="25" t="s">
        <v>303</v>
      </c>
      <c r="G145" s="23" t="s">
        <v>27</v>
      </c>
      <c r="H145" s="23" t="s">
        <v>159</v>
      </c>
      <c r="I145" s="25">
        <v>1980</v>
      </c>
      <c r="J145" s="35">
        <v>30</v>
      </c>
      <c r="K145" s="35">
        <v>40</v>
      </c>
      <c r="L145" s="35">
        <v>20</v>
      </c>
      <c r="M145" s="25">
        <v>10</v>
      </c>
      <c r="N145" s="25">
        <v>10</v>
      </c>
      <c r="R145" s="30">
        <f t="shared" si="28"/>
        <v>20</v>
      </c>
      <c r="S145" s="37">
        <v>1</v>
      </c>
      <c r="T145" s="30">
        <f t="shared" si="40"/>
        <v>17.80857142857143</v>
      </c>
      <c r="U145" s="37">
        <v>1</v>
      </c>
      <c r="V145" s="30">
        <f t="shared" si="38"/>
        <v>24.761904761904763</v>
      </c>
      <c r="W145" s="25">
        <v>78</v>
      </c>
      <c r="X145" s="31">
        <f t="shared" si="29"/>
        <v>217.60000000000002</v>
      </c>
      <c r="Y145" s="25">
        <v>160</v>
      </c>
      <c r="Z145" s="25">
        <v>11</v>
      </c>
      <c r="AA145" s="25">
        <v>71</v>
      </c>
      <c r="AB145" s="37">
        <v>1</v>
      </c>
      <c r="AC145" s="30">
        <f t="shared" si="25"/>
        <v>200</v>
      </c>
      <c r="AD145" s="31">
        <f t="shared" si="30"/>
        <v>1</v>
      </c>
      <c r="AE145" s="31">
        <f t="shared" si="31"/>
        <v>8</v>
      </c>
      <c r="AF145" s="31" t="str">
        <f t="shared" si="32"/>
        <v/>
      </c>
      <c r="AG145" s="31" t="str">
        <f t="shared" si="33"/>
        <v/>
      </c>
      <c r="AH145" s="31" t="str">
        <f t="shared" si="34"/>
        <v/>
      </c>
      <c r="AI145" s="31" t="str">
        <f t="shared" si="35"/>
        <v/>
      </c>
      <c r="AJ145" s="25">
        <v>9</v>
      </c>
      <c r="AK145" s="25">
        <v>0</v>
      </c>
      <c r="AL145" s="25">
        <v>0</v>
      </c>
      <c r="AM145" s="23" t="s">
        <v>206</v>
      </c>
      <c r="AN145" s="23" t="s">
        <v>92</v>
      </c>
      <c r="AO145" s="25">
        <v>260</v>
      </c>
      <c r="AR145" s="32" t="str">
        <f t="shared" si="36"/>
        <v>2 doors</v>
      </c>
      <c r="AS145" s="23" t="s">
        <v>234</v>
      </c>
      <c r="AT145" s="23" t="s">
        <v>270</v>
      </c>
      <c r="AU145" s="23" t="str">
        <f t="shared" si="39"/>
        <v>CC</v>
      </c>
      <c r="AV145" s="34">
        <f t="shared" si="37"/>
        <v>1430.01</v>
      </c>
      <c r="AW145" s="23">
        <v>14</v>
      </c>
      <c r="AX145" s="23">
        <v>30</v>
      </c>
      <c r="AY145" s="23">
        <v>1</v>
      </c>
    </row>
    <row r="146" spans="1:51">
      <c r="A146" s="25">
        <v>260</v>
      </c>
      <c r="B146" s="23" t="s">
        <v>125</v>
      </c>
      <c r="D146" s="23">
        <v>2</v>
      </c>
      <c r="E146" s="25" t="s">
        <v>43</v>
      </c>
      <c r="F146" s="25" t="s">
        <v>304</v>
      </c>
      <c r="G146" s="23" t="s">
        <v>27</v>
      </c>
      <c r="H146" s="23" t="s">
        <v>159</v>
      </c>
      <c r="I146" s="25">
        <v>1980</v>
      </c>
      <c r="J146" s="35">
        <v>30</v>
      </c>
      <c r="K146" s="35">
        <v>40</v>
      </c>
      <c r="L146" s="35">
        <v>20</v>
      </c>
      <c r="M146" s="25">
        <v>10</v>
      </c>
      <c r="N146" s="25">
        <v>10</v>
      </c>
      <c r="R146" s="30">
        <f t="shared" si="28"/>
        <v>20</v>
      </c>
      <c r="S146" s="37">
        <v>1</v>
      </c>
      <c r="T146" s="30">
        <f t="shared" si="40"/>
        <v>17.80857142857143</v>
      </c>
      <c r="U146" s="37">
        <v>1</v>
      </c>
      <c r="V146" s="30">
        <f t="shared" si="38"/>
        <v>24.761904761904763</v>
      </c>
      <c r="W146" s="25">
        <v>78</v>
      </c>
      <c r="X146" s="31">
        <f t="shared" si="29"/>
        <v>217.60000000000002</v>
      </c>
      <c r="Y146" s="25">
        <v>160</v>
      </c>
      <c r="Z146" s="25">
        <v>11</v>
      </c>
      <c r="AA146" s="25">
        <v>71</v>
      </c>
      <c r="AB146" s="37">
        <v>1</v>
      </c>
      <c r="AC146" s="30">
        <f t="shared" si="25"/>
        <v>200</v>
      </c>
      <c r="AD146" s="31">
        <f t="shared" si="30"/>
        <v>1</v>
      </c>
      <c r="AE146" s="31">
        <f t="shared" si="31"/>
        <v>8</v>
      </c>
      <c r="AF146" s="31" t="str">
        <f t="shared" si="32"/>
        <v/>
      </c>
      <c r="AG146" s="31" t="str">
        <f t="shared" si="33"/>
        <v/>
      </c>
      <c r="AH146" s="31" t="str">
        <f t="shared" si="34"/>
        <v/>
      </c>
      <c r="AI146" s="31" t="str">
        <f t="shared" si="35"/>
        <v/>
      </c>
      <c r="AJ146" s="25">
        <v>9</v>
      </c>
      <c r="AK146" s="25">
        <v>0</v>
      </c>
      <c r="AL146" s="25">
        <v>0</v>
      </c>
      <c r="AM146" s="23" t="s">
        <v>206</v>
      </c>
      <c r="AN146" s="23" t="s">
        <v>92</v>
      </c>
      <c r="AO146" s="25">
        <v>260</v>
      </c>
      <c r="AR146" s="32" t="str">
        <f t="shared" si="36"/>
        <v>2 doors</v>
      </c>
      <c r="AS146" s="23" t="s">
        <v>234</v>
      </c>
      <c r="AT146" s="23" t="s">
        <v>270</v>
      </c>
      <c r="AU146" s="23" t="str">
        <f t="shared" si="39"/>
        <v>CC</v>
      </c>
      <c r="AV146" s="34">
        <f t="shared" si="37"/>
        <v>1430.02</v>
      </c>
      <c r="AW146" s="23">
        <v>14</v>
      </c>
      <c r="AX146" s="23">
        <v>30</v>
      </c>
      <c r="AY146" s="23">
        <v>2</v>
      </c>
    </row>
    <row r="147" spans="1:51">
      <c r="A147" s="25">
        <v>260</v>
      </c>
      <c r="B147" s="23" t="s">
        <v>125</v>
      </c>
      <c r="D147" s="23">
        <v>2</v>
      </c>
      <c r="E147" s="25" t="s">
        <v>284</v>
      </c>
      <c r="F147" s="25" t="s">
        <v>305</v>
      </c>
      <c r="G147" s="23" t="s">
        <v>27</v>
      </c>
      <c r="H147" s="23" t="s">
        <v>159</v>
      </c>
      <c r="I147" s="25">
        <v>1980</v>
      </c>
      <c r="J147" s="35">
        <v>30</v>
      </c>
      <c r="K147" s="35">
        <v>40</v>
      </c>
      <c r="L147" s="35">
        <v>20</v>
      </c>
      <c r="M147" s="25">
        <v>10</v>
      </c>
      <c r="N147" s="25">
        <v>10</v>
      </c>
      <c r="R147" s="30">
        <f t="shared" si="28"/>
        <v>20</v>
      </c>
      <c r="S147" s="37">
        <v>1</v>
      </c>
      <c r="T147" s="30">
        <f t="shared" si="40"/>
        <v>17.80857142857143</v>
      </c>
      <c r="U147" s="37">
        <v>1</v>
      </c>
      <c r="V147" s="30">
        <f t="shared" si="38"/>
        <v>24.761904761904763</v>
      </c>
      <c r="W147" s="25">
        <v>78</v>
      </c>
      <c r="X147" s="31">
        <f t="shared" si="29"/>
        <v>217.60000000000002</v>
      </c>
      <c r="Y147" s="25">
        <v>160</v>
      </c>
      <c r="Z147" s="25">
        <v>11</v>
      </c>
      <c r="AA147" s="25">
        <v>71</v>
      </c>
      <c r="AB147" s="37">
        <v>1</v>
      </c>
      <c r="AC147" s="30">
        <f t="shared" si="25"/>
        <v>200</v>
      </c>
      <c r="AD147" s="31">
        <f t="shared" si="30"/>
        <v>1</v>
      </c>
      <c r="AE147" s="31">
        <f t="shared" si="31"/>
        <v>8</v>
      </c>
      <c r="AF147" s="31" t="str">
        <f t="shared" si="32"/>
        <v/>
      </c>
      <c r="AG147" s="31" t="str">
        <f t="shared" si="33"/>
        <v/>
      </c>
      <c r="AH147" s="31" t="str">
        <f t="shared" si="34"/>
        <v/>
      </c>
      <c r="AI147" s="31" t="str">
        <f t="shared" si="35"/>
        <v/>
      </c>
      <c r="AJ147" s="25">
        <v>9</v>
      </c>
      <c r="AK147" s="25">
        <v>0</v>
      </c>
      <c r="AL147" s="25">
        <v>0</v>
      </c>
      <c r="AM147" s="23" t="s">
        <v>206</v>
      </c>
      <c r="AN147" s="23" t="s">
        <v>92</v>
      </c>
      <c r="AO147" s="25">
        <v>260</v>
      </c>
      <c r="AR147" s="32" t="str">
        <f t="shared" si="36"/>
        <v>2 doors</v>
      </c>
      <c r="AS147" s="23" t="s">
        <v>234</v>
      </c>
      <c r="AT147" s="23" t="s">
        <v>270</v>
      </c>
      <c r="AU147" s="23" t="str">
        <f t="shared" si="39"/>
        <v>CC</v>
      </c>
      <c r="AV147" s="34">
        <f t="shared" si="37"/>
        <v>1430.03</v>
      </c>
      <c r="AW147" s="23">
        <v>14</v>
      </c>
      <c r="AX147" s="23">
        <v>30</v>
      </c>
      <c r="AY147" s="23">
        <v>3</v>
      </c>
    </row>
    <row r="148" spans="1:51">
      <c r="A148" s="25">
        <v>260</v>
      </c>
      <c r="B148" s="23" t="s">
        <v>125</v>
      </c>
      <c r="D148" s="23">
        <v>2</v>
      </c>
      <c r="E148" s="25" t="s">
        <v>285</v>
      </c>
      <c r="F148" s="25" t="s">
        <v>306</v>
      </c>
      <c r="G148" s="23" t="s">
        <v>27</v>
      </c>
      <c r="H148" s="23" t="s">
        <v>159</v>
      </c>
      <c r="I148" s="25">
        <v>1980</v>
      </c>
      <c r="J148" s="35">
        <v>30</v>
      </c>
      <c r="K148" s="35">
        <v>40</v>
      </c>
      <c r="L148" s="35">
        <v>20</v>
      </c>
      <c r="M148" s="25">
        <v>10</v>
      </c>
      <c r="N148" s="25">
        <v>10</v>
      </c>
      <c r="R148" s="30">
        <f t="shared" si="28"/>
        <v>20</v>
      </c>
      <c r="S148" s="37">
        <v>1</v>
      </c>
      <c r="T148" s="30">
        <f t="shared" si="40"/>
        <v>17.80857142857143</v>
      </c>
      <c r="U148" s="37">
        <v>1</v>
      </c>
      <c r="V148" s="30">
        <f t="shared" si="38"/>
        <v>24.761904761904763</v>
      </c>
      <c r="W148" s="25">
        <v>78</v>
      </c>
      <c r="X148" s="31">
        <f t="shared" si="29"/>
        <v>217.60000000000002</v>
      </c>
      <c r="Y148" s="25">
        <v>160</v>
      </c>
      <c r="Z148" s="25">
        <v>11</v>
      </c>
      <c r="AA148" s="25">
        <v>71</v>
      </c>
      <c r="AB148" s="37">
        <v>1</v>
      </c>
      <c r="AC148" s="30">
        <f t="shared" si="25"/>
        <v>200</v>
      </c>
      <c r="AD148" s="31">
        <f t="shared" si="30"/>
        <v>1</v>
      </c>
      <c r="AE148" s="31">
        <f t="shared" si="31"/>
        <v>8</v>
      </c>
      <c r="AF148" s="31" t="str">
        <f t="shared" si="32"/>
        <v/>
      </c>
      <c r="AG148" s="31" t="str">
        <f t="shared" si="33"/>
        <v/>
      </c>
      <c r="AH148" s="31" t="str">
        <f t="shared" si="34"/>
        <v/>
      </c>
      <c r="AI148" s="31" t="str">
        <f t="shared" si="35"/>
        <v/>
      </c>
      <c r="AJ148" s="25">
        <v>9</v>
      </c>
      <c r="AK148" s="25">
        <v>0</v>
      </c>
      <c r="AL148" s="25">
        <v>0</v>
      </c>
      <c r="AM148" s="23" t="s">
        <v>206</v>
      </c>
      <c r="AN148" s="23" t="s">
        <v>92</v>
      </c>
      <c r="AO148" s="25">
        <v>260</v>
      </c>
      <c r="AR148" s="32" t="str">
        <f t="shared" si="36"/>
        <v>2 doors</v>
      </c>
      <c r="AS148" s="23" t="s">
        <v>234</v>
      </c>
      <c r="AT148" s="23" t="s">
        <v>270</v>
      </c>
      <c r="AU148" s="23" t="str">
        <f t="shared" si="39"/>
        <v>CC</v>
      </c>
      <c r="AV148" s="34">
        <f t="shared" si="37"/>
        <v>1430.04</v>
      </c>
      <c r="AW148" s="23">
        <v>14</v>
      </c>
      <c r="AX148" s="23">
        <v>30</v>
      </c>
      <c r="AY148" s="23">
        <v>4</v>
      </c>
    </row>
    <row r="149" spans="1:51">
      <c r="A149" s="25">
        <v>260</v>
      </c>
      <c r="B149" s="23" t="s">
        <v>125</v>
      </c>
      <c r="D149" s="23">
        <v>2</v>
      </c>
      <c r="E149" s="25" t="s">
        <v>286</v>
      </c>
      <c r="F149" s="25" t="s">
        <v>307</v>
      </c>
      <c r="G149" s="23" t="s">
        <v>27</v>
      </c>
      <c r="H149" s="23" t="s">
        <v>159</v>
      </c>
      <c r="I149" s="25">
        <v>1980</v>
      </c>
      <c r="J149" s="35">
        <v>30</v>
      </c>
      <c r="K149" s="35">
        <v>40</v>
      </c>
      <c r="L149" s="35">
        <v>20</v>
      </c>
      <c r="M149" s="25">
        <v>10</v>
      </c>
      <c r="N149" s="25">
        <v>10</v>
      </c>
      <c r="R149" s="30">
        <f t="shared" si="28"/>
        <v>20</v>
      </c>
      <c r="S149" s="37">
        <v>1</v>
      </c>
      <c r="T149" s="30">
        <f t="shared" si="40"/>
        <v>17.80857142857143</v>
      </c>
      <c r="U149" s="37">
        <v>1</v>
      </c>
      <c r="V149" s="30">
        <f t="shared" si="38"/>
        <v>24.761904761904763</v>
      </c>
      <c r="W149" s="25">
        <v>78</v>
      </c>
      <c r="X149" s="31">
        <f t="shared" si="29"/>
        <v>217.60000000000002</v>
      </c>
      <c r="Y149" s="25">
        <v>160</v>
      </c>
      <c r="Z149" s="25">
        <v>11</v>
      </c>
      <c r="AA149" s="25">
        <v>71</v>
      </c>
      <c r="AB149" s="37">
        <v>1</v>
      </c>
      <c r="AC149" s="30">
        <f t="shared" si="25"/>
        <v>200</v>
      </c>
      <c r="AD149" s="31">
        <f t="shared" si="30"/>
        <v>1</v>
      </c>
      <c r="AE149" s="31">
        <f t="shared" si="31"/>
        <v>8</v>
      </c>
      <c r="AF149" s="31" t="str">
        <f t="shared" si="32"/>
        <v/>
      </c>
      <c r="AG149" s="31" t="str">
        <f t="shared" si="33"/>
        <v/>
      </c>
      <c r="AH149" s="31" t="str">
        <f t="shared" si="34"/>
        <v/>
      </c>
      <c r="AI149" s="31" t="str">
        <f t="shared" si="35"/>
        <v/>
      </c>
      <c r="AJ149" s="25">
        <v>9</v>
      </c>
      <c r="AK149" s="25">
        <v>0</v>
      </c>
      <c r="AL149" s="25">
        <v>0</v>
      </c>
      <c r="AM149" s="23" t="s">
        <v>206</v>
      </c>
      <c r="AN149" s="23" t="s">
        <v>92</v>
      </c>
      <c r="AO149" s="25">
        <v>260</v>
      </c>
      <c r="AR149" s="32" t="str">
        <f t="shared" si="36"/>
        <v>2 doors</v>
      </c>
      <c r="AS149" s="23" t="s">
        <v>234</v>
      </c>
      <c r="AT149" s="23" t="s">
        <v>270</v>
      </c>
      <c r="AU149" s="23" t="str">
        <f t="shared" si="39"/>
        <v>CC</v>
      </c>
      <c r="AV149" s="34">
        <f t="shared" si="37"/>
        <v>1430.05</v>
      </c>
      <c r="AW149" s="23">
        <v>14</v>
      </c>
      <c r="AX149" s="23">
        <v>30</v>
      </c>
      <c r="AY149" s="23">
        <v>5</v>
      </c>
    </row>
    <row r="150" spans="1:51">
      <c r="A150" s="25">
        <v>260</v>
      </c>
      <c r="B150" s="23" t="s">
        <v>125</v>
      </c>
      <c r="D150" s="23">
        <v>2</v>
      </c>
      <c r="E150" s="25" t="s">
        <v>287</v>
      </c>
      <c r="F150" s="25" t="s">
        <v>316</v>
      </c>
      <c r="G150" s="23" t="s">
        <v>27</v>
      </c>
      <c r="H150" s="23" t="s">
        <v>159</v>
      </c>
      <c r="I150" s="25">
        <v>1980</v>
      </c>
      <c r="J150" s="35">
        <v>30</v>
      </c>
      <c r="K150" s="35">
        <v>40</v>
      </c>
      <c r="L150" s="35">
        <v>20</v>
      </c>
      <c r="M150" s="25">
        <v>10</v>
      </c>
      <c r="N150" s="25">
        <v>10</v>
      </c>
      <c r="R150" s="30">
        <f t="shared" si="28"/>
        <v>20</v>
      </c>
      <c r="S150" s="37">
        <v>1</v>
      </c>
      <c r="T150" s="30">
        <f t="shared" si="40"/>
        <v>17.80857142857143</v>
      </c>
      <c r="U150" s="37">
        <v>1</v>
      </c>
      <c r="V150" s="30">
        <f t="shared" si="38"/>
        <v>24.761904761904763</v>
      </c>
      <c r="W150" s="25">
        <v>78</v>
      </c>
      <c r="X150" s="31">
        <f t="shared" si="29"/>
        <v>217.60000000000002</v>
      </c>
      <c r="Y150" s="25">
        <v>160</v>
      </c>
      <c r="Z150" s="25">
        <v>11</v>
      </c>
      <c r="AA150" s="25">
        <v>71</v>
      </c>
      <c r="AB150" s="37">
        <v>1</v>
      </c>
      <c r="AC150" s="30">
        <f t="shared" si="25"/>
        <v>200</v>
      </c>
      <c r="AD150" s="31">
        <f t="shared" si="30"/>
        <v>1</v>
      </c>
      <c r="AE150" s="31">
        <f t="shared" si="31"/>
        <v>8</v>
      </c>
      <c r="AF150" s="31" t="str">
        <f t="shared" si="32"/>
        <v/>
      </c>
      <c r="AG150" s="31" t="str">
        <f t="shared" si="33"/>
        <v/>
      </c>
      <c r="AH150" s="31" t="str">
        <f t="shared" si="34"/>
        <v/>
      </c>
      <c r="AI150" s="31" t="str">
        <f t="shared" si="35"/>
        <v/>
      </c>
      <c r="AJ150" s="25">
        <v>9</v>
      </c>
      <c r="AK150" s="25">
        <v>0</v>
      </c>
      <c r="AL150" s="25">
        <v>0</v>
      </c>
      <c r="AM150" s="23" t="s">
        <v>206</v>
      </c>
      <c r="AN150" s="23" t="s">
        <v>92</v>
      </c>
      <c r="AO150" s="25">
        <v>260</v>
      </c>
      <c r="AR150" s="32" t="str">
        <f t="shared" si="36"/>
        <v>2 doors</v>
      </c>
      <c r="AS150" s="23" t="s">
        <v>234</v>
      </c>
      <c r="AT150" s="23" t="s">
        <v>270</v>
      </c>
      <c r="AU150" s="23" t="str">
        <f t="shared" si="39"/>
        <v>CC</v>
      </c>
      <c r="AV150" s="34">
        <f t="shared" si="37"/>
        <v>1430.06</v>
      </c>
      <c r="AW150" s="23">
        <v>14</v>
      </c>
      <c r="AX150" s="23">
        <v>30</v>
      </c>
      <c r="AY150" s="23">
        <v>6</v>
      </c>
    </row>
    <row r="151" spans="1:51">
      <c r="A151" s="25">
        <v>260</v>
      </c>
      <c r="B151" s="23" t="s">
        <v>125</v>
      </c>
      <c r="D151" s="23">
        <v>2</v>
      </c>
      <c r="E151" s="25" t="s">
        <v>46</v>
      </c>
      <c r="F151" s="25" t="s">
        <v>46</v>
      </c>
      <c r="G151" s="23" t="s">
        <v>27</v>
      </c>
      <c r="H151" s="23" t="s">
        <v>159</v>
      </c>
      <c r="I151" s="25">
        <v>1980</v>
      </c>
      <c r="J151" s="35">
        <v>30</v>
      </c>
      <c r="K151" s="35">
        <v>40</v>
      </c>
      <c r="L151" s="35">
        <v>20</v>
      </c>
      <c r="M151" s="25">
        <v>10</v>
      </c>
      <c r="N151" s="25">
        <v>10</v>
      </c>
      <c r="R151" s="30">
        <f t="shared" si="28"/>
        <v>20</v>
      </c>
      <c r="S151" s="37">
        <v>1</v>
      </c>
      <c r="T151" s="30">
        <f t="shared" si="40"/>
        <v>17.80857142857143</v>
      </c>
      <c r="U151" s="37">
        <v>1</v>
      </c>
      <c r="V151" s="30">
        <f t="shared" si="38"/>
        <v>24.761904761904763</v>
      </c>
      <c r="W151" s="25">
        <v>78</v>
      </c>
      <c r="X151" s="31">
        <f t="shared" si="29"/>
        <v>217.60000000000002</v>
      </c>
      <c r="Y151" s="25">
        <v>160</v>
      </c>
      <c r="Z151" s="25">
        <v>11</v>
      </c>
      <c r="AA151" s="25">
        <v>71</v>
      </c>
      <c r="AB151" s="37">
        <v>1</v>
      </c>
      <c r="AC151" s="30">
        <f t="shared" si="25"/>
        <v>200</v>
      </c>
      <c r="AD151" s="31">
        <f t="shared" si="30"/>
        <v>1</v>
      </c>
      <c r="AE151" s="31">
        <f t="shared" si="31"/>
        <v>8</v>
      </c>
      <c r="AF151" s="31" t="str">
        <f t="shared" si="32"/>
        <v/>
      </c>
      <c r="AG151" s="31" t="str">
        <f t="shared" si="33"/>
        <v/>
      </c>
      <c r="AH151" s="31" t="str">
        <f t="shared" si="34"/>
        <v/>
      </c>
      <c r="AI151" s="31" t="str">
        <f t="shared" si="35"/>
        <v/>
      </c>
      <c r="AJ151" s="25">
        <v>9</v>
      </c>
      <c r="AK151" s="25">
        <v>0</v>
      </c>
      <c r="AL151" s="25">
        <v>0</v>
      </c>
      <c r="AM151" s="23" t="s">
        <v>206</v>
      </c>
      <c r="AN151" s="23" t="s">
        <v>92</v>
      </c>
      <c r="AO151" s="25">
        <v>260</v>
      </c>
      <c r="AR151" s="32" t="str">
        <f t="shared" si="36"/>
        <v>2 doors</v>
      </c>
      <c r="AS151" s="23" t="s">
        <v>234</v>
      </c>
      <c r="AT151" s="23" t="s">
        <v>270</v>
      </c>
      <c r="AU151" s="23" t="str">
        <f t="shared" si="39"/>
        <v>Hungary</v>
      </c>
      <c r="AV151" s="34">
        <f t="shared" si="37"/>
        <v>1430.07</v>
      </c>
      <c r="AW151" s="23">
        <v>14</v>
      </c>
      <c r="AX151" s="23">
        <v>30</v>
      </c>
      <c r="AY151" s="23">
        <v>7</v>
      </c>
    </row>
    <row r="152" spans="1:51">
      <c r="A152" s="25">
        <v>260</v>
      </c>
      <c r="B152" s="23" t="s">
        <v>89</v>
      </c>
      <c r="C152" s="23" t="s">
        <v>126</v>
      </c>
      <c r="D152" s="23">
        <v>3</v>
      </c>
      <c r="E152" s="25" t="s">
        <v>30</v>
      </c>
      <c r="F152" s="25" t="s">
        <v>295</v>
      </c>
      <c r="G152" s="23" t="s">
        <v>27</v>
      </c>
      <c r="H152" s="23" t="s">
        <v>160</v>
      </c>
      <c r="I152" s="25">
        <v>1997</v>
      </c>
      <c r="J152" s="35">
        <v>30</v>
      </c>
      <c r="K152" s="35">
        <v>40</v>
      </c>
      <c r="L152" s="35">
        <v>20</v>
      </c>
      <c r="M152" s="25">
        <v>10</v>
      </c>
      <c r="N152" s="25">
        <v>10</v>
      </c>
      <c r="O152" s="25">
        <v>14</v>
      </c>
      <c r="R152" s="30">
        <f t="shared" si="28"/>
        <v>34</v>
      </c>
      <c r="S152" s="37">
        <v>1</v>
      </c>
      <c r="T152" s="30">
        <f t="shared" si="40"/>
        <v>20.848571428571429</v>
      </c>
      <c r="U152" s="37">
        <v>1</v>
      </c>
      <c r="V152" s="30">
        <f t="shared" si="38"/>
        <v>30.0352380952381</v>
      </c>
      <c r="W152" s="25">
        <v>72</v>
      </c>
      <c r="X152" s="31">
        <f t="shared" si="29"/>
        <v>258.40000000000003</v>
      </c>
      <c r="Y152" s="25">
        <v>190</v>
      </c>
      <c r="Z152" s="25">
        <v>11</v>
      </c>
      <c r="AA152" s="25">
        <v>100</v>
      </c>
      <c r="AB152" s="37">
        <v>1</v>
      </c>
      <c r="AC152" s="30">
        <f t="shared" si="25"/>
        <v>200</v>
      </c>
      <c r="AD152" s="31">
        <f t="shared" si="30"/>
        <v>1</v>
      </c>
      <c r="AE152" s="31">
        <f t="shared" si="31"/>
        <v>8</v>
      </c>
      <c r="AF152" s="31" t="str">
        <f t="shared" si="32"/>
        <v/>
      </c>
      <c r="AG152" s="31" t="str">
        <f t="shared" si="33"/>
        <v/>
      </c>
      <c r="AH152" s="31" t="str">
        <f t="shared" si="34"/>
        <v/>
      </c>
      <c r="AI152" s="31" t="str">
        <f t="shared" si="35"/>
        <v/>
      </c>
      <c r="AJ152" s="25">
        <v>9</v>
      </c>
      <c r="AK152" s="25">
        <v>0</v>
      </c>
      <c r="AL152" s="25">
        <v>0</v>
      </c>
      <c r="AM152" s="23" t="s">
        <v>206</v>
      </c>
      <c r="AN152" s="23" t="s">
        <v>92</v>
      </c>
      <c r="AO152" s="25">
        <v>260</v>
      </c>
      <c r="AR152" s="32" t="str">
        <f t="shared" si="36"/>
        <v>3 doors</v>
      </c>
      <c r="AS152" s="23" t="s">
        <v>321</v>
      </c>
      <c r="AT152" s="23" t="s">
        <v>32</v>
      </c>
      <c r="AU152" s="23" t="str">
        <f t="shared" si="39"/>
        <v>CC</v>
      </c>
      <c r="AV152" s="34">
        <f t="shared" si="37"/>
        <v>1440</v>
      </c>
      <c r="AW152" s="23">
        <v>14</v>
      </c>
      <c r="AX152" s="23">
        <v>40</v>
      </c>
      <c r="AY152" s="23">
        <v>0</v>
      </c>
    </row>
    <row r="153" spans="1:51">
      <c r="A153" s="25">
        <v>260</v>
      </c>
      <c r="B153" s="23" t="s">
        <v>89</v>
      </c>
      <c r="C153" s="23" t="s">
        <v>126</v>
      </c>
      <c r="D153" s="23">
        <v>3</v>
      </c>
      <c r="E153" s="25" t="s">
        <v>85</v>
      </c>
      <c r="F153" s="25" t="s">
        <v>85</v>
      </c>
      <c r="G153" s="23" t="s">
        <v>27</v>
      </c>
      <c r="H153" s="23" t="s">
        <v>160</v>
      </c>
      <c r="I153" s="25">
        <v>1997</v>
      </c>
      <c r="J153" s="35">
        <v>30</v>
      </c>
      <c r="K153" s="35">
        <v>40</v>
      </c>
      <c r="L153" s="35">
        <v>20</v>
      </c>
      <c r="M153" s="25">
        <v>10</v>
      </c>
      <c r="N153" s="25">
        <v>10</v>
      </c>
      <c r="O153" s="25">
        <v>14</v>
      </c>
      <c r="R153" s="30">
        <f t="shared" si="28"/>
        <v>34</v>
      </c>
      <c r="S153" s="37">
        <v>1</v>
      </c>
      <c r="T153" s="30">
        <f t="shared" si="40"/>
        <v>20.848571428571429</v>
      </c>
      <c r="U153" s="37">
        <v>1</v>
      </c>
      <c r="V153" s="30">
        <f t="shared" si="38"/>
        <v>30.0352380952381</v>
      </c>
      <c r="W153" s="25">
        <v>72</v>
      </c>
      <c r="X153" s="31">
        <f t="shared" si="29"/>
        <v>258.40000000000003</v>
      </c>
      <c r="Y153" s="25">
        <v>190</v>
      </c>
      <c r="Z153" s="25">
        <v>11</v>
      </c>
      <c r="AA153" s="25">
        <v>100</v>
      </c>
      <c r="AB153" s="37">
        <v>1</v>
      </c>
      <c r="AC153" s="30">
        <f t="shared" si="25"/>
        <v>200</v>
      </c>
      <c r="AD153" s="31">
        <f t="shared" si="30"/>
        <v>1</v>
      </c>
      <c r="AE153" s="31">
        <f t="shared" si="31"/>
        <v>8</v>
      </c>
      <c r="AF153" s="31" t="str">
        <f t="shared" si="32"/>
        <v/>
      </c>
      <c r="AG153" s="31" t="str">
        <f t="shared" si="33"/>
        <v/>
      </c>
      <c r="AH153" s="31" t="str">
        <f t="shared" si="34"/>
        <v/>
      </c>
      <c r="AI153" s="31" t="str">
        <f t="shared" si="35"/>
        <v/>
      </c>
      <c r="AJ153" s="25">
        <v>9</v>
      </c>
      <c r="AK153" s="25">
        <v>0</v>
      </c>
      <c r="AL153" s="25">
        <v>0</v>
      </c>
      <c r="AM153" s="23" t="s">
        <v>206</v>
      </c>
      <c r="AN153" s="23" t="s">
        <v>92</v>
      </c>
      <c r="AO153" s="25">
        <v>260</v>
      </c>
      <c r="AR153" s="32" t="str">
        <f t="shared" si="36"/>
        <v>3 doors</v>
      </c>
      <c r="AS153" s="23" t="s">
        <v>321</v>
      </c>
      <c r="AT153" s="23" t="s">
        <v>32</v>
      </c>
      <c r="AU153" s="23" t="str">
        <f t="shared" si="39"/>
        <v>Hungary</v>
      </c>
      <c r="AV153" s="34">
        <f t="shared" si="37"/>
        <v>1440.01</v>
      </c>
      <c r="AW153" s="23">
        <v>14</v>
      </c>
      <c r="AX153" s="23">
        <v>40</v>
      </c>
      <c r="AY153" s="23">
        <v>1</v>
      </c>
    </row>
    <row r="154" spans="1:51">
      <c r="A154" s="25">
        <v>260</v>
      </c>
      <c r="C154" s="23" t="s">
        <v>28</v>
      </c>
      <c r="D154" s="23">
        <v>3</v>
      </c>
      <c r="E154" s="25" t="s">
        <v>30</v>
      </c>
      <c r="F154" s="25" t="s">
        <v>297</v>
      </c>
      <c r="G154" s="23" t="s">
        <v>28</v>
      </c>
      <c r="H154" s="23" t="s">
        <v>155</v>
      </c>
      <c r="I154" s="25">
        <v>1999</v>
      </c>
      <c r="J154" s="35">
        <v>30</v>
      </c>
      <c r="K154" s="35">
        <v>40</v>
      </c>
      <c r="L154" s="35">
        <v>20</v>
      </c>
      <c r="M154" s="25">
        <v>10</v>
      </c>
      <c r="N154" s="25">
        <v>10</v>
      </c>
      <c r="O154" s="25">
        <v>10</v>
      </c>
      <c r="R154" s="30">
        <f t="shared" si="28"/>
        <v>30</v>
      </c>
      <c r="S154" s="37">
        <v>1</v>
      </c>
      <c r="T154" s="30">
        <f t="shared" si="40"/>
        <v>24.246857142857145</v>
      </c>
      <c r="U154" s="37">
        <v>1</v>
      </c>
      <c r="V154" s="30">
        <f t="shared" si="38"/>
        <v>24.217523809523815</v>
      </c>
      <c r="W154" s="25">
        <v>66</v>
      </c>
      <c r="X154" s="31">
        <f t="shared" si="29"/>
        <v>258.40000000000003</v>
      </c>
      <c r="Y154" s="25">
        <v>190</v>
      </c>
      <c r="Z154" s="25">
        <v>11</v>
      </c>
      <c r="AA154" s="25">
        <v>98</v>
      </c>
      <c r="AB154" s="37">
        <v>1</v>
      </c>
      <c r="AC154" s="30">
        <f t="shared" si="25"/>
        <v>200</v>
      </c>
      <c r="AD154" s="31">
        <f t="shared" si="30"/>
        <v>1</v>
      </c>
      <c r="AE154" s="31">
        <f t="shared" si="31"/>
        <v>8</v>
      </c>
      <c r="AF154" s="31" t="str">
        <f t="shared" si="32"/>
        <v/>
      </c>
      <c r="AG154" s="31" t="str">
        <f t="shared" si="33"/>
        <v/>
      </c>
      <c r="AH154" s="31" t="str">
        <f t="shared" si="34"/>
        <v/>
      </c>
      <c r="AI154" s="31" t="str">
        <f t="shared" si="35"/>
        <v/>
      </c>
      <c r="AJ154" s="25">
        <v>9</v>
      </c>
      <c r="AK154" s="25">
        <v>0</v>
      </c>
      <c r="AL154" s="25">
        <v>0</v>
      </c>
      <c r="AM154" s="23" t="s">
        <v>206</v>
      </c>
      <c r="AN154" s="23" t="s">
        <v>92</v>
      </c>
      <c r="AO154" s="25">
        <v>260</v>
      </c>
      <c r="AR154" s="32" t="str">
        <f t="shared" si="36"/>
        <v>3 doors</v>
      </c>
      <c r="AT154" s="23" t="s">
        <v>32</v>
      </c>
      <c r="AU154" s="23" t="str">
        <f t="shared" si="39"/>
        <v>CC</v>
      </c>
      <c r="AV154" s="34">
        <f t="shared" si="37"/>
        <v>1445</v>
      </c>
      <c r="AW154" s="23">
        <v>14</v>
      </c>
      <c r="AX154" s="23">
        <v>45</v>
      </c>
      <c r="AY154" s="23">
        <v>0</v>
      </c>
    </row>
    <row r="155" spans="1:51">
      <c r="A155" s="25" t="s">
        <v>267</v>
      </c>
      <c r="D155" s="23">
        <v>3</v>
      </c>
      <c r="E155" s="25" t="s">
        <v>30</v>
      </c>
      <c r="F155" s="25" t="s">
        <v>295</v>
      </c>
      <c r="G155" s="23" t="s">
        <v>27</v>
      </c>
      <c r="H155" s="23" t="s">
        <v>268</v>
      </c>
      <c r="I155" s="25">
        <v>1998</v>
      </c>
      <c r="J155" s="35">
        <v>30</v>
      </c>
      <c r="K155" s="35">
        <v>40</v>
      </c>
      <c r="L155" s="35">
        <v>20</v>
      </c>
      <c r="M155" s="25">
        <v>10</v>
      </c>
      <c r="N155" s="25">
        <v>10</v>
      </c>
      <c r="O155" s="25">
        <v>10</v>
      </c>
      <c r="R155" s="30">
        <f t="shared" si="28"/>
        <v>30</v>
      </c>
      <c r="S155" s="37">
        <v>1</v>
      </c>
      <c r="T155" s="30">
        <f t="shared" si="40"/>
        <v>18.522857142857145</v>
      </c>
      <c r="U155" s="37">
        <v>1</v>
      </c>
      <c r="V155" s="30">
        <f t="shared" si="38"/>
        <v>25.656190476190478</v>
      </c>
      <c r="W155" s="25">
        <v>90</v>
      </c>
      <c r="X155" s="31">
        <f t="shared" si="29"/>
        <v>217.60000000000002</v>
      </c>
      <c r="Y155" s="25">
        <v>160</v>
      </c>
      <c r="Z155" s="25">
        <v>11</v>
      </c>
      <c r="AA155" s="25">
        <v>98</v>
      </c>
      <c r="AB155" s="37">
        <v>1</v>
      </c>
      <c r="AC155" s="30">
        <f t="shared" si="25"/>
        <v>200</v>
      </c>
      <c r="AD155" s="31">
        <f t="shared" si="30"/>
        <v>1</v>
      </c>
      <c r="AE155" s="31">
        <f t="shared" si="31"/>
        <v>8</v>
      </c>
      <c r="AF155" s="31" t="str">
        <f t="shared" si="32"/>
        <v/>
      </c>
      <c r="AG155" s="31" t="str">
        <f t="shared" si="33"/>
        <v/>
      </c>
      <c r="AH155" s="31" t="str">
        <f t="shared" si="34"/>
        <v/>
      </c>
      <c r="AI155" s="31" t="str">
        <f t="shared" si="35"/>
        <v/>
      </c>
      <c r="AJ155" s="25">
        <v>9</v>
      </c>
      <c r="AK155" s="25">
        <v>0</v>
      </c>
      <c r="AL155" s="25">
        <v>0</v>
      </c>
      <c r="AM155" s="23" t="s">
        <v>206</v>
      </c>
      <c r="AN155" s="23" t="s">
        <v>92</v>
      </c>
      <c r="AO155" s="26" t="s">
        <v>267</v>
      </c>
      <c r="AR155" s="32" t="str">
        <f t="shared" si="36"/>
        <v>3 doors</v>
      </c>
      <c r="AS155" s="23" t="s">
        <v>269</v>
      </c>
      <c r="AT155" s="23" t="s">
        <v>32</v>
      </c>
      <c r="AU155" s="23" t="str">
        <f t="shared" si="39"/>
        <v>CC</v>
      </c>
      <c r="AV155" s="34">
        <f t="shared" si="37"/>
        <v>1448</v>
      </c>
      <c r="AW155" s="23">
        <v>14</v>
      </c>
      <c r="AX155" s="23">
        <v>48</v>
      </c>
      <c r="AY155" s="23">
        <v>0</v>
      </c>
    </row>
    <row r="156" spans="1:51">
      <c r="A156" s="25" t="s">
        <v>267</v>
      </c>
      <c r="D156" s="23">
        <v>3</v>
      </c>
      <c r="E156" s="25" t="s">
        <v>42</v>
      </c>
      <c r="F156" s="25" t="s">
        <v>296</v>
      </c>
      <c r="G156" s="23" t="s">
        <v>27</v>
      </c>
      <c r="H156" s="23" t="s">
        <v>268</v>
      </c>
      <c r="I156" s="25">
        <v>1998</v>
      </c>
      <c r="J156" s="35">
        <v>30</v>
      </c>
      <c r="K156" s="35">
        <v>40</v>
      </c>
      <c r="L156" s="35">
        <v>20</v>
      </c>
      <c r="M156" s="25">
        <v>10</v>
      </c>
      <c r="N156" s="25">
        <v>10</v>
      </c>
      <c r="O156" s="25">
        <v>10</v>
      </c>
      <c r="R156" s="30">
        <f t="shared" si="28"/>
        <v>30</v>
      </c>
      <c r="S156" s="37">
        <v>1</v>
      </c>
      <c r="T156" s="30">
        <f t="shared" si="40"/>
        <v>18.522857142857145</v>
      </c>
      <c r="U156" s="37">
        <v>1</v>
      </c>
      <c r="V156" s="30">
        <f t="shared" si="38"/>
        <v>25.656190476190478</v>
      </c>
      <c r="W156" s="25">
        <v>90</v>
      </c>
      <c r="X156" s="31">
        <f t="shared" si="29"/>
        <v>217.60000000000002</v>
      </c>
      <c r="Y156" s="25">
        <v>160</v>
      </c>
      <c r="Z156" s="25">
        <v>11</v>
      </c>
      <c r="AA156" s="25">
        <v>98</v>
      </c>
      <c r="AB156" s="37">
        <v>1</v>
      </c>
      <c r="AC156" s="30">
        <f t="shared" si="25"/>
        <v>200</v>
      </c>
      <c r="AD156" s="31">
        <f t="shared" si="30"/>
        <v>1</v>
      </c>
      <c r="AE156" s="31">
        <f t="shared" si="31"/>
        <v>8</v>
      </c>
      <c r="AF156" s="31" t="str">
        <f t="shared" si="32"/>
        <v/>
      </c>
      <c r="AG156" s="31" t="str">
        <f t="shared" si="33"/>
        <v/>
      </c>
      <c r="AH156" s="31" t="str">
        <f t="shared" si="34"/>
        <v/>
      </c>
      <c r="AI156" s="31" t="str">
        <f t="shared" si="35"/>
        <v/>
      </c>
      <c r="AJ156" s="25">
        <v>9</v>
      </c>
      <c r="AK156" s="25">
        <v>0</v>
      </c>
      <c r="AL156" s="25">
        <v>0</v>
      </c>
      <c r="AM156" s="23" t="s">
        <v>206</v>
      </c>
      <c r="AN156" s="23" t="s">
        <v>92</v>
      </c>
      <c r="AO156" s="26" t="s">
        <v>267</v>
      </c>
      <c r="AR156" s="32" t="str">
        <f t="shared" si="36"/>
        <v>3 doors</v>
      </c>
      <c r="AS156" s="23" t="s">
        <v>269</v>
      </c>
      <c r="AT156" s="23" t="s">
        <v>32</v>
      </c>
      <c r="AU156" s="23" t="str">
        <f t="shared" si="39"/>
        <v>CC</v>
      </c>
      <c r="AV156" s="34">
        <f t="shared" si="37"/>
        <v>1448.01</v>
      </c>
      <c r="AW156" s="23">
        <v>14</v>
      </c>
      <c r="AX156" s="23">
        <v>48</v>
      </c>
      <c r="AY156" s="23">
        <v>1</v>
      </c>
    </row>
    <row r="157" spans="1:51">
      <c r="A157" s="25" t="s">
        <v>267</v>
      </c>
      <c r="D157" s="23">
        <v>3</v>
      </c>
      <c r="E157" s="25" t="s">
        <v>43</v>
      </c>
      <c r="F157" s="25" t="s">
        <v>297</v>
      </c>
      <c r="G157" s="23" t="s">
        <v>27</v>
      </c>
      <c r="H157" s="23" t="s">
        <v>268</v>
      </c>
      <c r="I157" s="25">
        <v>1998</v>
      </c>
      <c r="J157" s="35">
        <v>30</v>
      </c>
      <c r="K157" s="35">
        <v>40</v>
      </c>
      <c r="L157" s="35">
        <v>20</v>
      </c>
      <c r="M157" s="25">
        <v>10</v>
      </c>
      <c r="N157" s="25">
        <v>10</v>
      </c>
      <c r="O157" s="25">
        <v>10</v>
      </c>
      <c r="R157" s="30">
        <f t="shared" si="28"/>
        <v>30</v>
      </c>
      <c r="S157" s="37">
        <v>1</v>
      </c>
      <c r="T157" s="30">
        <f t="shared" si="40"/>
        <v>18.522857142857145</v>
      </c>
      <c r="U157" s="37">
        <v>1</v>
      </c>
      <c r="V157" s="30">
        <f t="shared" si="38"/>
        <v>25.656190476190478</v>
      </c>
      <c r="W157" s="25">
        <v>90</v>
      </c>
      <c r="X157" s="31">
        <f t="shared" si="29"/>
        <v>217.60000000000002</v>
      </c>
      <c r="Y157" s="25">
        <v>160</v>
      </c>
      <c r="Z157" s="25">
        <v>11</v>
      </c>
      <c r="AA157" s="25">
        <v>98</v>
      </c>
      <c r="AB157" s="37">
        <v>1</v>
      </c>
      <c r="AC157" s="30">
        <f t="shared" si="25"/>
        <v>200</v>
      </c>
      <c r="AD157" s="31">
        <f t="shared" si="30"/>
        <v>1</v>
      </c>
      <c r="AE157" s="31">
        <f t="shared" si="31"/>
        <v>8</v>
      </c>
      <c r="AF157" s="31" t="str">
        <f t="shared" si="32"/>
        <v/>
      </c>
      <c r="AG157" s="31" t="str">
        <f t="shared" si="33"/>
        <v/>
      </c>
      <c r="AH157" s="31" t="str">
        <f t="shared" si="34"/>
        <v/>
      </c>
      <c r="AI157" s="31" t="str">
        <f t="shared" si="35"/>
        <v/>
      </c>
      <c r="AJ157" s="25">
        <v>9</v>
      </c>
      <c r="AK157" s="25">
        <v>0</v>
      </c>
      <c r="AL157" s="25">
        <v>0</v>
      </c>
      <c r="AM157" s="23" t="s">
        <v>206</v>
      </c>
      <c r="AN157" s="23" t="s">
        <v>92</v>
      </c>
      <c r="AO157" s="26" t="s">
        <v>267</v>
      </c>
      <c r="AR157" s="32" t="str">
        <f t="shared" si="36"/>
        <v>3 doors</v>
      </c>
      <c r="AS157" s="23" t="s">
        <v>269</v>
      </c>
      <c r="AT157" s="23" t="s">
        <v>32</v>
      </c>
      <c r="AU157" s="23" t="str">
        <f t="shared" si="39"/>
        <v>CC</v>
      </c>
      <c r="AV157" s="34">
        <f t="shared" si="37"/>
        <v>1448.02</v>
      </c>
      <c r="AW157" s="23">
        <v>14</v>
      </c>
      <c r="AX157" s="23">
        <v>48</v>
      </c>
      <c r="AY157" s="23">
        <v>2</v>
      </c>
    </row>
    <row r="158" spans="1:51">
      <c r="A158" s="25" t="s">
        <v>267</v>
      </c>
      <c r="D158" s="23">
        <v>3</v>
      </c>
      <c r="E158" s="25" t="s">
        <v>284</v>
      </c>
      <c r="F158" s="25" t="s">
        <v>298</v>
      </c>
      <c r="G158" s="23" t="s">
        <v>27</v>
      </c>
      <c r="H158" s="23" t="s">
        <v>268</v>
      </c>
      <c r="I158" s="25">
        <v>1998</v>
      </c>
      <c r="J158" s="35">
        <v>30</v>
      </c>
      <c r="K158" s="35">
        <v>40</v>
      </c>
      <c r="L158" s="35">
        <v>20</v>
      </c>
      <c r="M158" s="25">
        <v>10</v>
      </c>
      <c r="N158" s="25">
        <v>10</v>
      </c>
      <c r="O158" s="25">
        <v>10</v>
      </c>
      <c r="R158" s="30">
        <f t="shared" si="28"/>
        <v>30</v>
      </c>
      <c r="S158" s="37">
        <v>1</v>
      </c>
      <c r="T158" s="30">
        <f t="shared" si="40"/>
        <v>18.522857142857145</v>
      </c>
      <c r="U158" s="37">
        <v>1</v>
      </c>
      <c r="V158" s="30">
        <f t="shared" si="38"/>
        <v>25.656190476190478</v>
      </c>
      <c r="W158" s="25">
        <v>90</v>
      </c>
      <c r="X158" s="31">
        <f t="shared" si="29"/>
        <v>217.60000000000002</v>
      </c>
      <c r="Y158" s="25">
        <v>160</v>
      </c>
      <c r="Z158" s="25">
        <v>11</v>
      </c>
      <c r="AA158" s="25">
        <v>98</v>
      </c>
      <c r="AB158" s="37">
        <v>1</v>
      </c>
      <c r="AC158" s="30">
        <f t="shared" si="25"/>
        <v>200</v>
      </c>
      <c r="AD158" s="31">
        <f t="shared" si="30"/>
        <v>1</v>
      </c>
      <c r="AE158" s="31">
        <f t="shared" si="31"/>
        <v>8</v>
      </c>
      <c r="AF158" s="31" t="str">
        <f t="shared" si="32"/>
        <v/>
      </c>
      <c r="AG158" s="31" t="str">
        <f t="shared" si="33"/>
        <v/>
      </c>
      <c r="AH158" s="31" t="str">
        <f t="shared" si="34"/>
        <v/>
      </c>
      <c r="AI158" s="31" t="str">
        <f t="shared" si="35"/>
        <v/>
      </c>
      <c r="AJ158" s="25">
        <v>9</v>
      </c>
      <c r="AK158" s="25">
        <v>0</v>
      </c>
      <c r="AL158" s="25">
        <v>0</v>
      </c>
      <c r="AM158" s="23" t="s">
        <v>206</v>
      </c>
      <c r="AN158" s="23" t="s">
        <v>92</v>
      </c>
      <c r="AO158" s="26" t="s">
        <v>267</v>
      </c>
      <c r="AR158" s="32" t="str">
        <f t="shared" si="36"/>
        <v>3 doors</v>
      </c>
      <c r="AS158" s="23" t="s">
        <v>269</v>
      </c>
      <c r="AT158" s="23" t="s">
        <v>32</v>
      </c>
      <c r="AU158" s="23" t="str">
        <f t="shared" si="39"/>
        <v>CC</v>
      </c>
      <c r="AV158" s="34">
        <f t="shared" si="37"/>
        <v>1448.03</v>
      </c>
      <c r="AW158" s="23">
        <v>14</v>
      </c>
      <c r="AX158" s="23">
        <v>48</v>
      </c>
      <c r="AY158" s="23">
        <v>3</v>
      </c>
    </row>
    <row r="159" spans="1:51">
      <c r="A159" s="25" t="s">
        <v>267</v>
      </c>
      <c r="D159" s="23">
        <v>3</v>
      </c>
      <c r="E159" s="25" t="s">
        <v>285</v>
      </c>
      <c r="F159" s="25" t="s">
        <v>301</v>
      </c>
      <c r="G159" s="23" t="s">
        <v>27</v>
      </c>
      <c r="H159" s="23" t="s">
        <v>268</v>
      </c>
      <c r="I159" s="25">
        <v>1998</v>
      </c>
      <c r="J159" s="35">
        <v>30</v>
      </c>
      <c r="K159" s="35">
        <v>40</v>
      </c>
      <c r="L159" s="35">
        <v>20</v>
      </c>
      <c r="M159" s="25">
        <v>10</v>
      </c>
      <c r="N159" s="25">
        <v>10</v>
      </c>
      <c r="O159" s="25">
        <v>10</v>
      </c>
      <c r="R159" s="30">
        <f t="shared" si="28"/>
        <v>30</v>
      </c>
      <c r="S159" s="37">
        <v>1</v>
      </c>
      <c r="T159" s="30">
        <f t="shared" si="40"/>
        <v>18.522857142857145</v>
      </c>
      <c r="U159" s="37">
        <v>1</v>
      </c>
      <c r="V159" s="30">
        <f t="shared" si="38"/>
        <v>25.656190476190478</v>
      </c>
      <c r="W159" s="25">
        <v>90</v>
      </c>
      <c r="X159" s="31">
        <f t="shared" si="29"/>
        <v>217.60000000000002</v>
      </c>
      <c r="Y159" s="25">
        <v>160</v>
      </c>
      <c r="Z159" s="25">
        <v>11</v>
      </c>
      <c r="AA159" s="25">
        <v>98</v>
      </c>
      <c r="AB159" s="37">
        <v>1</v>
      </c>
      <c r="AC159" s="30">
        <f t="shared" si="25"/>
        <v>200</v>
      </c>
      <c r="AD159" s="31">
        <f t="shared" si="30"/>
        <v>1</v>
      </c>
      <c r="AE159" s="31">
        <f t="shared" si="31"/>
        <v>8</v>
      </c>
      <c r="AF159" s="31" t="str">
        <f t="shared" si="32"/>
        <v/>
      </c>
      <c r="AG159" s="31" t="str">
        <f t="shared" si="33"/>
        <v/>
      </c>
      <c r="AH159" s="31" t="str">
        <f t="shared" si="34"/>
        <v/>
      </c>
      <c r="AI159" s="31" t="str">
        <f t="shared" si="35"/>
        <v/>
      </c>
      <c r="AJ159" s="25">
        <v>9</v>
      </c>
      <c r="AK159" s="25">
        <v>0</v>
      </c>
      <c r="AL159" s="25">
        <v>0</v>
      </c>
      <c r="AM159" s="23" t="s">
        <v>206</v>
      </c>
      <c r="AN159" s="23" t="s">
        <v>92</v>
      </c>
      <c r="AO159" s="26" t="s">
        <v>267</v>
      </c>
      <c r="AR159" s="32" t="str">
        <f t="shared" si="36"/>
        <v>3 doors</v>
      </c>
      <c r="AS159" s="23" t="s">
        <v>269</v>
      </c>
      <c r="AT159" s="23" t="s">
        <v>32</v>
      </c>
      <c r="AU159" s="23" t="str">
        <f t="shared" si="39"/>
        <v>CC</v>
      </c>
      <c r="AV159" s="34">
        <f t="shared" si="37"/>
        <v>1448.04</v>
      </c>
      <c r="AW159" s="23">
        <v>14</v>
      </c>
      <c r="AX159" s="23">
        <v>48</v>
      </c>
      <c r="AY159" s="23">
        <v>4</v>
      </c>
    </row>
    <row r="160" spans="1:51">
      <c r="A160" s="25" t="s">
        <v>267</v>
      </c>
      <c r="D160" s="23">
        <v>3</v>
      </c>
      <c r="E160" s="25" t="s">
        <v>286</v>
      </c>
      <c r="F160" s="25" t="s">
        <v>300</v>
      </c>
      <c r="G160" s="23" t="s">
        <v>27</v>
      </c>
      <c r="H160" s="23" t="s">
        <v>268</v>
      </c>
      <c r="I160" s="25">
        <v>1998</v>
      </c>
      <c r="J160" s="35">
        <v>30</v>
      </c>
      <c r="K160" s="35">
        <v>40</v>
      </c>
      <c r="L160" s="35">
        <v>20</v>
      </c>
      <c r="M160" s="25">
        <v>10</v>
      </c>
      <c r="N160" s="25">
        <v>10</v>
      </c>
      <c r="O160" s="25">
        <v>10</v>
      </c>
      <c r="R160" s="30">
        <f t="shared" si="28"/>
        <v>30</v>
      </c>
      <c r="S160" s="37">
        <v>1</v>
      </c>
      <c r="T160" s="30">
        <f t="shared" si="40"/>
        <v>18.522857142857145</v>
      </c>
      <c r="U160" s="37">
        <v>1</v>
      </c>
      <c r="V160" s="30">
        <f t="shared" si="38"/>
        <v>25.656190476190478</v>
      </c>
      <c r="W160" s="25">
        <v>90</v>
      </c>
      <c r="X160" s="31">
        <f t="shared" si="29"/>
        <v>217.60000000000002</v>
      </c>
      <c r="Y160" s="25">
        <v>160</v>
      </c>
      <c r="Z160" s="25">
        <v>11</v>
      </c>
      <c r="AA160" s="25">
        <v>98</v>
      </c>
      <c r="AB160" s="37">
        <v>1</v>
      </c>
      <c r="AC160" s="30">
        <f t="shared" ref="AC160:AC223" si="41">AB160*IF(AT160="Regional", 185, IF(AT160="Intercity", 150, IF(AT160="Tourist", 100, 200)))</f>
        <v>200</v>
      </c>
      <c r="AD160" s="31">
        <f t="shared" si="30"/>
        <v>1</v>
      </c>
      <c r="AE160" s="31">
        <f t="shared" si="31"/>
        <v>8</v>
      </c>
      <c r="AF160" s="31" t="str">
        <f t="shared" si="32"/>
        <v/>
      </c>
      <c r="AG160" s="31" t="str">
        <f t="shared" si="33"/>
        <v/>
      </c>
      <c r="AH160" s="31" t="str">
        <f t="shared" si="34"/>
        <v/>
      </c>
      <c r="AI160" s="31" t="str">
        <f t="shared" si="35"/>
        <v/>
      </c>
      <c r="AJ160" s="25">
        <v>9</v>
      </c>
      <c r="AK160" s="25">
        <v>0</v>
      </c>
      <c r="AL160" s="25">
        <v>0</v>
      </c>
      <c r="AM160" s="23" t="s">
        <v>206</v>
      </c>
      <c r="AN160" s="23" t="s">
        <v>92</v>
      </c>
      <c r="AO160" s="26" t="s">
        <v>267</v>
      </c>
      <c r="AR160" s="32" t="str">
        <f t="shared" si="36"/>
        <v>3 doors</v>
      </c>
      <c r="AS160" s="23" t="s">
        <v>269</v>
      </c>
      <c r="AT160" s="23" t="s">
        <v>32</v>
      </c>
      <c r="AU160" s="23" t="str">
        <f t="shared" si="39"/>
        <v>CC</v>
      </c>
      <c r="AV160" s="34">
        <f t="shared" si="37"/>
        <v>1448.05</v>
      </c>
      <c r="AW160" s="23">
        <v>14</v>
      </c>
      <c r="AX160" s="23">
        <v>48</v>
      </c>
      <c r="AY160" s="23">
        <v>5</v>
      </c>
    </row>
    <row r="161" spans="1:51">
      <c r="A161" s="25" t="s">
        <v>267</v>
      </c>
      <c r="D161" s="23">
        <v>3</v>
      </c>
      <c r="E161" s="25" t="s">
        <v>287</v>
      </c>
      <c r="F161" s="25" t="s">
        <v>315</v>
      </c>
      <c r="G161" s="23" t="s">
        <v>27</v>
      </c>
      <c r="H161" s="23" t="s">
        <v>268</v>
      </c>
      <c r="I161" s="25">
        <v>1998</v>
      </c>
      <c r="J161" s="35">
        <v>30</v>
      </c>
      <c r="K161" s="35">
        <v>40</v>
      </c>
      <c r="L161" s="35">
        <v>20</v>
      </c>
      <c r="M161" s="25">
        <v>10</v>
      </c>
      <c r="N161" s="25">
        <v>10</v>
      </c>
      <c r="O161" s="25">
        <v>10</v>
      </c>
      <c r="R161" s="30">
        <f t="shared" si="28"/>
        <v>30</v>
      </c>
      <c r="S161" s="37">
        <v>1</v>
      </c>
      <c r="T161" s="30">
        <f t="shared" si="40"/>
        <v>18.522857142857145</v>
      </c>
      <c r="U161" s="37">
        <v>1</v>
      </c>
      <c r="V161" s="30">
        <f t="shared" si="38"/>
        <v>25.656190476190478</v>
      </c>
      <c r="W161" s="25">
        <v>90</v>
      </c>
      <c r="X161" s="31">
        <f t="shared" si="29"/>
        <v>217.60000000000002</v>
      </c>
      <c r="Y161" s="25">
        <v>160</v>
      </c>
      <c r="Z161" s="25">
        <v>11</v>
      </c>
      <c r="AA161" s="25">
        <v>98</v>
      </c>
      <c r="AB161" s="37">
        <v>1</v>
      </c>
      <c r="AC161" s="30">
        <f t="shared" si="41"/>
        <v>200</v>
      </c>
      <c r="AD161" s="31">
        <f t="shared" si="30"/>
        <v>1</v>
      </c>
      <c r="AE161" s="31">
        <f t="shared" si="31"/>
        <v>8</v>
      </c>
      <c r="AF161" s="31" t="str">
        <f t="shared" si="32"/>
        <v/>
      </c>
      <c r="AG161" s="31" t="str">
        <f t="shared" si="33"/>
        <v/>
      </c>
      <c r="AH161" s="31" t="str">
        <f t="shared" si="34"/>
        <v/>
      </c>
      <c r="AI161" s="31" t="str">
        <f t="shared" si="35"/>
        <v/>
      </c>
      <c r="AJ161" s="25">
        <v>9</v>
      </c>
      <c r="AK161" s="25">
        <v>0</v>
      </c>
      <c r="AL161" s="25">
        <v>0</v>
      </c>
      <c r="AM161" s="23" t="s">
        <v>206</v>
      </c>
      <c r="AN161" s="23" t="s">
        <v>92</v>
      </c>
      <c r="AO161" s="26" t="s">
        <v>267</v>
      </c>
      <c r="AR161" s="32" t="str">
        <f t="shared" si="36"/>
        <v>3 doors</v>
      </c>
      <c r="AS161" s="23" t="s">
        <v>269</v>
      </c>
      <c r="AT161" s="23" t="s">
        <v>32</v>
      </c>
      <c r="AU161" s="23" t="str">
        <f t="shared" si="39"/>
        <v>CC</v>
      </c>
      <c r="AV161" s="34">
        <f t="shared" si="37"/>
        <v>1448.06</v>
      </c>
      <c r="AW161" s="23">
        <v>14</v>
      </c>
      <c r="AX161" s="23">
        <v>48</v>
      </c>
      <c r="AY161" s="23">
        <v>6</v>
      </c>
    </row>
    <row r="162" spans="1:51">
      <c r="A162" s="25">
        <v>263</v>
      </c>
      <c r="D162" s="23">
        <v>2</v>
      </c>
      <c r="E162" s="25" t="s">
        <v>30</v>
      </c>
      <c r="F162" s="25" t="s">
        <v>295</v>
      </c>
      <c r="G162" s="23" t="s">
        <v>27</v>
      </c>
      <c r="H162" s="23" t="s">
        <v>161</v>
      </c>
      <c r="I162" s="25">
        <v>1989</v>
      </c>
      <c r="J162" s="35">
        <v>30</v>
      </c>
      <c r="K162" s="35">
        <v>40</v>
      </c>
      <c r="L162" s="35">
        <v>20</v>
      </c>
      <c r="M162" s="25">
        <v>10</v>
      </c>
      <c r="N162" s="25">
        <v>10</v>
      </c>
      <c r="R162" s="30">
        <f t="shared" si="28"/>
        <v>20</v>
      </c>
      <c r="S162" s="37">
        <v>1</v>
      </c>
      <c r="T162" s="30">
        <f t="shared" si="40"/>
        <v>17.016571428571428</v>
      </c>
      <c r="U162" s="37">
        <v>1</v>
      </c>
      <c r="V162" s="30">
        <f t="shared" si="38"/>
        <v>22.497904761904763</v>
      </c>
      <c r="W162" s="25">
        <v>78</v>
      </c>
      <c r="X162" s="31">
        <f t="shared" si="29"/>
        <v>191.76000000000002</v>
      </c>
      <c r="Y162" s="25">
        <v>141</v>
      </c>
      <c r="Z162" s="25">
        <v>12</v>
      </c>
      <c r="AA162" s="25">
        <v>104</v>
      </c>
      <c r="AB162" s="37">
        <v>1</v>
      </c>
      <c r="AC162" s="30">
        <f t="shared" si="41"/>
        <v>200</v>
      </c>
      <c r="AD162" s="31">
        <f t="shared" si="30"/>
        <v>3</v>
      </c>
      <c r="AE162" s="31">
        <f t="shared" si="31"/>
        <v>8</v>
      </c>
      <c r="AF162" s="31" t="str">
        <f t="shared" si="32"/>
        <v/>
      </c>
      <c r="AG162" s="31" t="str">
        <f t="shared" si="33"/>
        <v/>
      </c>
      <c r="AH162" s="31" t="str">
        <f t="shared" si="34"/>
        <v/>
      </c>
      <c r="AI162" s="31" t="str">
        <f t="shared" si="35"/>
        <v/>
      </c>
      <c r="AJ162" s="25">
        <v>11</v>
      </c>
      <c r="AK162" s="25">
        <v>0</v>
      </c>
      <c r="AL162" s="25">
        <v>0</v>
      </c>
      <c r="AM162" s="23" t="s">
        <v>206</v>
      </c>
      <c r="AN162" s="23" t="s">
        <v>92</v>
      </c>
      <c r="AO162" s="25">
        <v>263</v>
      </c>
      <c r="AR162" s="32" t="str">
        <f t="shared" si="36"/>
        <v>2 doors</v>
      </c>
      <c r="AS162" s="23" t="s">
        <v>237</v>
      </c>
      <c r="AT162" s="23" t="s">
        <v>270</v>
      </c>
      <c r="AU162" s="23" t="str">
        <f t="shared" si="39"/>
        <v>CC</v>
      </c>
      <c r="AV162" s="34">
        <f t="shared" si="37"/>
        <v>1450</v>
      </c>
      <c r="AW162" s="23">
        <v>14</v>
      </c>
      <c r="AX162" s="23">
        <v>50</v>
      </c>
      <c r="AY162" s="23">
        <v>0</v>
      </c>
    </row>
    <row r="163" spans="1:51">
      <c r="A163" s="25">
        <v>263</v>
      </c>
      <c r="D163" s="23">
        <v>3</v>
      </c>
      <c r="E163" s="25" t="s">
        <v>30</v>
      </c>
      <c r="F163" s="25" t="s">
        <v>295</v>
      </c>
      <c r="G163" s="23" t="s">
        <v>27</v>
      </c>
      <c r="H163" s="23" t="s">
        <v>216</v>
      </c>
      <c r="I163" s="25">
        <v>1997</v>
      </c>
      <c r="J163" s="35">
        <v>30</v>
      </c>
      <c r="K163" s="35">
        <v>40</v>
      </c>
      <c r="L163" s="35">
        <v>20</v>
      </c>
      <c r="M163" s="25">
        <v>10</v>
      </c>
      <c r="N163" s="25">
        <v>10</v>
      </c>
      <c r="O163" s="25">
        <v>10</v>
      </c>
      <c r="R163" s="30">
        <f t="shared" si="28"/>
        <v>30</v>
      </c>
      <c r="S163" s="37">
        <v>1</v>
      </c>
      <c r="T163" s="30">
        <f t="shared" si="40"/>
        <v>17.730857142857143</v>
      </c>
      <c r="U163" s="37">
        <v>1</v>
      </c>
      <c r="V163" s="30">
        <f t="shared" si="38"/>
        <v>23.318857142857144</v>
      </c>
      <c r="W163" s="25">
        <v>78</v>
      </c>
      <c r="X163" s="31">
        <f t="shared" si="29"/>
        <v>191.76000000000002</v>
      </c>
      <c r="Y163" s="25">
        <v>141</v>
      </c>
      <c r="Z163" s="25">
        <v>12</v>
      </c>
      <c r="AA163" s="25">
        <v>120</v>
      </c>
      <c r="AB163" s="37">
        <v>1</v>
      </c>
      <c r="AC163" s="30">
        <f t="shared" si="41"/>
        <v>200</v>
      </c>
      <c r="AD163" s="31">
        <f t="shared" si="30"/>
        <v>3</v>
      </c>
      <c r="AE163" s="31">
        <f t="shared" si="31"/>
        <v>8</v>
      </c>
      <c r="AF163" s="31" t="str">
        <f t="shared" si="32"/>
        <v/>
      </c>
      <c r="AG163" s="31" t="str">
        <f t="shared" si="33"/>
        <v/>
      </c>
      <c r="AH163" s="31" t="str">
        <f t="shared" si="34"/>
        <v/>
      </c>
      <c r="AI163" s="31" t="str">
        <f t="shared" si="35"/>
        <v/>
      </c>
      <c r="AJ163" s="25">
        <v>11</v>
      </c>
      <c r="AK163" s="25">
        <v>0</v>
      </c>
      <c r="AL163" s="25">
        <v>0</v>
      </c>
      <c r="AM163" s="23" t="s">
        <v>206</v>
      </c>
      <c r="AN163" s="23" t="s">
        <v>92</v>
      </c>
      <c r="AO163" s="25">
        <v>263</v>
      </c>
      <c r="AR163" s="32" t="str">
        <f t="shared" si="36"/>
        <v>3 doors</v>
      </c>
      <c r="AS163" s="23" t="s">
        <v>236</v>
      </c>
      <c r="AT163" s="23" t="s">
        <v>32</v>
      </c>
      <c r="AU163" s="23" t="str">
        <f t="shared" si="39"/>
        <v>CC</v>
      </c>
      <c r="AV163" s="34">
        <f t="shared" si="37"/>
        <v>1451</v>
      </c>
      <c r="AW163" s="23">
        <v>14</v>
      </c>
      <c r="AX163" s="23">
        <v>51</v>
      </c>
      <c r="AY163" s="23">
        <v>0</v>
      </c>
    </row>
    <row r="164" spans="1:51">
      <c r="A164" s="25">
        <v>263</v>
      </c>
      <c r="D164" s="23">
        <v>3</v>
      </c>
      <c r="E164" s="25" t="s">
        <v>42</v>
      </c>
      <c r="F164" s="25" t="s">
        <v>296</v>
      </c>
      <c r="G164" s="23" t="s">
        <v>27</v>
      </c>
      <c r="H164" s="23" t="s">
        <v>216</v>
      </c>
      <c r="I164" s="25">
        <v>1997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O164" s="25">
        <v>10</v>
      </c>
      <c r="R164" s="30">
        <f t="shared" si="28"/>
        <v>30</v>
      </c>
      <c r="S164" s="37">
        <v>1</v>
      </c>
      <c r="T164" s="30">
        <f t="shared" si="40"/>
        <v>17.730857142857143</v>
      </c>
      <c r="U164" s="37">
        <v>1</v>
      </c>
      <c r="V164" s="30">
        <f t="shared" si="38"/>
        <v>23.318857142857144</v>
      </c>
      <c r="W164" s="25">
        <v>78</v>
      </c>
      <c r="X164" s="31">
        <f t="shared" si="29"/>
        <v>191.76000000000002</v>
      </c>
      <c r="Y164" s="25">
        <v>141</v>
      </c>
      <c r="Z164" s="25">
        <v>12</v>
      </c>
      <c r="AA164" s="25">
        <v>120</v>
      </c>
      <c r="AB164" s="37">
        <v>1</v>
      </c>
      <c r="AC164" s="30">
        <f t="shared" si="41"/>
        <v>200</v>
      </c>
      <c r="AD164" s="31">
        <f t="shared" si="30"/>
        <v>3</v>
      </c>
      <c r="AE164" s="31">
        <f t="shared" si="31"/>
        <v>8</v>
      </c>
      <c r="AF164" s="31" t="str">
        <f t="shared" si="32"/>
        <v/>
      </c>
      <c r="AG164" s="31" t="str">
        <f t="shared" si="33"/>
        <v/>
      </c>
      <c r="AH164" s="31" t="str">
        <f t="shared" si="34"/>
        <v/>
      </c>
      <c r="AI164" s="31" t="str">
        <f t="shared" si="35"/>
        <v/>
      </c>
      <c r="AJ164" s="25">
        <v>11</v>
      </c>
      <c r="AK164" s="25">
        <v>0</v>
      </c>
      <c r="AL164" s="25">
        <v>0</v>
      </c>
      <c r="AM164" s="23" t="s">
        <v>206</v>
      </c>
      <c r="AN164" s="23" t="s">
        <v>92</v>
      </c>
      <c r="AO164" s="25">
        <v>263</v>
      </c>
      <c r="AR164" s="32" t="str">
        <f t="shared" si="36"/>
        <v>3 doors</v>
      </c>
      <c r="AS164" s="23" t="s">
        <v>236</v>
      </c>
      <c r="AT164" s="23" t="s">
        <v>32</v>
      </c>
      <c r="AU164" s="23" t="str">
        <f t="shared" si="39"/>
        <v>CC</v>
      </c>
      <c r="AV164" s="34">
        <f t="shared" si="37"/>
        <v>1451.01</v>
      </c>
      <c r="AW164" s="23">
        <v>14</v>
      </c>
      <c r="AX164" s="23">
        <v>51</v>
      </c>
      <c r="AY164" s="23">
        <v>1</v>
      </c>
    </row>
    <row r="165" spans="1:51">
      <c r="A165" s="25">
        <v>263</v>
      </c>
      <c r="D165" s="23">
        <v>3</v>
      </c>
      <c r="E165" s="25" t="s">
        <v>43</v>
      </c>
      <c r="F165" s="25" t="s">
        <v>297</v>
      </c>
      <c r="G165" s="23" t="s">
        <v>27</v>
      </c>
      <c r="H165" s="23" t="s">
        <v>216</v>
      </c>
      <c r="I165" s="25">
        <v>1997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O165" s="25">
        <v>10</v>
      </c>
      <c r="R165" s="30">
        <f t="shared" si="28"/>
        <v>30</v>
      </c>
      <c r="S165" s="37">
        <v>1</v>
      </c>
      <c r="T165" s="30">
        <f t="shared" si="40"/>
        <v>17.730857142857143</v>
      </c>
      <c r="U165" s="37">
        <v>1</v>
      </c>
      <c r="V165" s="30">
        <f t="shared" si="38"/>
        <v>23.318857142857144</v>
      </c>
      <c r="W165" s="25">
        <v>78</v>
      </c>
      <c r="X165" s="31">
        <f t="shared" si="29"/>
        <v>191.76000000000002</v>
      </c>
      <c r="Y165" s="25">
        <v>141</v>
      </c>
      <c r="Z165" s="25">
        <v>12</v>
      </c>
      <c r="AA165" s="25">
        <v>120</v>
      </c>
      <c r="AB165" s="37">
        <v>1</v>
      </c>
      <c r="AC165" s="30">
        <f t="shared" si="41"/>
        <v>200</v>
      </c>
      <c r="AD165" s="31">
        <f t="shared" si="30"/>
        <v>3</v>
      </c>
      <c r="AE165" s="31">
        <f t="shared" si="31"/>
        <v>8</v>
      </c>
      <c r="AF165" s="31" t="str">
        <f t="shared" si="32"/>
        <v/>
      </c>
      <c r="AG165" s="31" t="str">
        <f t="shared" si="33"/>
        <v/>
      </c>
      <c r="AH165" s="31" t="str">
        <f t="shared" si="34"/>
        <v/>
      </c>
      <c r="AI165" s="31" t="str">
        <f t="shared" si="35"/>
        <v/>
      </c>
      <c r="AJ165" s="25">
        <v>11</v>
      </c>
      <c r="AK165" s="25">
        <v>0</v>
      </c>
      <c r="AL165" s="25">
        <v>0</v>
      </c>
      <c r="AM165" s="23" t="s">
        <v>206</v>
      </c>
      <c r="AN165" s="23" t="s">
        <v>92</v>
      </c>
      <c r="AO165" s="25">
        <v>263</v>
      </c>
      <c r="AR165" s="32" t="str">
        <f t="shared" si="36"/>
        <v>3 doors</v>
      </c>
      <c r="AS165" s="23" t="s">
        <v>236</v>
      </c>
      <c r="AT165" s="23" t="s">
        <v>32</v>
      </c>
      <c r="AU165" s="23" t="str">
        <f t="shared" si="39"/>
        <v>CC</v>
      </c>
      <c r="AV165" s="34">
        <f t="shared" si="37"/>
        <v>1451.02</v>
      </c>
      <c r="AW165" s="23">
        <v>14</v>
      </c>
      <c r="AX165" s="23">
        <v>51</v>
      </c>
      <c r="AY165" s="23">
        <v>2</v>
      </c>
    </row>
    <row r="166" spans="1:51">
      <c r="A166" s="25">
        <v>263</v>
      </c>
      <c r="D166" s="23">
        <v>3</v>
      </c>
      <c r="E166" s="25" t="s">
        <v>284</v>
      </c>
      <c r="F166" s="25" t="s">
        <v>298</v>
      </c>
      <c r="G166" s="23" t="s">
        <v>27</v>
      </c>
      <c r="H166" s="23" t="s">
        <v>216</v>
      </c>
      <c r="I166" s="25">
        <v>1997</v>
      </c>
      <c r="J166" s="35">
        <v>30</v>
      </c>
      <c r="K166" s="35">
        <v>40</v>
      </c>
      <c r="L166" s="35">
        <v>20</v>
      </c>
      <c r="M166" s="25">
        <v>10</v>
      </c>
      <c r="N166" s="25">
        <v>10</v>
      </c>
      <c r="O166" s="25">
        <v>10</v>
      </c>
      <c r="R166" s="30">
        <f t="shared" si="28"/>
        <v>30</v>
      </c>
      <c r="S166" s="37">
        <v>1</v>
      </c>
      <c r="T166" s="30">
        <f t="shared" si="40"/>
        <v>17.730857142857143</v>
      </c>
      <c r="U166" s="37">
        <v>1</v>
      </c>
      <c r="V166" s="30">
        <f t="shared" si="38"/>
        <v>23.318857142857144</v>
      </c>
      <c r="W166" s="25">
        <v>78</v>
      </c>
      <c r="X166" s="31">
        <f t="shared" si="29"/>
        <v>191.76000000000002</v>
      </c>
      <c r="Y166" s="25">
        <v>141</v>
      </c>
      <c r="Z166" s="25">
        <v>12</v>
      </c>
      <c r="AA166" s="25">
        <v>120</v>
      </c>
      <c r="AB166" s="37">
        <v>1</v>
      </c>
      <c r="AC166" s="30">
        <f t="shared" si="41"/>
        <v>200</v>
      </c>
      <c r="AD166" s="31">
        <f t="shared" si="30"/>
        <v>3</v>
      </c>
      <c r="AE166" s="31">
        <f t="shared" si="31"/>
        <v>8</v>
      </c>
      <c r="AF166" s="31" t="str">
        <f t="shared" si="32"/>
        <v/>
      </c>
      <c r="AG166" s="31" t="str">
        <f t="shared" si="33"/>
        <v/>
      </c>
      <c r="AH166" s="31" t="str">
        <f t="shared" si="34"/>
        <v/>
      </c>
      <c r="AI166" s="31" t="str">
        <f t="shared" si="35"/>
        <v/>
      </c>
      <c r="AJ166" s="25">
        <v>11</v>
      </c>
      <c r="AK166" s="25">
        <v>0</v>
      </c>
      <c r="AL166" s="25">
        <v>0</v>
      </c>
      <c r="AM166" s="23" t="s">
        <v>206</v>
      </c>
      <c r="AN166" s="23" t="s">
        <v>92</v>
      </c>
      <c r="AO166" s="25">
        <v>263</v>
      </c>
      <c r="AR166" s="32" t="str">
        <f t="shared" si="36"/>
        <v>3 doors</v>
      </c>
      <c r="AS166" s="23" t="s">
        <v>236</v>
      </c>
      <c r="AT166" s="23" t="s">
        <v>32</v>
      </c>
      <c r="AU166" s="23" t="str">
        <f t="shared" si="39"/>
        <v>CC</v>
      </c>
      <c r="AV166" s="34">
        <f t="shared" si="37"/>
        <v>1451.03</v>
      </c>
      <c r="AW166" s="23">
        <v>14</v>
      </c>
      <c r="AX166" s="23">
        <v>51</v>
      </c>
      <c r="AY166" s="23">
        <v>3</v>
      </c>
    </row>
    <row r="167" spans="1:51">
      <c r="A167" s="25">
        <v>263</v>
      </c>
      <c r="D167" s="23">
        <v>3</v>
      </c>
      <c r="E167" s="25" t="s">
        <v>285</v>
      </c>
      <c r="F167" s="25" t="s">
        <v>301</v>
      </c>
      <c r="G167" s="23" t="s">
        <v>27</v>
      </c>
      <c r="H167" s="23" t="s">
        <v>216</v>
      </c>
      <c r="I167" s="25">
        <v>1997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R167" s="30">
        <f t="shared" si="28"/>
        <v>30</v>
      </c>
      <c r="S167" s="37">
        <v>1</v>
      </c>
      <c r="T167" s="30">
        <f t="shared" si="40"/>
        <v>17.730857142857143</v>
      </c>
      <c r="U167" s="37">
        <v>1</v>
      </c>
      <c r="V167" s="30">
        <f t="shared" si="38"/>
        <v>23.318857142857144</v>
      </c>
      <c r="W167" s="25">
        <v>78</v>
      </c>
      <c r="X167" s="31">
        <f t="shared" si="29"/>
        <v>191.76000000000002</v>
      </c>
      <c r="Y167" s="25">
        <v>141</v>
      </c>
      <c r="Z167" s="25">
        <v>12</v>
      </c>
      <c r="AA167" s="25">
        <v>120</v>
      </c>
      <c r="AB167" s="37">
        <v>1</v>
      </c>
      <c r="AC167" s="30">
        <f t="shared" si="41"/>
        <v>200</v>
      </c>
      <c r="AD167" s="31">
        <f t="shared" si="30"/>
        <v>3</v>
      </c>
      <c r="AE167" s="31">
        <f t="shared" si="31"/>
        <v>8</v>
      </c>
      <c r="AF167" s="31" t="str">
        <f t="shared" si="32"/>
        <v/>
      </c>
      <c r="AG167" s="31" t="str">
        <f t="shared" si="33"/>
        <v/>
      </c>
      <c r="AH167" s="31" t="str">
        <f t="shared" si="34"/>
        <v/>
      </c>
      <c r="AI167" s="31" t="str">
        <f t="shared" si="35"/>
        <v/>
      </c>
      <c r="AJ167" s="25">
        <v>11</v>
      </c>
      <c r="AK167" s="25">
        <v>0</v>
      </c>
      <c r="AL167" s="25">
        <v>0</v>
      </c>
      <c r="AM167" s="23" t="s">
        <v>206</v>
      </c>
      <c r="AN167" s="23" t="s">
        <v>92</v>
      </c>
      <c r="AO167" s="25">
        <v>263</v>
      </c>
      <c r="AR167" s="32" t="str">
        <f t="shared" si="36"/>
        <v>3 doors</v>
      </c>
      <c r="AS167" s="23" t="s">
        <v>236</v>
      </c>
      <c r="AT167" s="23" t="s">
        <v>32</v>
      </c>
      <c r="AU167" s="23" t="str">
        <f t="shared" si="39"/>
        <v>CC</v>
      </c>
      <c r="AV167" s="34">
        <f t="shared" si="37"/>
        <v>1451.04</v>
      </c>
      <c r="AW167" s="23">
        <v>14</v>
      </c>
      <c r="AX167" s="23">
        <v>51</v>
      </c>
      <c r="AY167" s="23">
        <v>4</v>
      </c>
    </row>
    <row r="168" spans="1:51">
      <c r="A168" s="25">
        <v>263</v>
      </c>
      <c r="D168" s="23">
        <v>3</v>
      </c>
      <c r="E168" s="25" t="s">
        <v>286</v>
      </c>
      <c r="F168" s="25" t="s">
        <v>300</v>
      </c>
      <c r="G168" s="23" t="s">
        <v>27</v>
      </c>
      <c r="H168" s="23" t="s">
        <v>216</v>
      </c>
      <c r="I168" s="25">
        <v>1997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R168" s="30">
        <f t="shared" si="28"/>
        <v>30</v>
      </c>
      <c r="S168" s="37">
        <v>1</v>
      </c>
      <c r="T168" s="30">
        <f t="shared" si="40"/>
        <v>17.730857142857143</v>
      </c>
      <c r="U168" s="37">
        <v>1</v>
      </c>
      <c r="V168" s="30">
        <f t="shared" si="38"/>
        <v>23.318857142857144</v>
      </c>
      <c r="W168" s="25">
        <v>78</v>
      </c>
      <c r="X168" s="31">
        <f t="shared" si="29"/>
        <v>191.76000000000002</v>
      </c>
      <c r="Y168" s="25">
        <v>141</v>
      </c>
      <c r="Z168" s="25">
        <v>12</v>
      </c>
      <c r="AA168" s="25">
        <v>120</v>
      </c>
      <c r="AB168" s="37">
        <v>1</v>
      </c>
      <c r="AC168" s="30">
        <f t="shared" si="41"/>
        <v>200</v>
      </c>
      <c r="AD168" s="31">
        <f t="shared" si="30"/>
        <v>3</v>
      </c>
      <c r="AE168" s="31">
        <f t="shared" si="31"/>
        <v>8</v>
      </c>
      <c r="AF168" s="31" t="str">
        <f t="shared" si="32"/>
        <v/>
      </c>
      <c r="AG168" s="31" t="str">
        <f t="shared" si="33"/>
        <v/>
      </c>
      <c r="AH168" s="31" t="str">
        <f t="shared" si="34"/>
        <v/>
      </c>
      <c r="AI168" s="31" t="str">
        <f t="shared" si="35"/>
        <v/>
      </c>
      <c r="AJ168" s="25">
        <v>11</v>
      </c>
      <c r="AK168" s="25">
        <v>0</v>
      </c>
      <c r="AL168" s="25">
        <v>0</v>
      </c>
      <c r="AM168" s="23" t="s">
        <v>206</v>
      </c>
      <c r="AN168" s="23" t="s">
        <v>92</v>
      </c>
      <c r="AO168" s="25">
        <v>263</v>
      </c>
      <c r="AR168" s="32" t="str">
        <f t="shared" si="36"/>
        <v>3 doors</v>
      </c>
      <c r="AS168" s="23" t="s">
        <v>236</v>
      </c>
      <c r="AT168" s="23" t="s">
        <v>32</v>
      </c>
      <c r="AU168" s="23" t="str">
        <f t="shared" si="39"/>
        <v>CC</v>
      </c>
      <c r="AV168" s="34">
        <f t="shared" si="37"/>
        <v>1451.05</v>
      </c>
      <c r="AW168" s="23">
        <v>14</v>
      </c>
      <c r="AX168" s="23">
        <v>51</v>
      </c>
      <c r="AY168" s="23">
        <v>5</v>
      </c>
    </row>
    <row r="169" spans="1:51">
      <c r="A169" s="25">
        <v>263</v>
      </c>
      <c r="D169" s="23">
        <v>3</v>
      </c>
      <c r="E169" s="25" t="s">
        <v>287</v>
      </c>
      <c r="F169" s="25" t="s">
        <v>315</v>
      </c>
      <c r="G169" s="23" t="s">
        <v>27</v>
      </c>
      <c r="H169" s="23" t="s">
        <v>216</v>
      </c>
      <c r="I169" s="25">
        <v>1997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si="28"/>
        <v>30</v>
      </c>
      <c r="S169" s="37">
        <v>1</v>
      </c>
      <c r="T169" s="30">
        <f t="shared" si="40"/>
        <v>17.730857142857143</v>
      </c>
      <c r="U169" s="37">
        <v>1</v>
      </c>
      <c r="V169" s="30">
        <f t="shared" si="38"/>
        <v>23.318857142857144</v>
      </c>
      <c r="W169" s="25">
        <v>78</v>
      </c>
      <c r="X169" s="31">
        <f t="shared" si="29"/>
        <v>191.76000000000002</v>
      </c>
      <c r="Y169" s="25">
        <v>141</v>
      </c>
      <c r="Z169" s="25">
        <v>12</v>
      </c>
      <c r="AA169" s="25">
        <v>120</v>
      </c>
      <c r="AB169" s="37">
        <v>1</v>
      </c>
      <c r="AC169" s="30">
        <f t="shared" si="41"/>
        <v>200</v>
      </c>
      <c r="AD169" s="31">
        <f t="shared" si="30"/>
        <v>3</v>
      </c>
      <c r="AE169" s="31">
        <f t="shared" si="31"/>
        <v>8</v>
      </c>
      <c r="AF169" s="31" t="str">
        <f t="shared" si="32"/>
        <v/>
      </c>
      <c r="AG169" s="31" t="str">
        <f t="shared" si="33"/>
        <v/>
      </c>
      <c r="AH169" s="31" t="str">
        <f t="shared" si="34"/>
        <v/>
      </c>
      <c r="AI169" s="31" t="str">
        <f t="shared" si="35"/>
        <v/>
      </c>
      <c r="AJ169" s="25">
        <v>11</v>
      </c>
      <c r="AK169" s="25">
        <v>0</v>
      </c>
      <c r="AL169" s="25">
        <v>0</v>
      </c>
      <c r="AM169" s="23" t="s">
        <v>206</v>
      </c>
      <c r="AN169" s="23" t="s">
        <v>92</v>
      </c>
      <c r="AO169" s="25">
        <v>263</v>
      </c>
      <c r="AR169" s="32" t="str">
        <f t="shared" si="36"/>
        <v>3 doors</v>
      </c>
      <c r="AS169" s="23" t="s">
        <v>236</v>
      </c>
      <c r="AT169" s="23" t="s">
        <v>32</v>
      </c>
      <c r="AU169" s="23" t="str">
        <f t="shared" si="39"/>
        <v>CC</v>
      </c>
      <c r="AV169" s="34">
        <f t="shared" si="37"/>
        <v>1451.06</v>
      </c>
      <c r="AW169" s="23">
        <v>14</v>
      </c>
      <c r="AX169" s="23">
        <v>51</v>
      </c>
      <c r="AY169" s="23">
        <v>6</v>
      </c>
    </row>
    <row r="170" spans="1:51">
      <c r="A170" s="25">
        <v>263</v>
      </c>
      <c r="D170" s="23">
        <v>3</v>
      </c>
      <c r="E170" s="25" t="s">
        <v>85</v>
      </c>
      <c r="F170" s="25" t="s">
        <v>85</v>
      </c>
      <c r="G170" s="23" t="s">
        <v>27</v>
      </c>
      <c r="H170" s="23" t="s">
        <v>216</v>
      </c>
      <c r="I170" s="25">
        <v>1997</v>
      </c>
      <c r="J170" s="35">
        <v>30</v>
      </c>
      <c r="K170" s="35">
        <v>40</v>
      </c>
      <c r="L170" s="35">
        <v>20</v>
      </c>
      <c r="M170" s="25">
        <v>10</v>
      </c>
      <c r="N170" s="25">
        <v>10</v>
      </c>
      <c r="O170" s="25">
        <v>10</v>
      </c>
      <c r="R170" s="30">
        <f t="shared" si="28"/>
        <v>30</v>
      </c>
      <c r="S170" s="37">
        <v>1</v>
      </c>
      <c r="T170" s="30">
        <f t="shared" si="40"/>
        <v>17.730857142857143</v>
      </c>
      <c r="U170" s="37">
        <v>1</v>
      </c>
      <c r="V170" s="30">
        <f t="shared" si="38"/>
        <v>23.318857142857144</v>
      </c>
      <c r="W170" s="25">
        <v>78</v>
      </c>
      <c r="X170" s="31">
        <f t="shared" si="29"/>
        <v>191.76000000000002</v>
      </c>
      <c r="Y170" s="25">
        <v>141</v>
      </c>
      <c r="Z170" s="25">
        <v>12</v>
      </c>
      <c r="AA170" s="25">
        <v>120</v>
      </c>
      <c r="AB170" s="37">
        <v>1</v>
      </c>
      <c r="AC170" s="30">
        <f t="shared" si="41"/>
        <v>200</v>
      </c>
      <c r="AD170" s="31">
        <f t="shared" si="30"/>
        <v>3</v>
      </c>
      <c r="AE170" s="31">
        <f t="shared" si="31"/>
        <v>8</v>
      </c>
      <c r="AF170" s="31" t="str">
        <f t="shared" si="32"/>
        <v/>
      </c>
      <c r="AG170" s="31" t="str">
        <f t="shared" si="33"/>
        <v/>
      </c>
      <c r="AH170" s="31" t="str">
        <f t="shared" si="34"/>
        <v/>
      </c>
      <c r="AI170" s="31" t="str">
        <f t="shared" si="35"/>
        <v/>
      </c>
      <c r="AJ170" s="25">
        <v>11</v>
      </c>
      <c r="AK170" s="25">
        <v>0</v>
      </c>
      <c r="AL170" s="25">
        <v>0</v>
      </c>
      <c r="AM170" s="23" t="s">
        <v>206</v>
      </c>
      <c r="AN170" s="23" t="s">
        <v>92</v>
      </c>
      <c r="AO170" s="25">
        <v>263</v>
      </c>
      <c r="AR170" s="32" t="str">
        <f t="shared" si="36"/>
        <v>3 doors</v>
      </c>
      <c r="AS170" s="23" t="s">
        <v>236</v>
      </c>
      <c r="AT170" s="23" t="s">
        <v>32</v>
      </c>
      <c r="AU170" s="23" t="str">
        <f t="shared" si="39"/>
        <v>Hungary</v>
      </c>
      <c r="AV170" s="34">
        <f t="shared" si="37"/>
        <v>1451.07</v>
      </c>
      <c r="AW170" s="23">
        <v>14</v>
      </c>
      <c r="AX170" s="23">
        <v>51</v>
      </c>
      <c r="AY170" s="23">
        <v>7</v>
      </c>
    </row>
    <row r="171" spans="1:51">
      <c r="A171" s="25">
        <v>263</v>
      </c>
      <c r="D171" s="23">
        <v>2</v>
      </c>
      <c r="E171" s="25" t="s">
        <v>30</v>
      </c>
      <c r="F171" s="25" t="s">
        <v>295</v>
      </c>
      <c r="G171" s="23" t="s">
        <v>27</v>
      </c>
      <c r="H171" s="23" t="s">
        <v>217</v>
      </c>
      <c r="I171" s="25">
        <v>1991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R171" s="30">
        <f t="shared" si="28"/>
        <v>20</v>
      </c>
      <c r="S171" s="37">
        <v>1</v>
      </c>
      <c r="T171" s="30">
        <f t="shared" si="40"/>
        <v>17.016571428571428</v>
      </c>
      <c r="U171" s="37">
        <v>1</v>
      </c>
      <c r="V171" s="30">
        <f t="shared" si="38"/>
        <v>22.537904761904763</v>
      </c>
      <c r="W171" s="25">
        <v>78</v>
      </c>
      <c r="X171" s="31">
        <f t="shared" si="29"/>
        <v>191.76000000000002</v>
      </c>
      <c r="Y171" s="25">
        <v>141</v>
      </c>
      <c r="Z171" s="25">
        <v>12</v>
      </c>
      <c r="AA171" s="25">
        <v>110</v>
      </c>
      <c r="AB171" s="37">
        <v>1</v>
      </c>
      <c r="AC171" s="30">
        <f t="shared" si="41"/>
        <v>200</v>
      </c>
      <c r="AD171" s="31">
        <f t="shared" si="30"/>
        <v>3</v>
      </c>
      <c r="AE171" s="31">
        <f t="shared" si="31"/>
        <v>8</v>
      </c>
      <c r="AF171" s="31" t="str">
        <f t="shared" si="32"/>
        <v/>
      </c>
      <c r="AG171" s="31" t="str">
        <f t="shared" si="33"/>
        <v/>
      </c>
      <c r="AH171" s="31" t="str">
        <f t="shared" si="34"/>
        <v/>
      </c>
      <c r="AI171" s="31" t="str">
        <f t="shared" si="35"/>
        <v/>
      </c>
      <c r="AJ171" s="25">
        <v>11</v>
      </c>
      <c r="AK171" s="25">
        <v>0</v>
      </c>
      <c r="AL171" s="25">
        <v>0</v>
      </c>
      <c r="AM171" s="23" t="s">
        <v>206</v>
      </c>
      <c r="AN171" s="23" t="s">
        <v>92</v>
      </c>
      <c r="AO171" s="25">
        <v>263</v>
      </c>
      <c r="AR171" s="32" t="str">
        <f t="shared" si="36"/>
        <v>2 doors</v>
      </c>
      <c r="AS171" s="23" t="s">
        <v>238</v>
      </c>
      <c r="AT171" s="23" t="s">
        <v>270</v>
      </c>
      <c r="AU171" s="23" t="str">
        <f t="shared" si="39"/>
        <v>CC</v>
      </c>
      <c r="AV171" s="34">
        <f t="shared" si="37"/>
        <v>1452</v>
      </c>
      <c r="AW171" s="23">
        <v>14</v>
      </c>
      <c r="AX171" s="23">
        <v>52</v>
      </c>
      <c r="AY171" s="23">
        <v>0</v>
      </c>
    </row>
    <row r="172" spans="1:51">
      <c r="A172" s="25">
        <v>263</v>
      </c>
      <c r="B172" s="23" t="s">
        <v>218</v>
      </c>
      <c r="D172" s="23">
        <v>1</v>
      </c>
      <c r="E172" s="25" t="s">
        <v>30</v>
      </c>
      <c r="F172" s="25" t="s">
        <v>296</v>
      </c>
      <c r="G172" s="23" t="s">
        <v>27</v>
      </c>
      <c r="H172" s="23" t="s">
        <v>241</v>
      </c>
      <c r="I172" s="25">
        <v>1990</v>
      </c>
      <c r="J172" s="35">
        <v>30</v>
      </c>
      <c r="K172" s="35">
        <v>40</v>
      </c>
      <c r="L172" s="35">
        <v>20</v>
      </c>
      <c r="M172" s="25">
        <v>10</v>
      </c>
      <c r="R172" s="30">
        <f t="shared" si="28"/>
        <v>10</v>
      </c>
      <c r="S172" s="37">
        <v>1</v>
      </c>
      <c r="T172" s="30">
        <f t="shared" si="40"/>
        <v>16.302285714285716</v>
      </c>
      <c r="U172" s="37">
        <v>1</v>
      </c>
      <c r="V172" s="30">
        <f t="shared" si="38"/>
        <v>21.623619047619052</v>
      </c>
      <c r="W172" s="25">
        <v>78</v>
      </c>
      <c r="X172" s="31">
        <f t="shared" si="29"/>
        <v>191.76000000000002</v>
      </c>
      <c r="Y172" s="25">
        <v>141</v>
      </c>
      <c r="Z172" s="25">
        <v>12</v>
      </c>
      <c r="AA172" s="25">
        <v>80</v>
      </c>
      <c r="AB172" s="37">
        <v>1</v>
      </c>
      <c r="AC172" s="30">
        <f t="shared" si="41"/>
        <v>200</v>
      </c>
      <c r="AD172" s="31">
        <f t="shared" si="30"/>
        <v>3</v>
      </c>
      <c r="AE172" s="31">
        <f t="shared" si="31"/>
        <v>8</v>
      </c>
      <c r="AF172" s="31" t="str">
        <f t="shared" si="32"/>
        <v/>
      </c>
      <c r="AG172" s="31" t="str">
        <f t="shared" si="33"/>
        <v/>
      </c>
      <c r="AH172" s="31" t="str">
        <f t="shared" si="34"/>
        <v/>
      </c>
      <c r="AI172" s="31" t="str">
        <f t="shared" si="35"/>
        <v/>
      </c>
      <c r="AJ172" s="25">
        <v>11</v>
      </c>
      <c r="AK172" s="25">
        <v>0</v>
      </c>
      <c r="AL172" s="25">
        <v>0</v>
      </c>
      <c r="AM172" s="23" t="s">
        <v>206</v>
      </c>
      <c r="AN172" s="23" t="s">
        <v>92</v>
      </c>
      <c r="AO172" s="25">
        <v>263</v>
      </c>
      <c r="AR172" s="32" t="str">
        <f t="shared" si="36"/>
        <v>1 door</v>
      </c>
      <c r="AS172" s="23" t="s">
        <v>239</v>
      </c>
      <c r="AT172" s="23" t="s">
        <v>270</v>
      </c>
      <c r="AU172" s="23" t="str">
        <f t="shared" si="39"/>
        <v>CC</v>
      </c>
      <c r="AV172" s="34">
        <f t="shared" si="37"/>
        <v>1453</v>
      </c>
      <c r="AW172" s="23">
        <v>14</v>
      </c>
      <c r="AX172" s="23">
        <v>53</v>
      </c>
      <c r="AY172" s="23">
        <v>0</v>
      </c>
    </row>
    <row r="173" spans="1:51">
      <c r="A173" s="25">
        <v>280</v>
      </c>
      <c r="B173" s="23" t="s">
        <v>89</v>
      </c>
      <c r="C173" s="23" t="s">
        <v>124</v>
      </c>
      <c r="D173" s="23">
        <v>4</v>
      </c>
      <c r="E173" s="25" t="s">
        <v>30</v>
      </c>
      <c r="F173" s="25" t="s">
        <v>295</v>
      </c>
      <c r="G173" s="23" t="s">
        <v>27</v>
      </c>
      <c r="H173" s="23" t="s">
        <v>164</v>
      </c>
      <c r="I173" s="25">
        <v>1971</v>
      </c>
      <c r="J173" s="35">
        <v>30</v>
      </c>
      <c r="K173" s="35">
        <v>40</v>
      </c>
      <c r="L173" s="35">
        <v>20</v>
      </c>
      <c r="M173" s="25">
        <v>10</v>
      </c>
      <c r="N173" s="25">
        <v>10</v>
      </c>
      <c r="O173" s="25">
        <v>10</v>
      </c>
      <c r="P173" s="25">
        <v>10</v>
      </c>
      <c r="R173" s="30">
        <f t="shared" si="28"/>
        <v>40</v>
      </c>
      <c r="S173" s="37">
        <v>1</v>
      </c>
      <c r="T173" s="30">
        <f t="shared" si="40"/>
        <v>19.445142857142859</v>
      </c>
      <c r="U173" s="37">
        <v>1</v>
      </c>
      <c r="V173" s="30">
        <f t="shared" si="38"/>
        <v>24.373142857142859</v>
      </c>
      <c r="W173" s="25">
        <v>62</v>
      </c>
      <c r="X173" s="31">
        <f t="shared" si="29"/>
        <v>191.76000000000002</v>
      </c>
      <c r="Y173" s="25">
        <v>141</v>
      </c>
      <c r="Z173" s="25">
        <v>14</v>
      </c>
      <c r="AA173" s="25">
        <v>141</v>
      </c>
      <c r="AB173" s="37">
        <v>1</v>
      </c>
      <c r="AC173" s="30">
        <f t="shared" si="41"/>
        <v>200</v>
      </c>
      <c r="AD173" s="31">
        <f t="shared" si="30"/>
        <v>8</v>
      </c>
      <c r="AE173" s="31" t="str">
        <f t="shared" si="31"/>
        <v/>
      </c>
      <c r="AF173" s="31">
        <f t="shared" si="32"/>
        <v>7</v>
      </c>
      <c r="AG173" s="31" t="str">
        <f t="shared" si="33"/>
        <v/>
      </c>
      <c r="AH173" s="31" t="str">
        <f t="shared" si="34"/>
        <v/>
      </c>
      <c r="AI173" s="31" t="str">
        <f t="shared" si="35"/>
        <v/>
      </c>
      <c r="AJ173" s="25">
        <v>8</v>
      </c>
      <c r="AK173" s="25">
        <v>7</v>
      </c>
      <c r="AL173" s="25">
        <v>0</v>
      </c>
      <c r="AM173" s="23" t="s">
        <v>206</v>
      </c>
      <c r="AN173" s="23" t="s">
        <v>92</v>
      </c>
      <c r="AO173" s="25">
        <v>280</v>
      </c>
      <c r="AR173" s="32" t="str">
        <f t="shared" si="36"/>
        <v>4 doors</v>
      </c>
      <c r="AS173" s="23" t="s">
        <v>229</v>
      </c>
      <c r="AT173" s="23" t="s">
        <v>32</v>
      </c>
      <c r="AU173" s="23" t="str">
        <f t="shared" si="39"/>
        <v>CC</v>
      </c>
      <c r="AV173" s="34">
        <f t="shared" si="37"/>
        <v>1500</v>
      </c>
      <c r="AW173" s="23">
        <v>15</v>
      </c>
      <c r="AX173" s="23">
        <v>0</v>
      </c>
      <c r="AY173" s="23">
        <v>0</v>
      </c>
    </row>
    <row r="174" spans="1:51">
      <c r="A174" s="25">
        <v>280</v>
      </c>
      <c r="B174" s="23" t="s">
        <v>89</v>
      </c>
      <c r="C174" s="23" t="s">
        <v>124</v>
      </c>
      <c r="D174" s="23">
        <v>4</v>
      </c>
      <c r="E174" s="25" t="s">
        <v>42</v>
      </c>
      <c r="F174" s="25" t="s">
        <v>296</v>
      </c>
      <c r="G174" s="23" t="s">
        <v>27</v>
      </c>
      <c r="H174" s="23" t="s">
        <v>164</v>
      </c>
      <c r="I174" s="25">
        <v>1971</v>
      </c>
      <c r="J174" s="35">
        <v>30</v>
      </c>
      <c r="K174" s="35">
        <v>40</v>
      </c>
      <c r="L174" s="35">
        <v>20</v>
      </c>
      <c r="M174" s="25">
        <v>10</v>
      </c>
      <c r="N174" s="25">
        <v>10</v>
      </c>
      <c r="O174" s="25">
        <v>10</v>
      </c>
      <c r="P174" s="25">
        <v>10</v>
      </c>
      <c r="R174" s="30">
        <f t="shared" si="28"/>
        <v>40</v>
      </c>
      <c r="S174" s="37">
        <v>1</v>
      </c>
      <c r="T174" s="30">
        <f t="shared" si="40"/>
        <v>19.445142857142859</v>
      </c>
      <c r="U174" s="37">
        <v>1</v>
      </c>
      <c r="V174" s="30">
        <f t="shared" si="38"/>
        <v>24.373142857142859</v>
      </c>
      <c r="W174" s="25">
        <v>62</v>
      </c>
      <c r="X174" s="31">
        <f t="shared" si="29"/>
        <v>191.76000000000002</v>
      </c>
      <c r="Y174" s="25">
        <v>141</v>
      </c>
      <c r="Z174" s="25">
        <v>14</v>
      </c>
      <c r="AA174" s="25">
        <v>141</v>
      </c>
      <c r="AB174" s="37">
        <v>1</v>
      </c>
      <c r="AC174" s="30">
        <f t="shared" si="41"/>
        <v>200</v>
      </c>
      <c r="AD174" s="31">
        <f t="shared" si="30"/>
        <v>8</v>
      </c>
      <c r="AE174" s="31" t="str">
        <f t="shared" si="31"/>
        <v/>
      </c>
      <c r="AF174" s="31">
        <f t="shared" si="32"/>
        <v>7</v>
      </c>
      <c r="AG174" s="31" t="str">
        <f t="shared" si="33"/>
        <v/>
      </c>
      <c r="AH174" s="31" t="str">
        <f t="shared" si="34"/>
        <v/>
      </c>
      <c r="AI174" s="31" t="str">
        <f t="shared" si="35"/>
        <v/>
      </c>
      <c r="AJ174" s="25">
        <v>8</v>
      </c>
      <c r="AK174" s="25">
        <v>7</v>
      </c>
      <c r="AL174" s="25">
        <v>0</v>
      </c>
      <c r="AM174" s="23" t="s">
        <v>206</v>
      </c>
      <c r="AN174" s="23" t="s">
        <v>92</v>
      </c>
      <c r="AO174" s="25">
        <v>280</v>
      </c>
      <c r="AR174" s="32" t="str">
        <f t="shared" si="36"/>
        <v>4 doors</v>
      </c>
      <c r="AS174" s="23" t="s">
        <v>229</v>
      </c>
      <c r="AT174" s="23" t="s">
        <v>32</v>
      </c>
      <c r="AU174" s="23" t="str">
        <f t="shared" si="39"/>
        <v>CC</v>
      </c>
      <c r="AV174" s="34">
        <f t="shared" si="37"/>
        <v>1500.01</v>
      </c>
      <c r="AW174" s="23">
        <v>15</v>
      </c>
      <c r="AX174" s="23">
        <v>0</v>
      </c>
      <c r="AY174" s="23">
        <v>1</v>
      </c>
    </row>
    <row r="175" spans="1:51">
      <c r="A175" s="25">
        <v>280</v>
      </c>
      <c r="B175" s="23" t="s">
        <v>89</v>
      </c>
      <c r="C175" s="23" t="s">
        <v>124</v>
      </c>
      <c r="D175" s="23">
        <v>4</v>
      </c>
      <c r="E175" s="25" t="s">
        <v>43</v>
      </c>
      <c r="F175" s="25" t="s">
        <v>297</v>
      </c>
      <c r="G175" s="23" t="s">
        <v>27</v>
      </c>
      <c r="H175" s="23" t="s">
        <v>164</v>
      </c>
      <c r="I175" s="25">
        <v>1971</v>
      </c>
      <c r="J175" s="35">
        <v>30</v>
      </c>
      <c r="K175" s="35">
        <v>40</v>
      </c>
      <c r="L175" s="35">
        <v>20</v>
      </c>
      <c r="M175" s="25">
        <v>10</v>
      </c>
      <c r="N175" s="25">
        <v>10</v>
      </c>
      <c r="O175" s="25">
        <v>10</v>
      </c>
      <c r="P175" s="25">
        <v>10</v>
      </c>
      <c r="R175" s="30">
        <f t="shared" si="28"/>
        <v>40</v>
      </c>
      <c r="S175" s="37">
        <v>1</v>
      </c>
      <c r="T175" s="30">
        <f t="shared" si="40"/>
        <v>19.445142857142859</v>
      </c>
      <c r="U175" s="37">
        <v>1</v>
      </c>
      <c r="V175" s="30">
        <f t="shared" si="38"/>
        <v>24.373142857142859</v>
      </c>
      <c r="W175" s="25">
        <v>62</v>
      </c>
      <c r="X175" s="31">
        <f t="shared" si="29"/>
        <v>191.76000000000002</v>
      </c>
      <c r="Y175" s="25">
        <v>141</v>
      </c>
      <c r="Z175" s="25">
        <v>14</v>
      </c>
      <c r="AA175" s="25">
        <v>141</v>
      </c>
      <c r="AB175" s="37">
        <v>1</v>
      </c>
      <c r="AC175" s="30">
        <f t="shared" si="41"/>
        <v>200</v>
      </c>
      <c r="AD175" s="31">
        <f t="shared" si="30"/>
        <v>8</v>
      </c>
      <c r="AE175" s="31" t="str">
        <f t="shared" si="31"/>
        <v/>
      </c>
      <c r="AF175" s="31">
        <f t="shared" si="32"/>
        <v>7</v>
      </c>
      <c r="AG175" s="31" t="str">
        <f t="shared" si="33"/>
        <v/>
      </c>
      <c r="AH175" s="31" t="str">
        <f t="shared" si="34"/>
        <v/>
      </c>
      <c r="AI175" s="31" t="str">
        <f t="shared" si="35"/>
        <v/>
      </c>
      <c r="AJ175" s="25">
        <v>8</v>
      </c>
      <c r="AK175" s="25">
        <v>7</v>
      </c>
      <c r="AL175" s="25">
        <v>0</v>
      </c>
      <c r="AM175" s="23" t="s">
        <v>206</v>
      </c>
      <c r="AN175" s="23" t="s">
        <v>92</v>
      </c>
      <c r="AO175" s="25">
        <v>280</v>
      </c>
      <c r="AR175" s="32" t="str">
        <f t="shared" si="36"/>
        <v>4 doors</v>
      </c>
      <c r="AS175" s="23" t="s">
        <v>229</v>
      </c>
      <c r="AT175" s="23" t="s">
        <v>32</v>
      </c>
      <c r="AU175" s="23" t="str">
        <f t="shared" si="39"/>
        <v>CC</v>
      </c>
      <c r="AV175" s="34">
        <f t="shared" si="37"/>
        <v>1500.02</v>
      </c>
      <c r="AW175" s="23">
        <v>15</v>
      </c>
      <c r="AX175" s="23">
        <v>0</v>
      </c>
      <c r="AY175" s="23">
        <v>2</v>
      </c>
    </row>
    <row r="176" spans="1:51">
      <c r="A176" s="25">
        <v>280</v>
      </c>
      <c r="B176" s="23" t="s">
        <v>89</v>
      </c>
      <c r="C176" s="23" t="s">
        <v>124</v>
      </c>
      <c r="D176" s="23">
        <v>4</v>
      </c>
      <c r="E176" s="25" t="s">
        <v>284</v>
      </c>
      <c r="F176" s="25" t="s">
        <v>298</v>
      </c>
      <c r="G176" s="23" t="s">
        <v>27</v>
      </c>
      <c r="H176" s="23" t="s">
        <v>164</v>
      </c>
      <c r="I176" s="25">
        <v>1971</v>
      </c>
      <c r="J176" s="35">
        <v>30</v>
      </c>
      <c r="K176" s="35">
        <v>40</v>
      </c>
      <c r="L176" s="35">
        <v>20</v>
      </c>
      <c r="M176" s="25">
        <v>10</v>
      </c>
      <c r="N176" s="25">
        <v>10</v>
      </c>
      <c r="O176" s="25">
        <v>10</v>
      </c>
      <c r="P176" s="25">
        <v>10</v>
      </c>
      <c r="R176" s="30">
        <f t="shared" si="28"/>
        <v>40</v>
      </c>
      <c r="S176" s="37">
        <v>1</v>
      </c>
      <c r="T176" s="30">
        <f t="shared" si="40"/>
        <v>19.445142857142859</v>
      </c>
      <c r="U176" s="37">
        <v>1</v>
      </c>
      <c r="V176" s="30">
        <f t="shared" si="38"/>
        <v>24.373142857142859</v>
      </c>
      <c r="W176" s="25">
        <v>62</v>
      </c>
      <c r="X176" s="31">
        <f t="shared" si="29"/>
        <v>191.76000000000002</v>
      </c>
      <c r="Y176" s="25">
        <v>141</v>
      </c>
      <c r="Z176" s="25">
        <v>14</v>
      </c>
      <c r="AA176" s="25">
        <v>141</v>
      </c>
      <c r="AB176" s="37">
        <v>1</v>
      </c>
      <c r="AC176" s="30">
        <f t="shared" si="41"/>
        <v>200</v>
      </c>
      <c r="AD176" s="31">
        <f t="shared" si="30"/>
        <v>8</v>
      </c>
      <c r="AE176" s="31" t="str">
        <f t="shared" si="31"/>
        <v/>
      </c>
      <c r="AF176" s="31">
        <f t="shared" si="32"/>
        <v>7</v>
      </c>
      <c r="AG176" s="31" t="str">
        <f t="shared" si="33"/>
        <v/>
      </c>
      <c r="AH176" s="31" t="str">
        <f t="shared" si="34"/>
        <v/>
      </c>
      <c r="AI176" s="31" t="str">
        <f t="shared" si="35"/>
        <v/>
      </c>
      <c r="AJ176" s="25">
        <v>8</v>
      </c>
      <c r="AK176" s="25">
        <v>7</v>
      </c>
      <c r="AL176" s="25">
        <v>0</v>
      </c>
      <c r="AM176" s="23" t="s">
        <v>206</v>
      </c>
      <c r="AN176" s="23" t="s">
        <v>92</v>
      </c>
      <c r="AO176" s="25">
        <v>280</v>
      </c>
      <c r="AR176" s="32" t="str">
        <f t="shared" si="36"/>
        <v>4 doors</v>
      </c>
      <c r="AS176" s="23" t="s">
        <v>229</v>
      </c>
      <c r="AT176" s="23" t="s">
        <v>32</v>
      </c>
      <c r="AU176" s="23" t="str">
        <f t="shared" si="39"/>
        <v>CC</v>
      </c>
      <c r="AV176" s="34">
        <f t="shared" si="37"/>
        <v>1500.03</v>
      </c>
      <c r="AW176" s="23">
        <v>15</v>
      </c>
      <c r="AX176" s="23">
        <v>0</v>
      </c>
      <c r="AY176" s="23">
        <v>3</v>
      </c>
    </row>
    <row r="177" spans="1:51">
      <c r="A177" s="25">
        <v>280</v>
      </c>
      <c r="B177" s="23" t="s">
        <v>89</v>
      </c>
      <c r="C177" s="23" t="s">
        <v>124</v>
      </c>
      <c r="D177" s="23">
        <v>4</v>
      </c>
      <c r="E177" s="25" t="s">
        <v>285</v>
      </c>
      <c r="F177" s="25" t="s">
        <v>299</v>
      </c>
      <c r="G177" s="23" t="s">
        <v>27</v>
      </c>
      <c r="H177" s="23" t="s">
        <v>164</v>
      </c>
      <c r="I177" s="25">
        <v>1971</v>
      </c>
      <c r="J177" s="35">
        <v>30</v>
      </c>
      <c r="K177" s="35">
        <v>40</v>
      </c>
      <c r="L177" s="35">
        <v>20</v>
      </c>
      <c r="M177" s="25">
        <v>10</v>
      </c>
      <c r="N177" s="25">
        <v>10</v>
      </c>
      <c r="O177" s="25">
        <v>10</v>
      </c>
      <c r="P177" s="25">
        <v>10</v>
      </c>
      <c r="R177" s="30">
        <f t="shared" si="28"/>
        <v>40</v>
      </c>
      <c r="S177" s="37">
        <v>1</v>
      </c>
      <c r="T177" s="30">
        <f t="shared" si="40"/>
        <v>19.445142857142859</v>
      </c>
      <c r="U177" s="37">
        <v>1</v>
      </c>
      <c r="V177" s="30">
        <f t="shared" si="38"/>
        <v>24.373142857142859</v>
      </c>
      <c r="W177" s="25">
        <v>62</v>
      </c>
      <c r="X177" s="31">
        <f t="shared" si="29"/>
        <v>191.76000000000002</v>
      </c>
      <c r="Y177" s="25">
        <v>141</v>
      </c>
      <c r="Z177" s="25">
        <v>14</v>
      </c>
      <c r="AA177" s="25">
        <v>141</v>
      </c>
      <c r="AB177" s="37">
        <v>1</v>
      </c>
      <c r="AC177" s="30">
        <f t="shared" si="41"/>
        <v>200</v>
      </c>
      <c r="AD177" s="31">
        <f t="shared" si="30"/>
        <v>8</v>
      </c>
      <c r="AE177" s="31" t="str">
        <f t="shared" si="31"/>
        <v/>
      </c>
      <c r="AF177" s="31">
        <f t="shared" si="32"/>
        <v>7</v>
      </c>
      <c r="AG177" s="31" t="str">
        <f t="shared" si="33"/>
        <v/>
      </c>
      <c r="AH177" s="31" t="str">
        <f t="shared" si="34"/>
        <v/>
      </c>
      <c r="AI177" s="31" t="str">
        <f t="shared" si="35"/>
        <v/>
      </c>
      <c r="AJ177" s="25">
        <v>8</v>
      </c>
      <c r="AK177" s="25">
        <v>7</v>
      </c>
      <c r="AL177" s="25">
        <v>0</v>
      </c>
      <c r="AM177" s="23" t="s">
        <v>206</v>
      </c>
      <c r="AN177" s="23" t="s">
        <v>92</v>
      </c>
      <c r="AO177" s="25">
        <v>280</v>
      </c>
      <c r="AR177" s="32" t="str">
        <f t="shared" si="36"/>
        <v>4 doors</v>
      </c>
      <c r="AS177" s="23" t="s">
        <v>229</v>
      </c>
      <c r="AT177" s="23" t="s">
        <v>32</v>
      </c>
      <c r="AU177" s="23" t="str">
        <f t="shared" si="39"/>
        <v>CC</v>
      </c>
      <c r="AV177" s="34">
        <f t="shared" si="37"/>
        <v>1500.04</v>
      </c>
      <c r="AW177" s="23">
        <v>15</v>
      </c>
      <c r="AX177" s="23">
        <v>0</v>
      </c>
      <c r="AY177" s="23">
        <v>4</v>
      </c>
    </row>
    <row r="178" spans="1:51">
      <c r="A178" s="25">
        <v>280</v>
      </c>
      <c r="B178" s="23" t="s">
        <v>89</v>
      </c>
      <c r="C178" s="23" t="s">
        <v>124</v>
      </c>
      <c r="D178" s="23">
        <v>4</v>
      </c>
      <c r="E178" s="25" t="s">
        <v>286</v>
      </c>
      <c r="F178" s="25" t="s">
        <v>301</v>
      </c>
      <c r="G178" s="23" t="s">
        <v>27</v>
      </c>
      <c r="H178" s="23" t="s">
        <v>164</v>
      </c>
      <c r="I178" s="25">
        <v>1971</v>
      </c>
      <c r="J178" s="35">
        <v>30</v>
      </c>
      <c r="K178" s="35">
        <v>40</v>
      </c>
      <c r="L178" s="35">
        <v>20</v>
      </c>
      <c r="M178" s="25">
        <v>10</v>
      </c>
      <c r="N178" s="25">
        <v>10</v>
      </c>
      <c r="O178" s="25">
        <v>10</v>
      </c>
      <c r="P178" s="25">
        <v>10</v>
      </c>
      <c r="R178" s="30">
        <f t="shared" si="28"/>
        <v>40</v>
      </c>
      <c r="S178" s="37">
        <v>1</v>
      </c>
      <c r="T178" s="30">
        <f t="shared" si="40"/>
        <v>19.445142857142859</v>
      </c>
      <c r="U178" s="37">
        <v>1</v>
      </c>
      <c r="V178" s="30">
        <f t="shared" si="38"/>
        <v>24.373142857142859</v>
      </c>
      <c r="W178" s="25">
        <v>62</v>
      </c>
      <c r="X178" s="31">
        <f t="shared" si="29"/>
        <v>191.76000000000002</v>
      </c>
      <c r="Y178" s="25">
        <v>141</v>
      </c>
      <c r="Z178" s="25">
        <v>14</v>
      </c>
      <c r="AA178" s="25">
        <v>141</v>
      </c>
      <c r="AB178" s="37">
        <v>1</v>
      </c>
      <c r="AC178" s="30">
        <f t="shared" si="41"/>
        <v>200</v>
      </c>
      <c r="AD178" s="31">
        <f t="shared" si="30"/>
        <v>8</v>
      </c>
      <c r="AE178" s="31" t="str">
        <f t="shared" si="31"/>
        <v/>
      </c>
      <c r="AF178" s="31">
        <f t="shared" si="32"/>
        <v>7</v>
      </c>
      <c r="AG178" s="31" t="str">
        <f t="shared" si="33"/>
        <v/>
      </c>
      <c r="AH178" s="31" t="str">
        <f t="shared" si="34"/>
        <v/>
      </c>
      <c r="AI178" s="31" t="str">
        <f t="shared" si="35"/>
        <v/>
      </c>
      <c r="AJ178" s="25">
        <v>8</v>
      </c>
      <c r="AK178" s="25">
        <v>7</v>
      </c>
      <c r="AL178" s="25">
        <v>0</v>
      </c>
      <c r="AM178" s="23" t="s">
        <v>206</v>
      </c>
      <c r="AN178" s="23" t="s">
        <v>92</v>
      </c>
      <c r="AO178" s="25">
        <v>280</v>
      </c>
      <c r="AR178" s="32" t="str">
        <f t="shared" si="36"/>
        <v>4 doors</v>
      </c>
      <c r="AS178" s="23" t="s">
        <v>229</v>
      </c>
      <c r="AT178" s="23" t="s">
        <v>32</v>
      </c>
      <c r="AU178" s="23" t="str">
        <f t="shared" si="39"/>
        <v>CC</v>
      </c>
      <c r="AV178" s="34">
        <f t="shared" si="37"/>
        <v>1500.05</v>
      </c>
      <c r="AW178" s="23">
        <v>15</v>
      </c>
      <c r="AX178" s="23">
        <v>0</v>
      </c>
      <c r="AY178" s="23">
        <v>5</v>
      </c>
    </row>
    <row r="179" spans="1:51">
      <c r="A179" s="25">
        <v>280</v>
      </c>
      <c r="B179" s="23" t="s">
        <v>89</v>
      </c>
      <c r="C179" s="23" t="s">
        <v>124</v>
      </c>
      <c r="D179" s="23">
        <v>4</v>
      </c>
      <c r="E179" s="25" t="s">
        <v>287</v>
      </c>
      <c r="F179" s="25" t="s">
        <v>300</v>
      </c>
      <c r="G179" s="23" t="s">
        <v>27</v>
      </c>
      <c r="H179" s="23" t="s">
        <v>164</v>
      </c>
      <c r="I179" s="25">
        <v>1971</v>
      </c>
      <c r="J179" s="35">
        <v>30</v>
      </c>
      <c r="K179" s="35">
        <v>40</v>
      </c>
      <c r="L179" s="35">
        <v>20</v>
      </c>
      <c r="M179" s="25">
        <v>10</v>
      </c>
      <c r="N179" s="25">
        <v>10</v>
      </c>
      <c r="O179" s="25">
        <v>10</v>
      </c>
      <c r="P179" s="25">
        <v>10</v>
      </c>
      <c r="R179" s="30">
        <f t="shared" si="28"/>
        <v>40</v>
      </c>
      <c r="S179" s="37">
        <v>1</v>
      </c>
      <c r="T179" s="30">
        <f t="shared" si="40"/>
        <v>19.445142857142859</v>
      </c>
      <c r="U179" s="37">
        <v>1</v>
      </c>
      <c r="V179" s="30">
        <f t="shared" si="38"/>
        <v>24.373142857142859</v>
      </c>
      <c r="W179" s="25">
        <v>62</v>
      </c>
      <c r="X179" s="31">
        <f t="shared" si="29"/>
        <v>191.76000000000002</v>
      </c>
      <c r="Y179" s="25">
        <v>141</v>
      </c>
      <c r="Z179" s="25">
        <v>14</v>
      </c>
      <c r="AA179" s="25">
        <v>141</v>
      </c>
      <c r="AB179" s="37">
        <v>1</v>
      </c>
      <c r="AC179" s="30">
        <f t="shared" si="41"/>
        <v>200</v>
      </c>
      <c r="AD179" s="31">
        <f t="shared" si="30"/>
        <v>8</v>
      </c>
      <c r="AE179" s="31" t="str">
        <f t="shared" si="31"/>
        <v/>
      </c>
      <c r="AF179" s="31">
        <f t="shared" si="32"/>
        <v>7</v>
      </c>
      <c r="AG179" s="31" t="str">
        <f t="shared" si="33"/>
        <v/>
      </c>
      <c r="AH179" s="31" t="str">
        <f t="shared" si="34"/>
        <v/>
      </c>
      <c r="AI179" s="31" t="str">
        <f t="shared" si="35"/>
        <v/>
      </c>
      <c r="AJ179" s="25">
        <v>8</v>
      </c>
      <c r="AK179" s="25">
        <v>7</v>
      </c>
      <c r="AL179" s="25">
        <v>0</v>
      </c>
      <c r="AM179" s="23" t="s">
        <v>206</v>
      </c>
      <c r="AN179" s="23" t="s">
        <v>92</v>
      </c>
      <c r="AO179" s="25">
        <v>280</v>
      </c>
      <c r="AR179" s="32" t="str">
        <f t="shared" si="36"/>
        <v>4 doors</v>
      </c>
      <c r="AS179" s="23" t="s">
        <v>229</v>
      </c>
      <c r="AT179" s="23" t="s">
        <v>32</v>
      </c>
      <c r="AU179" s="23" t="str">
        <f t="shared" si="39"/>
        <v>CC</v>
      </c>
      <c r="AV179" s="34">
        <f t="shared" si="37"/>
        <v>1500.06</v>
      </c>
      <c r="AW179" s="23">
        <v>15</v>
      </c>
      <c r="AX179" s="23">
        <v>0</v>
      </c>
      <c r="AY179" s="23">
        <v>6</v>
      </c>
    </row>
    <row r="180" spans="1:51">
      <c r="A180" s="25">
        <v>280</v>
      </c>
      <c r="B180" s="23" t="s">
        <v>89</v>
      </c>
      <c r="C180" s="23" t="s">
        <v>124</v>
      </c>
      <c r="D180" s="23">
        <v>4</v>
      </c>
      <c r="E180" s="25" t="s">
        <v>85</v>
      </c>
      <c r="F180" s="25" t="s">
        <v>85</v>
      </c>
      <c r="G180" s="23" t="s">
        <v>27</v>
      </c>
      <c r="H180" s="23" t="s">
        <v>164</v>
      </c>
      <c r="I180" s="25">
        <v>1971</v>
      </c>
      <c r="J180" s="35">
        <v>30</v>
      </c>
      <c r="K180" s="35">
        <v>40</v>
      </c>
      <c r="L180" s="35">
        <v>20</v>
      </c>
      <c r="M180" s="25">
        <v>10</v>
      </c>
      <c r="N180" s="25">
        <v>10</v>
      </c>
      <c r="O180" s="25">
        <v>10</v>
      </c>
      <c r="P180" s="25">
        <v>10</v>
      </c>
      <c r="R180" s="30">
        <f t="shared" si="28"/>
        <v>40</v>
      </c>
      <c r="S180" s="37">
        <v>1</v>
      </c>
      <c r="T180" s="30">
        <f t="shared" si="40"/>
        <v>19.445142857142859</v>
      </c>
      <c r="U180" s="37">
        <v>1</v>
      </c>
      <c r="V180" s="30">
        <f t="shared" si="38"/>
        <v>24.373142857142859</v>
      </c>
      <c r="W180" s="25">
        <v>62</v>
      </c>
      <c r="X180" s="31">
        <f t="shared" si="29"/>
        <v>191.76000000000002</v>
      </c>
      <c r="Y180" s="25">
        <v>141</v>
      </c>
      <c r="Z180" s="25">
        <v>14</v>
      </c>
      <c r="AA180" s="25">
        <v>141</v>
      </c>
      <c r="AB180" s="37">
        <v>1</v>
      </c>
      <c r="AC180" s="30">
        <f t="shared" si="41"/>
        <v>200</v>
      </c>
      <c r="AD180" s="31">
        <f t="shared" si="30"/>
        <v>8</v>
      </c>
      <c r="AE180" s="31" t="str">
        <f t="shared" si="31"/>
        <v/>
      </c>
      <c r="AF180" s="31">
        <f t="shared" si="32"/>
        <v>7</v>
      </c>
      <c r="AG180" s="31" t="str">
        <f t="shared" si="33"/>
        <v/>
      </c>
      <c r="AH180" s="31" t="str">
        <f t="shared" si="34"/>
        <v/>
      </c>
      <c r="AI180" s="31" t="str">
        <f t="shared" si="35"/>
        <v/>
      </c>
      <c r="AJ180" s="25">
        <v>8</v>
      </c>
      <c r="AK180" s="25">
        <v>7</v>
      </c>
      <c r="AL180" s="25">
        <v>0</v>
      </c>
      <c r="AM180" s="23" t="s">
        <v>206</v>
      </c>
      <c r="AN180" s="23" t="s">
        <v>92</v>
      </c>
      <c r="AO180" s="25">
        <v>280</v>
      </c>
      <c r="AR180" s="32" t="str">
        <f t="shared" si="36"/>
        <v>4 doors</v>
      </c>
      <c r="AS180" s="23" t="s">
        <v>229</v>
      </c>
      <c r="AT180" s="23" t="s">
        <v>32</v>
      </c>
      <c r="AU180" s="23" t="str">
        <f t="shared" si="39"/>
        <v>Hungary</v>
      </c>
      <c r="AV180" s="34">
        <f t="shared" si="37"/>
        <v>1500.07</v>
      </c>
      <c r="AW180" s="23">
        <v>15</v>
      </c>
      <c r="AX180" s="23">
        <v>0</v>
      </c>
      <c r="AY180" s="23">
        <v>7</v>
      </c>
    </row>
    <row r="181" spans="1:51">
      <c r="A181" s="25">
        <v>280</v>
      </c>
      <c r="B181" s="23" t="s">
        <v>125</v>
      </c>
      <c r="C181" s="23" t="s">
        <v>124</v>
      </c>
      <c r="D181" s="23">
        <v>3</v>
      </c>
      <c r="E181" s="25" t="s">
        <v>30</v>
      </c>
      <c r="F181" s="25" t="s">
        <v>302</v>
      </c>
      <c r="G181" s="23" t="s">
        <v>27</v>
      </c>
      <c r="H181" s="23" t="s">
        <v>165</v>
      </c>
      <c r="I181" s="25">
        <v>1971</v>
      </c>
      <c r="J181" s="35">
        <v>30</v>
      </c>
      <c r="K181" s="35">
        <v>40</v>
      </c>
      <c r="L181" s="35">
        <v>20</v>
      </c>
      <c r="M181" s="25">
        <v>10</v>
      </c>
      <c r="N181" s="25">
        <v>10</v>
      </c>
      <c r="O181" s="25">
        <v>10</v>
      </c>
      <c r="R181" s="30">
        <f t="shared" si="28"/>
        <v>30</v>
      </c>
      <c r="S181" s="37">
        <v>1</v>
      </c>
      <c r="T181" s="30">
        <f t="shared" si="40"/>
        <v>18.730857142857143</v>
      </c>
      <c r="U181" s="37">
        <v>1</v>
      </c>
      <c r="V181" s="30">
        <f t="shared" si="38"/>
        <v>23.492190476190476</v>
      </c>
      <c r="W181" s="25">
        <v>78</v>
      </c>
      <c r="X181" s="31">
        <f t="shared" si="29"/>
        <v>191.76000000000002</v>
      </c>
      <c r="Y181" s="25">
        <v>141</v>
      </c>
      <c r="Z181" s="25">
        <v>14</v>
      </c>
      <c r="AA181" s="25">
        <v>116</v>
      </c>
      <c r="AB181" s="37">
        <v>1</v>
      </c>
      <c r="AC181" s="30">
        <f t="shared" si="41"/>
        <v>200</v>
      </c>
      <c r="AD181" s="31">
        <f t="shared" si="30"/>
        <v>8</v>
      </c>
      <c r="AE181" s="31" t="str">
        <f t="shared" si="31"/>
        <v/>
      </c>
      <c r="AF181" s="31">
        <f t="shared" si="32"/>
        <v>7</v>
      </c>
      <c r="AG181" s="31" t="str">
        <f t="shared" si="33"/>
        <v/>
      </c>
      <c r="AH181" s="31" t="str">
        <f t="shared" si="34"/>
        <v/>
      </c>
      <c r="AI181" s="31" t="str">
        <f t="shared" si="35"/>
        <v/>
      </c>
      <c r="AJ181" s="25">
        <v>8</v>
      </c>
      <c r="AK181" s="25">
        <v>7</v>
      </c>
      <c r="AL181" s="25">
        <v>0</v>
      </c>
      <c r="AM181" s="23" t="s">
        <v>206</v>
      </c>
      <c r="AN181" s="23" t="s">
        <v>92</v>
      </c>
      <c r="AO181" s="25">
        <v>280</v>
      </c>
      <c r="AR181" s="32" t="str">
        <f t="shared" si="36"/>
        <v>3 doors</v>
      </c>
      <c r="AT181" s="23" t="s">
        <v>270</v>
      </c>
      <c r="AU181" s="23" t="str">
        <f t="shared" si="39"/>
        <v>CC</v>
      </c>
      <c r="AV181" s="34">
        <f t="shared" si="37"/>
        <v>1510</v>
      </c>
      <c r="AW181" s="23">
        <v>15</v>
      </c>
      <c r="AX181" s="23">
        <v>10</v>
      </c>
      <c r="AY181" s="23">
        <v>0</v>
      </c>
    </row>
    <row r="182" spans="1:51">
      <c r="A182" s="25">
        <v>280</v>
      </c>
      <c r="B182" s="23" t="s">
        <v>125</v>
      </c>
      <c r="C182" s="23" t="s">
        <v>124</v>
      </c>
      <c r="D182" s="23">
        <v>3</v>
      </c>
      <c r="E182" s="25" t="s">
        <v>42</v>
      </c>
      <c r="F182" s="25" t="s">
        <v>303</v>
      </c>
      <c r="G182" s="23" t="s">
        <v>27</v>
      </c>
      <c r="H182" s="23" t="s">
        <v>165</v>
      </c>
      <c r="I182" s="25">
        <v>1971</v>
      </c>
      <c r="J182" s="35">
        <v>30</v>
      </c>
      <c r="K182" s="35">
        <v>40</v>
      </c>
      <c r="L182" s="35">
        <v>20</v>
      </c>
      <c r="M182" s="25">
        <v>10</v>
      </c>
      <c r="N182" s="25">
        <v>10</v>
      </c>
      <c r="O182" s="25">
        <v>10</v>
      </c>
      <c r="R182" s="30">
        <f t="shared" si="28"/>
        <v>30</v>
      </c>
      <c r="S182" s="37">
        <v>1</v>
      </c>
      <c r="T182" s="30">
        <f t="shared" si="40"/>
        <v>18.730857142857143</v>
      </c>
      <c r="U182" s="37">
        <v>1</v>
      </c>
      <c r="V182" s="30">
        <f t="shared" si="38"/>
        <v>23.492190476190476</v>
      </c>
      <c r="W182" s="25">
        <v>78</v>
      </c>
      <c r="X182" s="31">
        <f t="shared" si="29"/>
        <v>191.76000000000002</v>
      </c>
      <c r="Y182" s="25">
        <v>141</v>
      </c>
      <c r="Z182" s="25">
        <v>14</v>
      </c>
      <c r="AA182" s="25">
        <v>116</v>
      </c>
      <c r="AB182" s="37">
        <v>1</v>
      </c>
      <c r="AC182" s="30">
        <f t="shared" si="41"/>
        <v>200</v>
      </c>
      <c r="AD182" s="31">
        <f t="shared" si="30"/>
        <v>8</v>
      </c>
      <c r="AE182" s="31" t="str">
        <f t="shared" si="31"/>
        <v/>
      </c>
      <c r="AF182" s="31">
        <f t="shared" si="32"/>
        <v>7</v>
      </c>
      <c r="AG182" s="31" t="str">
        <f t="shared" si="33"/>
        <v/>
      </c>
      <c r="AH182" s="31" t="str">
        <f t="shared" si="34"/>
        <v/>
      </c>
      <c r="AI182" s="31" t="str">
        <f t="shared" si="35"/>
        <v/>
      </c>
      <c r="AJ182" s="25">
        <v>8</v>
      </c>
      <c r="AK182" s="25">
        <v>7</v>
      </c>
      <c r="AL182" s="25">
        <v>0</v>
      </c>
      <c r="AM182" s="23" t="s">
        <v>206</v>
      </c>
      <c r="AN182" s="23" t="s">
        <v>92</v>
      </c>
      <c r="AO182" s="25">
        <v>280</v>
      </c>
      <c r="AR182" s="32" t="str">
        <f t="shared" si="36"/>
        <v>3 doors</v>
      </c>
      <c r="AT182" s="23" t="s">
        <v>270</v>
      </c>
      <c r="AU182" s="23" t="str">
        <f t="shared" si="39"/>
        <v>CC</v>
      </c>
      <c r="AV182" s="34">
        <f t="shared" si="37"/>
        <v>1510.01</v>
      </c>
      <c r="AW182" s="23">
        <v>15</v>
      </c>
      <c r="AX182" s="23">
        <v>10</v>
      </c>
      <c r="AY182" s="23">
        <v>1</v>
      </c>
    </row>
    <row r="183" spans="1:51">
      <c r="A183" s="25">
        <v>280</v>
      </c>
      <c r="B183" s="23" t="s">
        <v>125</v>
      </c>
      <c r="C183" s="23" t="s">
        <v>124</v>
      </c>
      <c r="D183" s="23">
        <v>3</v>
      </c>
      <c r="E183" s="25" t="s">
        <v>43</v>
      </c>
      <c r="F183" s="25" t="s">
        <v>304</v>
      </c>
      <c r="G183" s="23" t="s">
        <v>27</v>
      </c>
      <c r="H183" s="23" t="s">
        <v>165</v>
      </c>
      <c r="I183" s="25">
        <v>1971</v>
      </c>
      <c r="J183" s="35">
        <v>30</v>
      </c>
      <c r="K183" s="35">
        <v>40</v>
      </c>
      <c r="L183" s="35">
        <v>20</v>
      </c>
      <c r="M183" s="25">
        <v>10</v>
      </c>
      <c r="N183" s="25">
        <v>10</v>
      </c>
      <c r="O183" s="25">
        <v>10</v>
      </c>
      <c r="R183" s="30">
        <f t="shared" si="28"/>
        <v>30</v>
      </c>
      <c r="S183" s="37">
        <v>1</v>
      </c>
      <c r="T183" s="30">
        <f t="shared" si="40"/>
        <v>18.730857142857143</v>
      </c>
      <c r="U183" s="37">
        <v>1</v>
      </c>
      <c r="V183" s="30">
        <f t="shared" si="38"/>
        <v>23.492190476190476</v>
      </c>
      <c r="W183" s="25">
        <v>78</v>
      </c>
      <c r="X183" s="31">
        <f t="shared" si="29"/>
        <v>191.76000000000002</v>
      </c>
      <c r="Y183" s="25">
        <v>141</v>
      </c>
      <c r="Z183" s="25">
        <v>14</v>
      </c>
      <c r="AA183" s="25">
        <v>116</v>
      </c>
      <c r="AB183" s="37">
        <v>1</v>
      </c>
      <c r="AC183" s="30">
        <f t="shared" si="41"/>
        <v>200</v>
      </c>
      <c r="AD183" s="31">
        <f t="shared" si="30"/>
        <v>8</v>
      </c>
      <c r="AE183" s="31" t="str">
        <f t="shared" si="31"/>
        <v/>
      </c>
      <c r="AF183" s="31">
        <f t="shared" si="32"/>
        <v>7</v>
      </c>
      <c r="AG183" s="31" t="str">
        <f t="shared" si="33"/>
        <v/>
      </c>
      <c r="AH183" s="31" t="str">
        <f t="shared" si="34"/>
        <v/>
      </c>
      <c r="AI183" s="31" t="str">
        <f t="shared" si="35"/>
        <v/>
      </c>
      <c r="AJ183" s="25">
        <v>8</v>
      </c>
      <c r="AK183" s="25">
        <v>7</v>
      </c>
      <c r="AL183" s="25">
        <v>0</v>
      </c>
      <c r="AM183" s="23" t="s">
        <v>206</v>
      </c>
      <c r="AN183" s="23" t="s">
        <v>92</v>
      </c>
      <c r="AO183" s="25">
        <v>280</v>
      </c>
      <c r="AR183" s="32" t="str">
        <f t="shared" si="36"/>
        <v>3 doors</v>
      </c>
      <c r="AT183" s="23" t="s">
        <v>270</v>
      </c>
      <c r="AU183" s="23" t="str">
        <f t="shared" si="39"/>
        <v>CC</v>
      </c>
      <c r="AV183" s="34">
        <f t="shared" si="37"/>
        <v>1510.02</v>
      </c>
      <c r="AW183" s="23">
        <v>15</v>
      </c>
      <c r="AX183" s="23">
        <v>10</v>
      </c>
      <c r="AY183" s="23">
        <v>2</v>
      </c>
    </row>
    <row r="184" spans="1:51">
      <c r="A184" s="25">
        <v>280</v>
      </c>
      <c r="B184" s="23" t="s">
        <v>125</v>
      </c>
      <c r="C184" s="23" t="s">
        <v>124</v>
      </c>
      <c r="D184" s="23">
        <v>3</v>
      </c>
      <c r="E184" s="25" t="s">
        <v>284</v>
      </c>
      <c r="F184" s="25" t="s">
        <v>305</v>
      </c>
      <c r="G184" s="23" t="s">
        <v>27</v>
      </c>
      <c r="H184" s="23" t="s">
        <v>165</v>
      </c>
      <c r="I184" s="25">
        <v>1971</v>
      </c>
      <c r="J184" s="35">
        <v>30</v>
      </c>
      <c r="K184" s="35">
        <v>40</v>
      </c>
      <c r="L184" s="35">
        <v>20</v>
      </c>
      <c r="M184" s="25">
        <v>10</v>
      </c>
      <c r="N184" s="25">
        <v>10</v>
      </c>
      <c r="O184" s="25">
        <v>10</v>
      </c>
      <c r="R184" s="30">
        <f t="shared" si="28"/>
        <v>30</v>
      </c>
      <c r="S184" s="37">
        <v>1</v>
      </c>
      <c r="T184" s="30">
        <f t="shared" si="40"/>
        <v>18.730857142857143</v>
      </c>
      <c r="U184" s="37">
        <v>1</v>
      </c>
      <c r="V184" s="30">
        <f t="shared" si="38"/>
        <v>23.492190476190476</v>
      </c>
      <c r="W184" s="25">
        <v>78</v>
      </c>
      <c r="X184" s="31">
        <f t="shared" si="29"/>
        <v>191.76000000000002</v>
      </c>
      <c r="Y184" s="25">
        <v>141</v>
      </c>
      <c r="Z184" s="25">
        <v>14</v>
      </c>
      <c r="AA184" s="25">
        <v>116</v>
      </c>
      <c r="AB184" s="37">
        <v>1</v>
      </c>
      <c r="AC184" s="30">
        <f t="shared" si="41"/>
        <v>200</v>
      </c>
      <c r="AD184" s="31">
        <f t="shared" si="30"/>
        <v>8</v>
      </c>
      <c r="AE184" s="31" t="str">
        <f t="shared" si="31"/>
        <v/>
      </c>
      <c r="AF184" s="31">
        <f t="shared" si="32"/>
        <v>7</v>
      </c>
      <c r="AG184" s="31" t="str">
        <f t="shared" si="33"/>
        <v/>
      </c>
      <c r="AH184" s="31" t="str">
        <f t="shared" si="34"/>
        <v/>
      </c>
      <c r="AI184" s="31" t="str">
        <f t="shared" si="35"/>
        <v/>
      </c>
      <c r="AJ184" s="25">
        <v>8</v>
      </c>
      <c r="AK184" s="25">
        <v>7</v>
      </c>
      <c r="AL184" s="25">
        <v>0</v>
      </c>
      <c r="AM184" s="23" t="s">
        <v>206</v>
      </c>
      <c r="AN184" s="23" t="s">
        <v>92</v>
      </c>
      <c r="AO184" s="25">
        <v>280</v>
      </c>
      <c r="AR184" s="32" t="str">
        <f t="shared" si="36"/>
        <v>3 doors</v>
      </c>
      <c r="AT184" s="23" t="s">
        <v>270</v>
      </c>
      <c r="AU184" s="23" t="str">
        <f t="shared" si="39"/>
        <v>CC</v>
      </c>
      <c r="AV184" s="34">
        <f t="shared" si="37"/>
        <v>1510.03</v>
      </c>
      <c r="AW184" s="23">
        <v>15</v>
      </c>
      <c r="AX184" s="23">
        <v>10</v>
      </c>
      <c r="AY184" s="23">
        <v>3</v>
      </c>
    </row>
    <row r="185" spans="1:51">
      <c r="A185" s="25">
        <v>280</v>
      </c>
      <c r="B185" s="23" t="s">
        <v>125</v>
      </c>
      <c r="C185" s="23" t="s">
        <v>124</v>
      </c>
      <c r="D185" s="23">
        <v>3</v>
      </c>
      <c r="E185" s="25" t="s">
        <v>285</v>
      </c>
      <c r="F185" s="25" t="s">
        <v>306</v>
      </c>
      <c r="G185" s="23" t="s">
        <v>27</v>
      </c>
      <c r="H185" s="23" t="s">
        <v>165</v>
      </c>
      <c r="I185" s="25">
        <v>1971</v>
      </c>
      <c r="J185" s="35">
        <v>30</v>
      </c>
      <c r="K185" s="35">
        <v>40</v>
      </c>
      <c r="L185" s="35">
        <v>20</v>
      </c>
      <c r="M185" s="25">
        <v>10</v>
      </c>
      <c r="N185" s="25">
        <v>10</v>
      </c>
      <c r="O185" s="25">
        <v>10</v>
      </c>
      <c r="R185" s="30">
        <f t="shared" si="28"/>
        <v>30</v>
      </c>
      <c r="S185" s="37">
        <v>1</v>
      </c>
      <c r="T185" s="30">
        <f t="shared" si="40"/>
        <v>18.730857142857143</v>
      </c>
      <c r="U185" s="37">
        <v>1</v>
      </c>
      <c r="V185" s="30">
        <f t="shared" si="38"/>
        <v>23.492190476190476</v>
      </c>
      <c r="W185" s="25">
        <v>78</v>
      </c>
      <c r="X185" s="31">
        <f t="shared" si="29"/>
        <v>191.76000000000002</v>
      </c>
      <c r="Y185" s="25">
        <v>141</v>
      </c>
      <c r="Z185" s="25">
        <v>14</v>
      </c>
      <c r="AA185" s="25">
        <v>116</v>
      </c>
      <c r="AB185" s="37">
        <v>1</v>
      </c>
      <c r="AC185" s="30">
        <f t="shared" si="41"/>
        <v>200</v>
      </c>
      <c r="AD185" s="31">
        <f t="shared" si="30"/>
        <v>8</v>
      </c>
      <c r="AE185" s="31" t="str">
        <f t="shared" si="31"/>
        <v/>
      </c>
      <c r="AF185" s="31">
        <f t="shared" si="32"/>
        <v>7</v>
      </c>
      <c r="AG185" s="31" t="str">
        <f t="shared" si="33"/>
        <v/>
      </c>
      <c r="AH185" s="31" t="str">
        <f t="shared" si="34"/>
        <v/>
      </c>
      <c r="AI185" s="31" t="str">
        <f t="shared" si="35"/>
        <v/>
      </c>
      <c r="AJ185" s="25">
        <v>8</v>
      </c>
      <c r="AK185" s="25">
        <v>7</v>
      </c>
      <c r="AL185" s="25">
        <v>0</v>
      </c>
      <c r="AM185" s="23" t="s">
        <v>206</v>
      </c>
      <c r="AN185" s="23" t="s">
        <v>92</v>
      </c>
      <c r="AO185" s="25">
        <v>280</v>
      </c>
      <c r="AR185" s="32" t="str">
        <f t="shared" si="36"/>
        <v>3 doors</v>
      </c>
      <c r="AT185" s="23" t="s">
        <v>270</v>
      </c>
      <c r="AU185" s="23" t="str">
        <f t="shared" si="39"/>
        <v>CC</v>
      </c>
      <c r="AV185" s="34">
        <f t="shared" si="37"/>
        <v>1510.04</v>
      </c>
      <c r="AW185" s="23">
        <v>15</v>
      </c>
      <c r="AX185" s="23">
        <v>10</v>
      </c>
      <c r="AY185" s="23">
        <v>4</v>
      </c>
    </row>
    <row r="186" spans="1:51">
      <c r="A186" s="25">
        <v>280</v>
      </c>
      <c r="B186" s="23" t="s">
        <v>125</v>
      </c>
      <c r="C186" s="23" t="s">
        <v>124</v>
      </c>
      <c r="D186" s="23">
        <v>3</v>
      </c>
      <c r="E186" s="25" t="s">
        <v>286</v>
      </c>
      <c r="F186" s="25" t="s">
        <v>307</v>
      </c>
      <c r="G186" s="23" t="s">
        <v>27</v>
      </c>
      <c r="H186" s="23" t="s">
        <v>165</v>
      </c>
      <c r="I186" s="25">
        <v>1971</v>
      </c>
      <c r="J186" s="35">
        <v>30</v>
      </c>
      <c r="K186" s="35">
        <v>40</v>
      </c>
      <c r="L186" s="35">
        <v>20</v>
      </c>
      <c r="M186" s="25">
        <v>10</v>
      </c>
      <c r="N186" s="25">
        <v>10</v>
      </c>
      <c r="O186" s="25">
        <v>10</v>
      </c>
      <c r="R186" s="30">
        <f t="shared" si="28"/>
        <v>30</v>
      </c>
      <c r="S186" s="37">
        <v>1</v>
      </c>
      <c r="T186" s="30">
        <f t="shared" si="40"/>
        <v>18.730857142857143</v>
      </c>
      <c r="U186" s="37">
        <v>1</v>
      </c>
      <c r="V186" s="30">
        <f t="shared" si="38"/>
        <v>23.492190476190476</v>
      </c>
      <c r="W186" s="25">
        <v>78</v>
      </c>
      <c r="X186" s="31">
        <f t="shared" si="29"/>
        <v>191.76000000000002</v>
      </c>
      <c r="Y186" s="25">
        <v>141</v>
      </c>
      <c r="Z186" s="25">
        <v>14</v>
      </c>
      <c r="AA186" s="25">
        <v>116</v>
      </c>
      <c r="AB186" s="37">
        <v>1</v>
      </c>
      <c r="AC186" s="30">
        <f t="shared" si="41"/>
        <v>200</v>
      </c>
      <c r="AD186" s="31">
        <f t="shared" si="30"/>
        <v>8</v>
      </c>
      <c r="AE186" s="31" t="str">
        <f t="shared" si="31"/>
        <v/>
      </c>
      <c r="AF186" s="31">
        <f t="shared" si="32"/>
        <v>7</v>
      </c>
      <c r="AG186" s="31" t="str">
        <f t="shared" si="33"/>
        <v/>
      </c>
      <c r="AH186" s="31" t="str">
        <f t="shared" si="34"/>
        <v/>
      </c>
      <c r="AI186" s="31" t="str">
        <f t="shared" si="35"/>
        <v/>
      </c>
      <c r="AJ186" s="25">
        <v>8</v>
      </c>
      <c r="AK186" s="25">
        <v>7</v>
      </c>
      <c r="AL186" s="25">
        <v>0</v>
      </c>
      <c r="AM186" s="23" t="s">
        <v>206</v>
      </c>
      <c r="AN186" s="23" t="s">
        <v>92</v>
      </c>
      <c r="AO186" s="25">
        <v>280</v>
      </c>
      <c r="AR186" s="32" t="str">
        <f t="shared" si="36"/>
        <v>3 doors</v>
      </c>
      <c r="AT186" s="23" t="s">
        <v>270</v>
      </c>
      <c r="AU186" s="23" t="str">
        <f t="shared" si="39"/>
        <v>CC</v>
      </c>
      <c r="AV186" s="34">
        <f t="shared" si="37"/>
        <v>1510.05</v>
      </c>
      <c r="AW186" s="23">
        <v>15</v>
      </c>
      <c r="AX186" s="23">
        <v>10</v>
      </c>
      <c r="AY186" s="23">
        <v>5</v>
      </c>
    </row>
    <row r="187" spans="1:51">
      <c r="A187" s="25">
        <v>280</v>
      </c>
      <c r="B187" s="23" t="s">
        <v>125</v>
      </c>
      <c r="C187" s="23" t="s">
        <v>290</v>
      </c>
      <c r="D187" s="23">
        <v>2</v>
      </c>
      <c r="E187" s="25" t="s">
        <v>30</v>
      </c>
      <c r="F187" s="25" t="s">
        <v>302</v>
      </c>
      <c r="G187" s="23" t="s">
        <v>27</v>
      </c>
      <c r="H187" s="23" t="s">
        <v>291</v>
      </c>
      <c r="I187" s="25">
        <v>1971</v>
      </c>
      <c r="J187" s="35">
        <v>30</v>
      </c>
      <c r="K187" s="35">
        <v>40</v>
      </c>
      <c r="L187" s="35">
        <v>20</v>
      </c>
      <c r="M187" s="25">
        <v>10</v>
      </c>
      <c r="N187" s="25">
        <v>10</v>
      </c>
      <c r="R187" s="30">
        <f t="shared" si="28"/>
        <v>20</v>
      </c>
      <c r="S187" s="37">
        <v>1</v>
      </c>
      <c r="T187" s="30">
        <f t="shared" si="40"/>
        <v>18.016571428571428</v>
      </c>
      <c r="U187" s="37">
        <v>1</v>
      </c>
      <c r="V187" s="30">
        <f t="shared" si="38"/>
        <v>22.777904761904761</v>
      </c>
      <c r="W187" s="25">
        <v>78</v>
      </c>
      <c r="X187" s="31">
        <f t="shared" si="29"/>
        <v>191.76000000000002</v>
      </c>
      <c r="Y187" s="25">
        <v>141</v>
      </c>
      <c r="Z187" s="25">
        <v>14</v>
      </c>
      <c r="AA187" s="25">
        <v>116</v>
      </c>
      <c r="AB187" s="37">
        <v>1</v>
      </c>
      <c r="AC187" s="30">
        <f t="shared" si="41"/>
        <v>200</v>
      </c>
      <c r="AD187" s="31">
        <f t="shared" si="30"/>
        <v>8</v>
      </c>
      <c r="AE187" s="31" t="str">
        <f t="shared" si="31"/>
        <v/>
      </c>
      <c r="AF187" s="31">
        <f t="shared" si="32"/>
        <v>7</v>
      </c>
      <c r="AG187" s="31" t="str">
        <f t="shared" si="33"/>
        <v/>
      </c>
      <c r="AH187" s="31" t="str">
        <f t="shared" si="34"/>
        <v/>
      </c>
      <c r="AI187" s="31" t="str">
        <f t="shared" si="35"/>
        <v/>
      </c>
      <c r="AJ187" s="25">
        <v>8</v>
      </c>
      <c r="AK187" s="25">
        <v>7</v>
      </c>
      <c r="AL187" s="25">
        <v>0</v>
      </c>
      <c r="AM187" s="23" t="s">
        <v>206</v>
      </c>
      <c r="AN187" s="23" t="s">
        <v>92</v>
      </c>
      <c r="AO187" s="25">
        <v>280</v>
      </c>
      <c r="AR187" s="32" t="str">
        <f t="shared" si="36"/>
        <v>2 doors</v>
      </c>
      <c r="AS187" s="23" t="s">
        <v>290</v>
      </c>
      <c r="AT187" s="23" t="s">
        <v>270</v>
      </c>
      <c r="AU187" s="23" t="str">
        <f t="shared" si="39"/>
        <v>CC</v>
      </c>
      <c r="AV187" s="34">
        <f t="shared" si="37"/>
        <v>1511</v>
      </c>
      <c r="AW187" s="23">
        <v>15</v>
      </c>
      <c r="AX187" s="23">
        <v>11</v>
      </c>
      <c r="AY187" s="23">
        <v>0</v>
      </c>
    </row>
    <row r="188" spans="1:51">
      <c r="A188" s="25">
        <v>280</v>
      </c>
      <c r="B188" s="23" t="s">
        <v>125</v>
      </c>
      <c r="C188" s="23" t="s">
        <v>290</v>
      </c>
      <c r="D188" s="23">
        <v>2</v>
      </c>
      <c r="E188" s="25" t="s">
        <v>42</v>
      </c>
      <c r="F188" s="25" t="s">
        <v>303</v>
      </c>
      <c r="G188" s="23" t="s">
        <v>27</v>
      </c>
      <c r="H188" s="23" t="s">
        <v>291</v>
      </c>
      <c r="I188" s="25">
        <v>1971</v>
      </c>
      <c r="J188" s="35">
        <v>30</v>
      </c>
      <c r="K188" s="35">
        <v>40</v>
      </c>
      <c r="L188" s="35">
        <v>20</v>
      </c>
      <c r="M188" s="25">
        <v>10</v>
      </c>
      <c r="N188" s="25">
        <v>10</v>
      </c>
      <c r="R188" s="30">
        <f t="shared" si="28"/>
        <v>20</v>
      </c>
      <c r="S188" s="37">
        <v>1</v>
      </c>
      <c r="T188" s="30">
        <f t="shared" si="40"/>
        <v>18.016571428571428</v>
      </c>
      <c r="U188" s="37">
        <v>1</v>
      </c>
      <c r="V188" s="30">
        <f t="shared" si="38"/>
        <v>22.777904761904761</v>
      </c>
      <c r="W188" s="25">
        <v>78</v>
      </c>
      <c r="X188" s="31">
        <f t="shared" si="29"/>
        <v>191.76000000000002</v>
      </c>
      <c r="Y188" s="25">
        <v>141</v>
      </c>
      <c r="Z188" s="25">
        <v>14</v>
      </c>
      <c r="AA188" s="25">
        <v>116</v>
      </c>
      <c r="AB188" s="37">
        <v>1</v>
      </c>
      <c r="AC188" s="30">
        <f t="shared" si="41"/>
        <v>200</v>
      </c>
      <c r="AD188" s="31">
        <f t="shared" si="30"/>
        <v>8</v>
      </c>
      <c r="AE188" s="31" t="str">
        <f t="shared" si="31"/>
        <v/>
      </c>
      <c r="AF188" s="31">
        <f t="shared" si="32"/>
        <v>7</v>
      </c>
      <c r="AG188" s="31" t="str">
        <f t="shared" si="33"/>
        <v/>
      </c>
      <c r="AH188" s="31" t="str">
        <f t="shared" si="34"/>
        <v/>
      </c>
      <c r="AI188" s="31" t="str">
        <f t="shared" si="35"/>
        <v/>
      </c>
      <c r="AJ188" s="25">
        <v>8</v>
      </c>
      <c r="AK188" s="25">
        <v>7</v>
      </c>
      <c r="AL188" s="25">
        <v>0</v>
      </c>
      <c r="AM188" s="23" t="s">
        <v>206</v>
      </c>
      <c r="AN188" s="23" t="s">
        <v>92</v>
      </c>
      <c r="AO188" s="25">
        <v>280</v>
      </c>
      <c r="AR188" s="32" t="str">
        <f t="shared" si="36"/>
        <v>2 doors</v>
      </c>
      <c r="AS188" s="23" t="s">
        <v>290</v>
      </c>
      <c r="AT188" s="23" t="s">
        <v>270</v>
      </c>
      <c r="AU188" s="23" t="str">
        <f t="shared" si="39"/>
        <v>CC</v>
      </c>
      <c r="AV188" s="34">
        <f t="shared" si="37"/>
        <v>1511.01</v>
      </c>
      <c r="AW188" s="23">
        <v>15</v>
      </c>
      <c r="AX188" s="23">
        <v>11</v>
      </c>
      <c r="AY188" s="23">
        <v>1</v>
      </c>
    </row>
    <row r="189" spans="1:51">
      <c r="A189" s="25">
        <v>280</v>
      </c>
      <c r="B189" s="23" t="s">
        <v>125</v>
      </c>
      <c r="C189" s="23" t="s">
        <v>290</v>
      </c>
      <c r="D189" s="23">
        <v>2</v>
      </c>
      <c r="E189" s="25" t="s">
        <v>43</v>
      </c>
      <c r="F189" s="25" t="s">
        <v>304</v>
      </c>
      <c r="G189" s="23" t="s">
        <v>27</v>
      </c>
      <c r="H189" s="23" t="s">
        <v>291</v>
      </c>
      <c r="I189" s="25">
        <v>1971</v>
      </c>
      <c r="J189" s="35">
        <v>30</v>
      </c>
      <c r="K189" s="35">
        <v>40</v>
      </c>
      <c r="L189" s="35">
        <v>20</v>
      </c>
      <c r="M189" s="25">
        <v>10</v>
      </c>
      <c r="N189" s="25">
        <v>10</v>
      </c>
      <c r="R189" s="30">
        <f t="shared" si="28"/>
        <v>20</v>
      </c>
      <c r="S189" s="37">
        <v>1</v>
      </c>
      <c r="T189" s="30">
        <f t="shared" si="40"/>
        <v>18.016571428571428</v>
      </c>
      <c r="U189" s="37">
        <v>1</v>
      </c>
      <c r="V189" s="30">
        <f t="shared" si="38"/>
        <v>22.777904761904761</v>
      </c>
      <c r="W189" s="25">
        <v>78</v>
      </c>
      <c r="X189" s="31">
        <f t="shared" si="29"/>
        <v>191.76000000000002</v>
      </c>
      <c r="Y189" s="25">
        <v>141</v>
      </c>
      <c r="Z189" s="25">
        <v>14</v>
      </c>
      <c r="AA189" s="25">
        <v>116</v>
      </c>
      <c r="AB189" s="37">
        <v>1</v>
      </c>
      <c r="AC189" s="30">
        <f t="shared" si="41"/>
        <v>200</v>
      </c>
      <c r="AD189" s="31">
        <f t="shared" si="30"/>
        <v>8</v>
      </c>
      <c r="AE189" s="31" t="str">
        <f t="shared" si="31"/>
        <v/>
      </c>
      <c r="AF189" s="31">
        <f t="shared" si="32"/>
        <v>7</v>
      </c>
      <c r="AG189" s="31" t="str">
        <f t="shared" si="33"/>
        <v/>
      </c>
      <c r="AH189" s="31" t="str">
        <f t="shared" si="34"/>
        <v/>
      </c>
      <c r="AI189" s="31" t="str">
        <f t="shared" si="35"/>
        <v/>
      </c>
      <c r="AJ189" s="25">
        <v>8</v>
      </c>
      <c r="AK189" s="25">
        <v>7</v>
      </c>
      <c r="AL189" s="25">
        <v>0</v>
      </c>
      <c r="AM189" s="23" t="s">
        <v>206</v>
      </c>
      <c r="AN189" s="23" t="s">
        <v>92</v>
      </c>
      <c r="AO189" s="25">
        <v>280</v>
      </c>
      <c r="AR189" s="32" t="str">
        <f t="shared" si="36"/>
        <v>2 doors</v>
      </c>
      <c r="AS189" s="23" t="s">
        <v>290</v>
      </c>
      <c r="AT189" s="23" t="s">
        <v>270</v>
      </c>
      <c r="AU189" s="23" t="str">
        <f t="shared" si="39"/>
        <v>CC</v>
      </c>
      <c r="AV189" s="34">
        <f t="shared" si="37"/>
        <v>1511.02</v>
      </c>
      <c r="AW189" s="23">
        <v>15</v>
      </c>
      <c r="AX189" s="23">
        <v>11</v>
      </c>
      <c r="AY189" s="23">
        <v>2</v>
      </c>
    </row>
    <row r="190" spans="1:51">
      <c r="A190" s="25">
        <v>280</v>
      </c>
      <c r="B190" s="23" t="s">
        <v>125</v>
      </c>
      <c r="C190" s="23" t="s">
        <v>290</v>
      </c>
      <c r="D190" s="23">
        <v>2</v>
      </c>
      <c r="E190" s="25" t="s">
        <v>284</v>
      </c>
      <c r="F190" s="25" t="s">
        <v>305</v>
      </c>
      <c r="G190" s="23" t="s">
        <v>27</v>
      </c>
      <c r="H190" s="23" t="s">
        <v>291</v>
      </c>
      <c r="I190" s="25">
        <v>1971</v>
      </c>
      <c r="J190" s="35">
        <v>30</v>
      </c>
      <c r="K190" s="35">
        <v>40</v>
      </c>
      <c r="L190" s="35">
        <v>20</v>
      </c>
      <c r="M190" s="25">
        <v>10</v>
      </c>
      <c r="N190" s="25">
        <v>10</v>
      </c>
      <c r="R190" s="30">
        <f t="shared" si="28"/>
        <v>20</v>
      </c>
      <c r="S190" s="37">
        <v>1</v>
      </c>
      <c r="T190" s="30">
        <f t="shared" si="40"/>
        <v>18.016571428571428</v>
      </c>
      <c r="U190" s="37">
        <v>1</v>
      </c>
      <c r="V190" s="30">
        <f t="shared" si="38"/>
        <v>22.777904761904761</v>
      </c>
      <c r="W190" s="25">
        <v>78</v>
      </c>
      <c r="X190" s="31">
        <f t="shared" si="29"/>
        <v>191.76000000000002</v>
      </c>
      <c r="Y190" s="25">
        <v>141</v>
      </c>
      <c r="Z190" s="25">
        <v>14</v>
      </c>
      <c r="AA190" s="25">
        <v>116</v>
      </c>
      <c r="AB190" s="37">
        <v>1</v>
      </c>
      <c r="AC190" s="30">
        <f t="shared" si="41"/>
        <v>200</v>
      </c>
      <c r="AD190" s="31">
        <f t="shared" si="30"/>
        <v>8</v>
      </c>
      <c r="AE190" s="31" t="str">
        <f t="shared" si="31"/>
        <v/>
      </c>
      <c r="AF190" s="31">
        <f t="shared" si="32"/>
        <v>7</v>
      </c>
      <c r="AG190" s="31" t="str">
        <f t="shared" si="33"/>
        <v/>
      </c>
      <c r="AH190" s="31" t="str">
        <f t="shared" si="34"/>
        <v/>
      </c>
      <c r="AI190" s="31" t="str">
        <f t="shared" si="35"/>
        <v/>
      </c>
      <c r="AJ190" s="25">
        <v>8</v>
      </c>
      <c r="AK190" s="25">
        <v>7</v>
      </c>
      <c r="AL190" s="25">
        <v>0</v>
      </c>
      <c r="AM190" s="23" t="s">
        <v>206</v>
      </c>
      <c r="AN190" s="23" t="s">
        <v>92</v>
      </c>
      <c r="AO190" s="25">
        <v>280</v>
      </c>
      <c r="AR190" s="32" t="str">
        <f t="shared" si="36"/>
        <v>2 doors</v>
      </c>
      <c r="AS190" s="23" t="s">
        <v>290</v>
      </c>
      <c r="AT190" s="23" t="s">
        <v>270</v>
      </c>
      <c r="AU190" s="23" t="str">
        <f t="shared" si="39"/>
        <v>CC</v>
      </c>
      <c r="AV190" s="34">
        <f t="shared" si="37"/>
        <v>1511.03</v>
      </c>
      <c r="AW190" s="23">
        <v>15</v>
      </c>
      <c r="AX190" s="23">
        <v>11</v>
      </c>
      <c r="AY190" s="23">
        <v>3</v>
      </c>
    </row>
    <row r="191" spans="1:51">
      <c r="A191" s="25">
        <v>280</v>
      </c>
      <c r="B191" s="23" t="s">
        <v>125</v>
      </c>
      <c r="C191" s="23" t="s">
        <v>290</v>
      </c>
      <c r="D191" s="23">
        <v>2</v>
      </c>
      <c r="E191" s="25" t="s">
        <v>285</v>
      </c>
      <c r="F191" s="25" t="s">
        <v>309</v>
      </c>
      <c r="G191" s="23" t="s">
        <v>27</v>
      </c>
      <c r="H191" s="23" t="s">
        <v>291</v>
      </c>
      <c r="I191" s="25">
        <v>1971</v>
      </c>
      <c r="J191" s="35">
        <v>30</v>
      </c>
      <c r="K191" s="35">
        <v>40</v>
      </c>
      <c r="L191" s="35">
        <v>20</v>
      </c>
      <c r="M191" s="25">
        <v>10</v>
      </c>
      <c r="N191" s="25">
        <v>10</v>
      </c>
      <c r="R191" s="30">
        <f t="shared" si="28"/>
        <v>20</v>
      </c>
      <c r="S191" s="37">
        <v>1</v>
      </c>
      <c r="T191" s="30">
        <f t="shared" si="40"/>
        <v>18.016571428571428</v>
      </c>
      <c r="U191" s="37">
        <v>1</v>
      </c>
      <c r="V191" s="30">
        <f t="shared" si="38"/>
        <v>22.777904761904761</v>
      </c>
      <c r="W191" s="25">
        <v>78</v>
      </c>
      <c r="X191" s="31">
        <f t="shared" si="29"/>
        <v>191.76000000000002</v>
      </c>
      <c r="Y191" s="25">
        <v>141</v>
      </c>
      <c r="Z191" s="25">
        <v>14</v>
      </c>
      <c r="AA191" s="25">
        <v>116</v>
      </c>
      <c r="AB191" s="37">
        <v>1</v>
      </c>
      <c r="AC191" s="30">
        <f t="shared" si="41"/>
        <v>200</v>
      </c>
      <c r="AD191" s="31">
        <f t="shared" si="30"/>
        <v>8</v>
      </c>
      <c r="AE191" s="31" t="str">
        <f t="shared" si="31"/>
        <v/>
      </c>
      <c r="AF191" s="31">
        <f t="shared" si="32"/>
        <v>7</v>
      </c>
      <c r="AG191" s="31" t="str">
        <f t="shared" si="33"/>
        <v/>
      </c>
      <c r="AH191" s="31" t="str">
        <f t="shared" si="34"/>
        <v/>
      </c>
      <c r="AI191" s="31" t="str">
        <f t="shared" si="35"/>
        <v/>
      </c>
      <c r="AJ191" s="25">
        <v>8</v>
      </c>
      <c r="AK191" s="25">
        <v>7</v>
      </c>
      <c r="AL191" s="25">
        <v>0</v>
      </c>
      <c r="AM191" s="23" t="s">
        <v>206</v>
      </c>
      <c r="AN191" s="23" t="s">
        <v>92</v>
      </c>
      <c r="AO191" s="25">
        <v>280</v>
      </c>
      <c r="AR191" s="32" t="str">
        <f t="shared" si="36"/>
        <v>2 doors</v>
      </c>
      <c r="AS191" s="23" t="s">
        <v>290</v>
      </c>
      <c r="AT191" s="23" t="s">
        <v>270</v>
      </c>
      <c r="AU191" s="23" t="str">
        <f t="shared" si="39"/>
        <v>CC</v>
      </c>
      <c r="AV191" s="34">
        <f t="shared" si="37"/>
        <v>1511.04</v>
      </c>
      <c r="AW191" s="23">
        <v>15</v>
      </c>
      <c r="AX191" s="23">
        <v>11</v>
      </c>
      <c r="AY191" s="23">
        <v>4</v>
      </c>
    </row>
    <row r="192" spans="1:51">
      <c r="A192" s="25">
        <v>280</v>
      </c>
      <c r="B192" s="23" t="s">
        <v>125</v>
      </c>
      <c r="C192" s="23" t="s">
        <v>290</v>
      </c>
      <c r="D192" s="23">
        <v>2</v>
      </c>
      <c r="E192" s="25" t="s">
        <v>286</v>
      </c>
      <c r="F192" s="25" t="s">
        <v>306</v>
      </c>
      <c r="G192" s="23" t="s">
        <v>27</v>
      </c>
      <c r="H192" s="23" t="s">
        <v>291</v>
      </c>
      <c r="I192" s="25">
        <v>1971</v>
      </c>
      <c r="J192" s="35">
        <v>30</v>
      </c>
      <c r="K192" s="35">
        <v>40</v>
      </c>
      <c r="L192" s="35">
        <v>20</v>
      </c>
      <c r="M192" s="25">
        <v>10</v>
      </c>
      <c r="N192" s="25">
        <v>10</v>
      </c>
      <c r="R192" s="30">
        <f t="shared" si="28"/>
        <v>20</v>
      </c>
      <c r="S192" s="37">
        <v>1</v>
      </c>
      <c r="T192" s="30">
        <f t="shared" si="40"/>
        <v>18.016571428571428</v>
      </c>
      <c r="U192" s="37">
        <v>1</v>
      </c>
      <c r="V192" s="30">
        <f t="shared" si="38"/>
        <v>22.777904761904761</v>
      </c>
      <c r="W192" s="25">
        <v>78</v>
      </c>
      <c r="X192" s="31">
        <f t="shared" si="29"/>
        <v>191.76000000000002</v>
      </c>
      <c r="Y192" s="25">
        <v>141</v>
      </c>
      <c r="Z192" s="25">
        <v>14</v>
      </c>
      <c r="AA192" s="25">
        <v>116</v>
      </c>
      <c r="AB192" s="37">
        <v>1</v>
      </c>
      <c r="AC192" s="30">
        <f t="shared" si="41"/>
        <v>200</v>
      </c>
      <c r="AD192" s="31">
        <f t="shared" si="30"/>
        <v>8</v>
      </c>
      <c r="AE192" s="31" t="str">
        <f t="shared" si="31"/>
        <v/>
      </c>
      <c r="AF192" s="31">
        <f t="shared" si="32"/>
        <v>7</v>
      </c>
      <c r="AG192" s="31" t="str">
        <f t="shared" si="33"/>
        <v/>
      </c>
      <c r="AH192" s="31" t="str">
        <f t="shared" si="34"/>
        <v/>
      </c>
      <c r="AI192" s="31" t="str">
        <f t="shared" si="35"/>
        <v/>
      </c>
      <c r="AJ192" s="25">
        <v>8</v>
      </c>
      <c r="AK192" s="25">
        <v>7</v>
      </c>
      <c r="AL192" s="25">
        <v>0</v>
      </c>
      <c r="AM192" s="23" t="s">
        <v>206</v>
      </c>
      <c r="AN192" s="23" t="s">
        <v>92</v>
      </c>
      <c r="AO192" s="25">
        <v>280</v>
      </c>
      <c r="AR192" s="32" t="str">
        <f t="shared" si="36"/>
        <v>2 doors</v>
      </c>
      <c r="AS192" s="23" t="s">
        <v>290</v>
      </c>
      <c r="AT192" s="23" t="s">
        <v>270</v>
      </c>
      <c r="AU192" s="23" t="str">
        <f t="shared" si="39"/>
        <v>CC</v>
      </c>
      <c r="AV192" s="34">
        <f t="shared" si="37"/>
        <v>1511.05</v>
      </c>
      <c r="AW192" s="23">
        <v>15</v>
      </c>
      <c r="AX192" s="23">
        <v>11</v>
      </c>
      <c r="AY192" s="23">
        <v>5</v>
      </c>
    </row>
    <row r="193" spans="1:51">
      <c r="A193" s="25">
        <v>280</v>
      </c>
      <c r="B193" s="23" t="s">
        <v>125</v>
      </c>
      <c r="C193" s="23" t="s">
        <v>290</v>
      </c>
      <c r="D193" s="23">
        <v>2</v>
      </c>
      <c r="E193" s="25" t="s">
        <v>287</v>
      </c>
      <c r="F193" s="25" t="s">
        <v>307</v>
      </c>
      <c r="G193" s="23" t="s">
        <v>27</v>
      </c>
      <c r="H193" s="23" t="s">
        <v>291</v>
      </c>
      <c r="I193" s="25">
        <v>1971</v>
      </c>
      <c r="J193" s="35">
        <v>30</v>
      </c>
      <c r="K193" s="35">
        <v>40</v>
      </c>
      <c r="L193" s="35">
        <v>20</v>
      </c>
      <c r="M193" s="25">
        <v>10</v>
      </c>
      <c r="N193" s="25">
        <v>10</v>
      </c>
      <c r="R193" s="30">
        <f t="shared" si="28"/>
        <v>20</v>
      </c>
      <c r="S193" s="37">
        <v>1</v>
      </c>
      <c r="T193" s="30">
        <f t="shared" si="40"/>
        <v>18.016571428571428</v>
      </c>
      <c r="U193" s="37">
        <v>1</v>
      </c>
      <c r="V193" s="30">
        <f t="shared" si="38"/>
        <v>22.777904761904761</v>
      </c>
      <c r="W193" s="25">
        <v>78</v>
      </c>
      <c r="X193" s="31">
        <f t="shared" si="29"/>
        <v>191.76000000000002</v>
      </c>
      <c r="Y193" s="25">
        <v>141</v>
      </c>
      <c r="Z193" s="25">
        <v>14</v>
      </c>
      <c r="AA193" s="25">
        <v>116</v>
      </c>
      <c r="AB193" s="37">
        <v>1</v>
      </c>
      <c r="AC193" s="30">
        <f t="shared" si="41"/>
        <v>200</v>
      </c>
      <c r="AD193" s="31">
        <f t="shared" si="30"/>
        <v>8</v>
      </c>
      <c r="AE193" s="31" t="str">
        <f t="shared" si="31"/>
        <v/>
      </c>
      <c r="AF193" s="31">
        <f t="shared" si="32"/>
        <v>7</v>
      </c>
      <c r="AG193" s="31" t="str">
        <f t="shared" si="33"/>
        <v/>
      </c>
      <c r="AH193" s="31" t="str">
        <f t="shared" si="34"/>
        <v/>
      </c>
      <c r="AI193" s="31" t="str">
        <f t="shared" si="35"/>
        <v/>
      </c>
      <c r="AJ193" s="25">
        <v>8</v>
      </c>
      <c r="AK193" s="25">
        <v>7</v>
      </c>
      <c r="AL193" s="25">
        <v>0</v>
      </c>
      <c r="AM193" s="23" t="s">
        <v>206</v>
      </c>
      <c r="AN193" s="23" t="s">
        <v>92</v>
      </c>
      <c r="AO193" s="25">
        <v>280</v>
      </c>
      <c r="AR193" s="32" t="str">
        <f t="shared" si="36"/>
        <v>2 doors</v>
      </c>
      <c r="AS193" s="23" t="s">
        <v>290</v>
      </c>
      <c r="AT193" s="23" t="s">
        <v>270</v>
      </c>
      <c r="AU193" s="23" t="str">
        <f t="shared" si="39"/>
        <v>CC</v>
      </c>
      <c r="AV193" s="34">
        <f t="shared" si="37"/>
        <v>1511.06</v>
      </c>
      <c r="AW193" s="23">
        <v>15</v>
      </c>
      <c r="AX193" s="23">
        <v>11</v>
      </c>
      <c r="AY193" s="23">
        <v>6</v>
      </c>
    </row>
    <row r="194" spans="1:51">
      <c r="A194" s="25">
        <v>280</v>
      </c>
      <c r="B194" s="23" t="s">
        <v>89</v>
      </c>
      <c r="D194" s="23">
        <v>4</v>
      </c>
      <c r="E194" s="25" t="s">
        <v>30</v>
      </c>
      <c r="F194" s="25" t="s">
        <v>295</v>
      </c>
      <c r="G194" s="23" t="s">
        <v>27</v>
      </c>
      <c r="H194" s="23" t="s">
        <v>166</v>
      </c>
      <c r="I194" s="25">
        <v>1980</v>
      </c>
      <c r="J194" s="35">
        <v>30</v>
      </c>
      <c r="K194" s="35">
        <v>40</v>
      </c>
      <c r="L194" s="35">
        <v>20</v>
      </c>
      <c r="M194" s="25">
        <v>10</v>
      </c>
      <c r="N194" s="25">
        <v>10</v>
      </c>
      <c r="O194" s="25">
        <v>10</v>
      </c>
      <c r="P194" s="25">
        <v>10</v>
      </c>
      <c r="R194" s="30">
        <f t="shared" ref="R194:R347" si="42">SUM(M194:Q194)</f>
        <v>40</v>
      </c>
      <c r="S194" s="37">
        <v>1</v>
      </c>
      <c r="T194" s="30">
        <f t="shared" si="40"/>
        <v>20.73714285714286</v>
      </c>
      <c r="U194" s="37">
        <v>1</v>
      </c>
      <c r="V194" s="30">
        <f t="shared" si="38"/>
        <v>26.957142857142859</v>
      </c>
      <c r="W194" s="25">
        <v>66</v>
      </c>
      <c r="X194" s="31">
        <f t="shared" ref="X194:X347" si="43">Y194*1.36</f>
        <v>217.60000000000002</v>
      </c>
      <c r="Y194" s="25">
        <v>160</v>
      </c>
      <c r="Z194" s="25">
        <v>14</v>
      </c>
      <c r="AA194" s="25">
        <v>141</v>
      </c>
      <c r="AB194" s="37">
        <v>1</v>
      </c>
      <c r="AC194" s="30">
        <f t="shared" si="41"/>
        <v>200</v>
      </c>
      <c r="AD194" s="31">
        <f t="shared" ref="AD194:AD347" si="44">IF(AJ194&gt;8, AJ194-8, AJ194)</f>
        <v>8</v>
      </c>
      <c r="AE194" s="31" t="str">
        <f t="shared" ref="AE194:AE347" si="45">IF(AJ194&gt;8, 8, "")</f>
        <v/>
      </c>
      <c r="AF194" s="31">
        <f t="shared" ref="AF194:AF347" si="46">IF(AK194&gt;8, AK194-8, IF(AK194=0, "", AK194))</f>
        <v>7</v>
      </c>
      <c r="AG194" s="31" t="str">
        <f t="shared" ref="AG194:AG347" si="47">IF(AK194&gt;8, 8, "")</f>
        <v/>
      </c>
      <c r="AH194" s="31" t="str">
        <f t="shared" ref="AH194:AH347" si="48">IF(AL194&gt;8, AL194-8, IF(AL194=0, "", AL194))</f>
        <v/>
      </c>
      <c r="AI194" s="31" t="str">
        <f t="shared" ref="AI194:AI347" si="49">IF(AL194&gt;8, 8, "")</f>
        <v/>
      </c>
      <c r="AJ194" s="25">
        <v>8</v>
      </c>
      <c r="AK194" s="25">
        <v>7</v>
      </c>
      <c r="AL194" s="25">
        <v>0</v>
      </c>
      <c r="AM194" s="23" t="s">
        <v>206</v>
      </c>
      <c r="AN194" s="23" t="s">
        <v>92</v>
      </c>
      <c r="AO194" s="25">
        <v>280</v>
      </c>
      <c r="AR194" s="32" t="str">
        <f t="shared" ref="AR194:AR347" si="50">IF(Q194&gt;0, "5 doors", IF(P194&gt;0, "4 doors", IF(O194&gt;0, "3 doors", IF(N194&gt;0, "2 doors", "1 door"))))</f>
        <v>4 doors</v>
      </c>
      <c r="AT194" s="23" t="s">
        <v>32</v>
      </c>
      <c r="AU194" s="23" t="str">
        <f t="shared" si="39"/>
        <v>CC</v>
      </c>
      <c r="AV194" s="34">
        <f t="shared" ref="AV194:AV347" si="51">(AW194*100)+AX194+(AY194/100)</f>
        <v>1520</v>
      </c>
      <c r="AW194" s="23">
        <v>15</v>
      </c>
      <c r="AX194" s="23">
        <v>20</v>
      </c>
      <c r="AY194" s="23">
        <v>0</v>
      </c>
    </row>
    <row r="195" spans="1:51">
      <c r="A195" s="25">
        <v>280</v>
      </c>
      <c r="B195" s="23" t="s">
        <v>89</v>
      </c>
      <c r="D195" s="23">
        <v>4</v>
      </c>
      <c r="E195" s="25" t="s">
        <v>42</v>
      </c>
      <c r="F195" s="25" t="s">
        <v>296</v>
      </c>
      <c r="G195" s="23" t="s">
        <v>27</v>
      </c>
      <c r="H195" s="23" t="s">
        <v>166</v>
      </c>
      <c r="I195" s="25">
        <v>1980</v>
      </c>
      <c r="J195" s="35">
        <v>30</v>
      </c>
      <c r="K195" s="35">
        <v>40</v>
      </c>
      <c r="L195" s="35">
        <v>20</v>
      </c>
      <c r="M195" s="25">
        <v>10</v>
      </c>
      <c r="N195" s="25">
        <v>10</v>
      </c>
      <c r="O195" s="25">
        <v>10</v>
      </c>
      <c r="P195" s="25">
        <v>10</v>
      </c>
      <c r="R195" s="30">
        <f t="shared" si="42"/>
        <v>40</v>
      </c>
      <c r="S195" s="37">
        <v>1</v>
      </c>
      <c r="T195" s="30">
        <f t="shared" si="40"/>
        <v>20.73714285714286</v>
      </c>
      <c r="U195" s="37">
        <v>1</v>
      </c>
      <c r="V195" s="30">
        <f t="shared" si="38"/>
        <v>26.957142857142859</v>
      </c>
      <c r="W195" s="25">
        <v>66</v>
      </c>
      <c r="X195" s="31">
        <f t="shared" si="43"/>
        <v>217.60000000000002</v>
      </c>
      <c r="Y195" s="25">
        <v>160</v>
      </c>
      <c r="Z195" s="25">
        <v>14</v>
      </c>
      <c r="AA195" s="25">
        <v>141</v>
      </c>
      <c r="AB195" s="37">
        <v>1</v>
      </c>
      <c r="AC195" s="30">
        <f t="shared" si="41"/>
        <v>200</v>
      </c>
      <c r="AD195" s="31">
        <f t="shared" si="44"/>
        <v>8</v>
      </c>
      <c r="AE195" s="31" t="str">
        <f t="shared" si="45"/>
        <v/>
      </c>
      <c r="AF195" s="31">
        <f t="shared" si="46"/>
        <v>7</v>
      </c>
      <c r="AG195" s="31" t="str">
        <f t="shared" si="47"/>
        <v/>
      </c>
      <c r="AH195" s="31" t="str">
        <f t="shared" si="48"/>
        <v/>
      </c>
      <c r="AI195" s="31" t="str">
        <f t="shared" si="49"/>
        <v/>
      </c>
      <c r="AJ195" s="25">
        <v>8</v>
      </c>
      <c r="AK195" s="25">
        <v>7</v>
      </c>
      <c r="AL195" s="25">
        <v>0</v>
      </c>
      <c r="AM195" s="23" t="s">
        <v>206</v>
      </c>
      <c r="AN195" s="23" t="s">
        <v>92</v>
      </c>
      <c r="AO195" s="25">
        <v>280</v>
      </c>
      <c r="AR195" s="32" t="str">
        <f t="shared" si="50"/>
        <v>4 doors</v>
      </c>
      <c r="AT195" s="23" t="s">
        <v>32</v>
      </c>
      <c r="AU195" s="23" t="str">
        <f t="shared" ref="AU195:AU258" si="52">IF(ISNUMBER(SEARCH("CC", E195)), "CC", "Hungary")</f>
        <v>CC</v>
      </c>
      <c r="AV195" s="34">
        <f t="shared" si="51"/>
        <v>1520.01</v>
      </c>
      <c r="AW195" s="23">
        <v>15</v>
      </c>
      <c r="AX195" s="23">
        <v>20</v>
      </c>
      <c r="AY195" s="23">
        <v>1</v>
      </c>
    </row>
    <row r="196" spans="1:51">
      <c r="A196" s="25">
        <v>280</v>
      </c>
      <c r="B196" s="23" t="s">
        <v>89</v>
      </c>
      <c r="D196" s="23">
        <v>4</v>
      </c>
      <c r="E196" s="25" t="s">
        <v>43</v>
      </c>
      <c r="F196" s="25" t="s">
        <v>297</v>
      </c>
      <c r="G196" s="23" t="s">
        <v>27</v>
      </c>
      <c r="H196" s="23" t="s">
        <v>166</v>
      </c>
      <c r="I196" s="25">
        <v>1980</v>
      </c>
      <c r="J196" s="35">
        <v>30</v>
      </c>
      <c r="K196" s="35">
        <v>40</v>
      </c>
      <c r="L196" s="35">
        <v>20</v>
      </c>
      <c r="M196" s="25">
        <v>10</v>
      </c>
      <c r="N196" s="25">
        <v>10</v>
      </c>
      <c r="O196" s="25">
        <v>10</v>
      </c>
      <c r="P196" s="25">
        <v>10</v>
      </c>
      <c r="R196" s="30">
        <f t="shared" si="42"/>
        <v>40</v>
      </c>
      <c r="S196" s="37">
        <v>1</v>
      </c>
      <c r="T196" s="30">
        <f t="shared" si="40"/>
        <v>20.73714285714286</v>
      </c>
      <c r="U196" s="37">
        <v>1</v>
      </c>
      <c r="V196" s="30">
        <f t="shared" si="38"/>
        <v>26.957142857142859</v>
      </c>
      <c r="W196" s="25">
        <v>66</v>
      </c>
      <c r="X196" s="31">
        <f t="shared" si="43"/>
        <v>217.60000000000002</v>
      </c>
      <c r="Y196" s="25">
        <v>160</v>
      </c>
      <c r="Z196" s="25">
        <v>14</v>
      </c>
      <c r="AA196" s="25">
        <v>141</v>
      </c>
      <c r="AB196" s="37">
        <v>1</v>
      </c>
      <c r="AC196" s="30">
        <f t="shared" si="41"/>
        <v>200</v>
      </c>
      <c r="AD196" s="31">
        <f t="shared" si="44"/>
        <v>8</v>
      </c>
      <c r="AE196" s="31" t="str">
        <f t="shared" si="45"/>
        <v/>
      </c>
      <c r="AF196" s="31">
        <f t="shared" si="46"/>
        <v>7</v>
      </c>
      <c r="AG196" s="31" t="str">
        <f t="shared" si="47"/>
        <v/>
      </c>
      <c r="AH196" s="31" t="str">
        <f t="shared" si="48"/>
        <v/>
      </c>
      <c r="AI196" s="31" t="str">
        <f t="shared" si="49"/>
        <v/>
      </c>
      <c r="AJ196" s="25">
        <v>8</v>
      </c>
      <c r="AK196" s="25">
        <v>7</v>
      </c>
      <c r="AL196" s="25">
        <v>0</v>
      </c>
      <c r="AM196" s="23" t="s">
        <v>206</v>
      </c>
      <c r="AN196" s="23" t="s">
        <v>92</v>
      </c>
      <c r="AO196" s="25">
        <v>280</v>
      </c>
      <c r="AR196" s="32" t="str">
        <f t="shared" si="50"/>
        <v>4 doors</v>
      </c>
      <c r="AT196" s="23" t="s">
        <v>32</v>
      </c>
      <c r="AU196" s="23" t="str">
        <f t="shared" si="52"/>
        <v>CC</v>
      </c>
      <c r="AV196" s="34">
        <f t="shared" si="51"/>
        <v>1520.02</v>
      </c>
      <c r="AW196" s="23">
        <v>15</v>
      </c>
      <c r="AX196" s="23">
        <v>20</v>
      </c>
      <c r="AY196" s="23">
        <v>2</v>
      </c>
    </row>
    <row r="197" spans="1:51">
      <c r="A197" s="25">
        <v>280</v>
      </c>
      <c r="B197" s="23" t="s">
        <v>89</v>
      </c>
      <c r="D197" s="23">
        <v>4</v>
      </c>
      <c r="E197" s="25" t="s">
        <v>284</v>
      </c>
      <c r="F197" s="25" t="s">
        <v>298</v>
      </c>
      <c r="G197" s="23" t="s">
        <v>27</v>
      </c>
      <c r="H197" s="23" t="s">
        <v>166</v>
      </c>
      <c r="I197" s="25">
        <v>1980</v>
      </c>
      <c r="J197" s="35">
        <v>30</v>
      </c>
      <c r="K197" s="35">
        <v>40</v>
      </c>
      <c r="L197" s="35">
        <v>20</v>
      </c>
      <c r="M197" s="25">
        <v>10</v>
      </c>
      <c r="N197" s="25">
        <v>10</v>
      </c>
      <c r="O197" s="25">
        <v>10</v>
      </c>
      <c r="P197" s="25">
        <v>10</v>
      </c>
      <c r="R197" s="30">
        <f t="shared" si="42"/>
        <v>40</v>
      </c>
      <c r="S197" s="37">
        <v>1</v>
      </c>
      <c r="T197" s="30">
        <f t="shared" si="40"/>
        <v>20.73714285714286</v>
      </c>
      <c r="U197" s="37">
        <v>1</v>
      </c>
      <c r="V197" s="30">
        <f t="shared" si="38"/>
        <v>26.957142857142859</v>
      </c>
      <c r="W197" s="25">
        <v>66</v>
      </c>
      <c r="X197" s="31">
        <f t="shared" si="43"/>
        <v>217.60000000000002</v>
      </c>
      <c r="Y197" s="25">
        <v>160</v>
      </c>
      <c r="Z197" s="25">
        <v>14</v>
      </c>
      <c r="AA197" s="25">
        <v>141</v>
      </c>
      <c r="AB197" s="37">
        <v>1</v>
      </c>
      <c r="AC197" s="30">
        <f t="shared" si="41"/>
        <v>200</v>
      </c>
      <c r="AD197" s="31">
        <f t="shared" si="44"/>
        <v>8</v>
      </c>
      <c r="AE197" s="31" t="str">
        <f t="shared" si="45"/>
        <v/>
      </c>
      <c r="AF197" s="31">
        <f t="shared" si="46"/>
        <v>7</v>
      </c>
      <c r="AG197" s="31" t="str">
        <f t="shared" si="47"/>
        <v/>
      </c>
      <c r="AH197" s="31" t="str">
        <f t="shared" si="48"/>
        <v/>
      </c>
      <c r="AI197" s="31" t="str">
        <f t="shared" si="49"/>
        <v/>
      </c>
      <c r="AJ197" s="25">
        <v>8</v>
      </c>
      <c r="AK197" s="25">
        <v>7</v>
      </c>
      <c r="AL197" s="25">
        <v>0</v>
      </c>
      <c r="AM197" s="23" t="s">
        <v>206</v>
      </c>
      <c r="AN197" s="23" t="s">
        <v>92</v>
      </c>
      <c r="AO197" s="25">
        <v>280</v>
      </c>
      <c r="AR197" s="32" t="str">
        <f t="shared" si="50"/>
        <v>4 doors</v>
      </c>
      <c r="AT197" s="23" t="s">
        <v>32</v>
      </c>
      <c r="AU197" s="23" t="str">
        <f t="shared" si="52"/>
        <v>CC</v>
      </c>
      <c r="AV197" s="34">
        <f t="shared" si="51"/>
        <v>1520.03</v>
      </c>
      <c r="AW197" s="23">
        <v>15</v>
      </c>
      <c r="AX197" s="23">
        <v>20</v>
      </c>
      <c r="AY197" s="23">
        <v>3</v>
      </c>
    </row>
    <row r="198" spans="1:51">
      <c r="A198" s="25">
        <v>280</v>
      </c>
      <c r="B198" s="23" t="s">
        <v>89</v>
      </c>
      <c r="D198" s="23">
        <v>4</v>
      </c>
      <c r="E198" s="25" t="s">
        <v>285</v>
      </c>
      <c r="F198" s="25" t="s">
        <v>301</v>
      </c>
      <c r="G198" s="23" t="s">
        <v>27</v>
      </c>
      <c r="H198" s="23" t="s">
        <v>166</v>
      </c>
      <c r="I198" s="25">
        <v>1980</v>
      </c>
      <c r="J198" s="35">
        <v>30</v>
      </c>
      <c r="K198" s="35">
        <v>40</v>
      </c>
      <c r="L198" s="35">
        <v>20</v>
      </c>
      <c r="M198" s="25">
        <v>10</v>
      </c>
      <c r="N198" s="25">
        <v>10</v>
      </c>
      <c r="O198" s="25">
        <v>10</v>
      </c>
      <c r="P198" s="25">
        <v>10</v>
      </c>
      <c r="R198" s="30">
        <f t="shared" si="42"/>
        <v>40</v>
      </c>
      <c r="S198" s="37">
        <v>1</v>
      </c>
      <c r="T198" s="30">
        <f t="shared" si="40"/>
        <v>20.73714285714286</v>
      </c>
      <c r="U198" s="37">
        <v>1</v>
      </c>
      <c r="V198" s="30">
        <f t="shared" si="38"/>
        <v>26.957142857142859</v>
      </c>
      <c r="W198" s="25">
        <v>66</v>
      </c>
      <c r="X198" s="31">
        <f t="shared" si="43"/>
        <v>217.60000000000002</v>
      </c>
      <c r="Y198" s="25">
        <v>160</v>
      </c>
      <c r="Z198" s="25">
        <v>14</v>
      </c>
      <c r="AA198" s="25">
        <v>141</v>
      </c>
      <c r="AB198" s="37">
        <v>1</v>
      </c>
      <c r="AC198" s="30">
        <f t="shared" si="41"/>
        <v>200</v>
      </c>
      <c r="AD198" s="31">
        <f t="shared" si="44"/>
        <v>8</v>
      </c>
      <c r="AE198" s="31" t="str">
        <f t="shared" si="45"/>
        <v/>
      </c>
      <c r="AF198" s="31">
        <f t="shared" si="46"/>
        <v>7</v>
      </c>
      <c r="AG198" s="31" t="str">
        <f t="shared" si="47"/>
        <v/>
      </c>
      <c r="AH198" s="31" t="str">
        <f t="shared" si="48"/>
        <v/>
      </c>
      <c r="AI198" s="31" t="str">
        <f t="shared" si="49"/>
        <v/>
      </c>
      <c r="AJ198" s="25">
        <v>8</v>
      </c>
      <c r="AK198" s="25">
        <v>7</v>
      </c>
      <c r="AL198" s="25">
        <v>0</v>
      </c>
      <c r="AM198" s="23" t="s">
        <v>206</v>
      </c>
      <c r="AN198" s="23" t="s">
        <v>92</v>
      </c>
      <c r="AO198" s="25">
        <v>280</v>
      </c>
      <c r="AR198" s="32" t="str">
        <f t="shared" si="50"/>
        <v>4 doors</v>
      </c>
      <c r="AT198" s="23" t="s">
        <v>32</v>
      </c>
      <c r="AU198" s="23" t="str">
        <f t="shared" si="52"/>
        <v>CC</v>
      </c>
      <c r="AV198" s="34">
        <f t="shared" si="51"/>
        <v>1520.04</v>
      </c>
      <c r="AW198" s="23">
        <v>15</v>
      </c>
      <c r="AX198" s="23">
        <v>20</v>
      </c>
      <c r="AY198" s="23">
        <v>4</v>
      </c>
    </row>
    <row r="199" spans="1:51">
      <c r="A199" s="25">
        <v>280</v>
      </c>
      <c r="B199" s="23" t="s">
        <v>89</v>
      </c>
      <c r="D199" s="23">
        <v>4</v>
      </c>
      <c r="E199" s="25" t="s">
        <v>286</v>
      </c>
      <c r="F199" s="25" t="s">
        <v>300</v>
      </c>
      <c r="G199" s="23" t="s">
        <v>27</v>
      </c>
      <c r="H199" s="23" t="s">
        <v>166</v>
      </c>
      <c r="I199" s="25">
        <v>1980</v>
      </c>
      <c r="J199" s="35">
        <v>30</v>
      </c>
      <c r="K199" s="35">
        <v>40</v>
      </c>
      <c r="L199" s="35">
        <v>20</v>
      </c>
      <c r="M199" s="25">
        <v>10</v>
      </c>
      <c r="N199" s="25">
        <v>10</v>
      </c>
      <c r="O199" s="25">
        <v>10</v>
      </c>
      <c r="P199" s="25">
        <v>10</v>
      </c>
      <c r="R199" s="30">
        <f t="shared" si="42"/>
        <v>40</v>
      </c>
      <c r="S199" s="37">
        <v>1</v>
      </c>
      <c r="T199" s="30">
        <f t="shared" si="40"/>
        <v>20.73714285714286</v>
      </c>
      <c r="U199" s="37">
        <v>1</v>
      </c>
      <c r="V199" s="30">
        <f t="shared" si="38"/>
        <v>26.957142857142859</v>
      </c>
      <c r="W199" s="25">
        <v>66</v>
      </c>
      <c r="X199" s="31">
        <f t="shared" si="43"/>
        <v>217.60000000000002</v>
      </c>
      <c r="Y199" s="25">
        <v>160</v>
      </c>
      <c r="Z199" s="25">
        <v>14</v>
      </c>
      <c r="AA199" s="25">
        <v>141</v>
      </c>
      <c r="AB199" s="37">
        <v>1</v>
      </c>
      <c r="AC199" s="30">
        <f t="shared" si="41"/>
        <v>200</v>
      </c>
      <c r="AD199" s="31">
        <f t="shared" si="44"/>
        <v>8</v>
      </c>
      <c r="AE199" s="31" t="str">
        <f t="shared" si="45"/>
        <v/>
      </c>
      <c r="AF199" s="31">
        <f t="shared" si="46"/>
        <v>7</v>
      </c>
      <c r="AG199" s="31" t="str">
        <f t="shared" si="47"/>
        <v/>
      </c>
      <c r="AH199" s="31" t="str">
        <f t="shared" si="48"/>
        <v/>
      </c>
      <c r="AI199" s="31" t="str">
        <f t="shared" si="49"/>
        <v/>
      </c>
      <c r="AJ199" s="25">
        <v>8</v>
      </c>
      <c r="AK199" s="25">
        <v>7</v>
      </c>
      <c r="AL199" s="25">
        <v>0</v>
      </c>
      <c r="AM199" s="23" t="s">
        <v>206</v>
      </c>
      <c r="AN199" s="23" t="s">
        <v>92</v>
      </c>
      <c r="AO199" s="25">
        <v>280</v>
      </c>
      <c r="AR199" s="32" t="str">
        <f t="shared" si="50"/>
        <v>4 doors</v>
      </c>
      <c r="AT199" s="23" t="s">
        <v>32</v>
      </c>
      <c r="AU199" s="23" t="str">
        <f t="shared" si="52"/>
        <v>CC</v>
      </c>
      <c r="AV199" s="34">
        <f t="shared" si="51"/>
        <v>1520.05</v>
      </c>
      <c r="AW199" s="23">
        <v>15</v>
      </c>
      <c r="AX199" s="23">
        <v>20</v>
      </c>
      <c r="AY199" s="23">
        <v>5</v>
      </c>
    </row>
    <row r="200" spans="1:51">
      <c r="A200" s="25">
        <v>280</v>
      </c>
      <c r="B200" s="23" t="s">
        <v>89</v>
      </c>
      <c r="D200" s="23">
        <v>4</v>
      </c>
      <c r="E200" s="25" t="s">
        <v>287</v>
      </c>
      <c r="F200" s="25" t="s">
        <v>315</v>
      </c>
      <c r="G200" s="23" t="s">
        <v>27</v>
      </c>
      <c r="H200" s="23" t="s">
        <v>166</v>
      </c>
      <c r="I200" s="25">
        <v>1980</v>
      </c>
      <c r="J200" s="35">
        <v>30</v>
      </c>
      <c r="K200" s="35">
        <v>40</v>
      </c>
      <c r="L200" s="35">
        <v>20</v>
      </c>
      <c r="M200" s="25">
        <v>10</v>
      </c>
      <c r="N200" s="25">
        <v>10</v>
      </c>
      <c r="O200" s="25">
        <v>10</v>
      </c>
      <c r="P200" s="25">
        <v>10</v>
      </c>
      <c r="R200" s="30">
        <f t="shared" si="42"/>
        <v>40</v>
      </c>
      <c r="S200" s="37">
        <v>1</v>
      </c>
      <c r="T200" s="30">
        <f t="shared" si="40"/>
        <v>20.73714285714286</v>
      </c>
      <c r="U200" s="37">
        <v>1</v>
      </c>
      <c r="V200" s="30">
        <f t="shared" si="38"/>
        <v>26.957142857142859</v>
      </c>
      <c r="W200" s="25">
        <v>66</v>
      </c>
      <c r="X200" s="31">
        <f t="shared" si="43"/>
        <v>217.60000000000002</v>
      </c>
      <c r="Y200" s="25">
        <v>160</v>
      </c>
      <c r="Z200" s="25">
        <v>14</v>
      </c>
      <c r="AA200" s="25">
        <v>141</v>
      </c>
      <c r="AB200" s="37">
        <v>1</v>
      </c>
      <c r="AC200" s="30">
        <f t="shared" si="41"/>
        <v>200</v>
      </c>
      <c r="AD200" s="31">
        <f t="shared" si="44"/>
        <v>8</v>
      </c>
      <c r="AE200" s="31" t="str">
        <f t="shared" si="45"/>
        <v/>
      </c>
      <c r="AF200" s="31">
        <f t="shared" si="46"/>
        <v>7</v>
      </c>
      <c r="AG200" s="31" t="str">
        <f t="shared" si="47"/>
        <v/>
      </c>
      <c r="AH200" s="31" t="str">
        <f t="shared" si="48"/>
        <v/>
      </c>
      <c r="AI200" s="31" t="str">
        <f t="shared" si="49"/>
        <v/>
      </c>
      <c r="AJ200" s="25">
        <v>8</v>
      </c>
      <c r="AK200" s="25">
        <v>7</v>
      </c>
      <c r="AL200" s="25">
        <v>0</v>
      </c>
      <c r="AM200" s="23" t="s">
        <v>206</v>
      </c>
      <c r="AN200" s="23" t="s">
        <v>92</v>
      </c>
      <c r="AO200" s="25">
        <v>280</v>
      </c>
      <c r="AR200" s="32" t="str">
        <f t="shared" si="50"/>
        <v>4 doors</v>
      </c>
      <c r="AT200" s="23" t="s">
        <v>32</v>
      </c>
      <c r="AU200" s="23" t="str">
        <f t="shared" si="52"/>
        <v>CC</v>
      </c>
      <c r="AV200" s="34">
        <f t="shared" si="51"/>
        <v>1520.06</v>
      </c>
      <c r="AW200" s="23">
        <v>15</v>
      </c>
      <c r="AX200" s="23">
        <v>20</v>
      </c>
      <c r="AY200" s="23">
        <v>6</v>
      </c>
    </row>
    <row r="201" spans="1:51">
      <c r="A201" s="25">
        <v>280</v>
      </c>
      <c r="B201" s="23" t="s">
        <v>89</v>
      </c>
      <c r="D201" s="23">
        <v>4</v>
      </c>
      <c r="E201" s="25" t="s">
        <v>85</v>
      </c>
      <c r="F201" s="25" t="s">
        <v>85</v>
      </c>
      <c r="G201" s="23" t="s">
        <v>27</v>
      </c>
      <c r="H201" s="23" t="s">
        <v>166</v>
      </c>
      <c r="I201" s="25">
        <v>1980</v>
      </c>
      <c r="J201" s="35">
        <v>30</v>
      </c>
      <c r="K201" s="35">
        <v>40</v>
      </c>
      <c r="L201" s="35">
        <v>20</v>
      </c>
      <c r="M201" s="25">
        <v>10</v>
      </c>
      <c r="N201" s="25">
        <v>10</v>
      </c>
      <c r="O201" s="25">
        <v>10</v>
      </c>
      <c r="P201" s="25">
        <v>10</v>
      </c>
      <c r="R201" s="30">
        <f t="shared" si="42"/>
        <v>40</v>
      </c>
      <c r="S201" s="37">
        <v>1</v>
      </c>
      <c r="T201" s="30">
        <f t="shared" si="40"/>
        <v>20.73714285714286</v>
      </c>
      <c r="U201" s="37">
        <v>1</v>
      </c>
      <c r="V201" s="30">
        <f t="shared" si="38"/>
        <v>26.957142857142859</v>
      </c>
      <c r="W201" s="25">
        <v>66</v>
      </c>
      <c r="X201" s="31">
        <f t="shared" si="43"/>
        <v>217.60000000000002</v>
      </c>
      <c r="Y201" s="25">
        <v>160</v>
      </c>
      <c r="Z201" s="25">
        <v>14</v>
      </c>
      <c r="AA201" s="25">
        <v>141</v>
      </c>
      <c r="AB201" s="37">
        <v>1</v>
      </c>
      <c r="AC201" s="30">
        <f t="shared" si="41"/>
        <v>200</v>
      </c>
      <c r="AD201" s="31">
        <f t="shared" si="44"/>
        <v>8</v>
      </c>
      <c r="AE201" s="31" t="str">
        <f t="shared" si="45"/>
        <v/>
      </c>
      <c r="AF201" s="31">
        <f t="shared" si="46"/>
        <v>7</v>
      </c>
      <c r="AG201" s="31" t="str">
        <f t="shared" si="47"/>
        <v/>
      </c>
      <c r="AH201" s="31" t="str">
        <f t="shared" si="48"/>
        <v/>
      </c>
      <c r="AI201" s="31" t="str">
        <f t="shared" si="49"/>
        <v/>
      </c>
      <c r="AJ201" s="25">
        <v>8</v>
      </c>
      <c r="AK201" s="25">
        <v>7</v>
      </c>
      <c r="AL201" s="25">
        <v>0</v>
      </c>
      <c r="AM201" s="23" t="s">
        <v>206</v>
      </c>
      <c r="AN201" s="23" t="s">
        <v>92</v>
      </c>
      <c r="AO201" s="25">
        <v>280</v>
      </c>
      <c r="AR201" s="32" t="str">
        <f t="shared" si="50"/>
        <v>4 doors</v>
      </c>
      <c r="AT201" s="23" t="s">
        <v>32</v>
      </c>
      <c r="AU201" s="23" t="str">
        <f t="shared" si="52"/>
        <v>Hungary</v>
      </c>
      <c r="AV201" s="34">
        <f t="shared" si="51"/>
        <v>1520.07</v>
      </c>
      <c r="AW201" s="23">
        <v>15</v>
      </c>
      <c r="AX201" s="23">
        <v>20</v>
      </c>
      <c r="AY201" s="23">
        <v>7</v>
      </c>
    </row>
    <row r="202" spans="1:51">
      <c r="A202" s="25">
        <v>280</v>
      </c>
      <c r="B202" s="23" t="s">
        <v>89</v>
      </c>
      <c r="C202" s="23" t="s">
        <v>228</v>
      </c>
      <c r="D202" s="23">
        <v>4</v>
      </c>
      <c r="E202" s="25" t="s">
        <v>30</v>
      </c>
      <c r="F202" s="25" t="s">
        <v>300</v>
      </c>
      <c r="G202" s="23" t="s">
        <v>27</v>
      </c>
      <c r="H202" s="23" t="s">
        <v>167</v>
      </c>
      <c r="I202" s="25">
        <v>1993</v>
      </c>
      <c r="J202" s="35">
        <v>30</v>
      </c>
      <c r="K202" s="35">
        <v>40</v>
      </c>
      <c r="L202" s="35">
        <v>20</v>
      </c>
      <c r="M202" s="25">
        <v>10</v>
      </c>
      <c r="N202" s="25">
        <v>10</v>
      </c>
      <c r="O202" s="25">
        <v>10</v>
      </c>
      <c r="P202" s="25">
        <v>10</v>
      </c>
      <c r="R202" s="30">
        <f t="shared" si="42"/>
        <v>40</v>
      </c>
      <c r="S202" s="37">
        <v>1</v>
      </c>
      <c r="T202" s="30">
        <f t="shared" si="40"/>
        <v>20.873142857142859</v>
      </c>
      <c r="U202" s="37">
        <v>1</v>
      </c>
      <c r="V202" s="30">
        <f t="shared" si="38"/>
        <v>27.249142857142861</v>
      </c>
      <c r="W202" s="25">
        <v>66</v>
      </c>
      <c r="X202" s="31">
        <f t="shared" si="43"/>
        <v>220.32000000000002</v>
      </c>
      <c r="Y202" s="25">
        <v>162</v>
      </c>
      <c r="Z202" s="25">
        <v>14</v>
      </c>
      <c r="AA202" s="25">
        <v>144</v>
      </c>
      <c r="AB202" s="37">
        <v>1</v>
      </c>
      <c r="AC202" s="30">
        <f t="shared" si="41"/>
        <v>200</v>
      </c>
      <c r="AD202" s="31">
        <f t="shared" si="44"/>
        <v>8</v>
      </c>
      <c r="AE202" s="31" t="str">
        <f t="shared" si="45"/>
        <v/>
      </c>
      <c r="AF202" s="31">
        <f t="shared" si="46"/>
        <v>7</v>
      </c>
      <c r="AG202" s="31" t="str">
        <f t="shared" si="47"/>
        <v/>
      </c>
      <c r="AH202" s="31" t="str">
        <f t="shared" si="48"/>
        <v/>
      </c>
      <c r="AI202" s="31" t="str">
        <f t="shared" si="49"/>
        <v/>
      </c>
      <c r="AJ202" s="25">
        <v>8</v>
      </c>
      <c r="AK202" s="25">
        <v>7</v>
      </c>
      <c r="AL202" s="25">
        <v>0</v>
      </c>
      <c r="AM202" s="23" t="s">
        <v>206</v>
      </c>
      <c r="AN202" s="23" t="s">
        <v>92</v>
      </c>
      <c r="AO202" s="25">
        <v>280</v>
      </c>
      <c r="AR202" s="32" t="str">
        <f t="shared" si="50"/>
        <v>4 doors</v>
      </c>
      <c r="AS202" s="23" t="s">
        <v>228</v>
      </c>
      <c r="AT202" s="23" t="s">
        <v>32</v>
      </c>
      <c r="AU202" s="23" t="str">
        <f t="shared" si="52"/>
        <v>CC</v>
      </c>
      <c r="AV202" s="34">
        <f t="shared" si="51"/>
        <v>1530</v>
      </c>
      <c r="AW202" s="23">
        <v>15</v>
      </c>
      <c r="AX202" s="23">
        <v>30</v>
      </c>
      <c r="AY202" s="23">
        <v>0</v>
      </c>
    </row>
    <row r="203" spans="1:51">
      <c r="A203" s="25">
        <v>280</v>
      </c>
      <c r="B203" s="23" t="s">
        <v>89</v>
      </c>
      <c r="C203" s="23" t="s">
        <v>228</v>
      </c>
      <c r="D203" s="23">
        <v>4</v>
      </c>
      <c r="E203" s="25" t="s">
        <v>42</v>
      </c>
      <c r="F203" s="25" t="s">
        <v>315</v>
      </c>
      <c r="G203" s="23" t="s">
        <v>27</v>
      </c>
      <c r="H203" s="23" t="s">
        <v>167</v>
      </c>
      <c r="I203" s="25">
        <v>1993</v>
      </c>
      <c r="J203" s="35">
        <v>30</v>
      </c>
      <c r="K203" s="35">
        <v>40</v>
      </c>
      <c r="L203" s="35">
        <v>20</v>
      </c>
      <c r="M203" s="25">
        <v>10</v>
      </c>
      <c r="N203" s="25">
        <v>10</v>
      </c>
      <c r="O203" s="25">
        <v>10</v>
      </c>
      <c r="P203" s="25">
        <v>10</v>
      </c>
      <c r="R203" s="30">
        <f t="shared" si="42"/>
        <v>40</v>
      </c>
      <c r="S203" s="37">
        <v>1</v>
      </c>
      <c r="T203" s="30">
        <f t="shared" si="40"/>
        <v>20.873142857142859</v>
      </c>
      <c r="U203" s="37">
        <v>1</v>
      </c>
      <c r="V203" s="30">
        <f t="shared" si="38"/>
        <v>27.249142857142861</v>
      </c>
      <c r="W203" s="25">
        <v>66</v>
      </c>
      <c r="X203" s="31">
        <f t="shared" si="43"/>
        <v>220.32000000000002</v>
      </c>
      <c r="Y203" s="25">
        <v>162</v>
      </c>
      <c r="Z203" s="25">
        <v>14</v>
      </c>
      <c r="AA203" s="25">
        <v>144</v>
      </c>
      <c r="AB203" s="37">
        <v>1</v>
      </c>
      <c r="AC203" s="30">
        <f t="shared" si="41"/>
        <v>200</v>
      </c>
      <c r="AD203" s="31">
        <f t="shared" si="44"/>
        <v>8</v>
      </c>
      <c r="AE203" s="31" t="str">
        <f t="shared" si="45"/>
        <v/>
      </c>
      <c r="AF203" s="31">
        <f t="shared" si="46"/>
        <v>7</v>
      </c>
      <c r="AG203" s="31" t="str">
        <f t="shared" si="47"/>
        <v/>
      </c>
      <c r="AH203" s="31" t="str">
        <f t="shared" si="48"/>
        <v/>
      </c>
      <c r="AI203" s="31" t="str">
        <f t="shared" si="49"/>
        <v/>
      </c>
      <c r="AJ203" s="25">
        <v>8</v>
      </c>
      <c r="AK203" s="25">
        <v>7</v>
      </c>
      <c r="AL203" s="25">
        <v>0</v>
      </c>
      <c r="AM203" s="23" t="s">
        <v>206</v>
      </c>
      <c r="AN203" s="23" t="s">
        <v>92</v>
      </c>
      <c r="AO203" s="25">
        <v>280</v>
      </c>
      <c r="AR203" s="32" t="str">
        <f t="shared" si="50"/>
        <v>4 doors</v>
      </c>
      <c r="AS203" s="23" t="s">
        <v>228</v>
      </c>
      <c r="AT203" s="23" t="s">
        <v>32</v>
      </c>
      <c r="AU203" s="23" t="str">
        <f t="shared" si="52"/>
        <v>CC</v>
      </c>
      <c r="AV203" s="34">
        <f t="shared" si="51"/>
        <v>1530.01</v>
      </c>
      <c r="AW203" s="23">
        <v>15</v>
      </c>
      <c r="AX203" s="23">
        <v>30</v>
      </c>
      <c r="AY203" s="23">
        <v>1</v>
      </c>
    </row>
    <row r="204" spans="1:51">
      <c r="A204" s="25">
        <v>280</v>
      </c>
      <c r="B204" s="23" t="s">
        <v>125</v>
      </c>
      <c r="C204" s="23" t="s">
        <v>292</v>
      </c>
      <c r="D204" s="23">
        <v>4</v>
      </c>
      <c r="E204" s="25" t="s">
        <v>30</v>
      </c>
      <c r="F204" s="25" t="s">
        <v>302</v>
      </c>
      <c r="G204" s="23" t="s">
        <v>27</v>
      </c>
      <c r="H204" s="23" t="s">
        <v>168</v>
      </c>
      <c r="I204" s="25">
        <v>1980</v>
      </c>
      <c r="J204" s="35">
        <v>30</v>
      </c>
      <c r="K204" s="35">
        <v>40</v>
      </c>
      <c r="L204" s="35">
        <v>20</v>
      </c>
      <c r="M204" s="25">
        <v>10</v>
      </c>
      <c r="N204" s="25">
        <v>10</v>
      </c>
      <c r="O204" s="25">
        <v>10</v>
      </c>
      <c r="P204" s="25">
        <v>10</v>
      </c>
      <c r="R204" s="30">
        <f t="shared" si="42"/>
        <v>40</v>
      </c>
      <c r="S204" s="37">
        <v>1</v>
      </c>
      <c r="T204" s="30">
        <f t="shared" si="40"/>
        <v>20.73714285714286</v>
      </c>
      <c r="U204" s="37">
        <v>1</v>
      </c>
      <c r="V204" s="30">
        <f t="shared" si="38"/>
        <v>26.790476190476195</v>
      </c>
      <c r="W204" s="25">
        <v>78</v>
      </c>
      <c r="X204" s="31">
        <f t="shared" si="43"/>
        <v>217.60000000000002</v>
      </c>
      <c r="Y204" s="25">
        <v>160</v>
      </c>
      <c r="Z204" s="25">
        <v>14</v>
      </c>
      <c r="AA204" s="25">
        <v>116</v>
      </c>
      <c r="AB204" s="37">
        <v>1</v>
      </c>
      <c r="AC204" s="30">
        <f t="shared" si="41"/>
        <v>200</v>
      </c>
      <c r="AD204" s="31">
        <f t="shared" si="44"/>
        <v>8</v>
      </c>
      <c r="AE204" s="31" t="str">
        <f t="shared" si="45"/>
        <v/>
      </c>
      <c r="AF204" s="31">
        <f t="shared" si="46"/>
        <v>7</v>
      </c>
      <c r="AG204" s="31" t="str">
        <f t="shared" si="47"/>
        <v/>
      </c>
      <c r="AH204" s="31" t="str">
        <f t="shared" si="48"/>
        <v/>
      </c>
      <c r="AI204" s="31" t="str">
        <f t="shared" si="49"/>
        <v/>
      </c>
      <c r="AJ204" s="25">
        <v>8</v>
      </c>
      <c r="AK204" s="25">
        <v>7</v>
      </c>
      <c r="AL204" s="25">
        <v>0</v>
      </c>
      <c r="AM204" s="23" t="s">
        <v>206</v>
      </c>
      <c r="AN204" s="23" t="s">
        <v>92</v>
      </c>
      <c r="AO204" s="25">
        <v>280</v>
      </c>
      <c r="AR204" s="32" t="str">
        <f t="shared" si="50"/>
        <v>4 doors</v>
      </c>
      <c r="AS204" s="23" t="s">
        <v>292</v>
      </c>
      <c r="AT204" s="23" t="s">
        <v>270</v>
      </c>
      <c r="AU204" s="23" t="str">
        <f t="shared" si="52"/>
        <v>CC</v>
      </c>
      <c r="AV204" s="34">
        <f t="shared" si="51"/>
        <v>1540</v>
      </c>
      <c r="AW204" s="23">
        <v>15</v>
      </c>
      <c r="AX204" s="23">
        <v>40</v>
      </c>
      <c r="AY204" s="23">
        <v>0</v>
      </c>
    </row>
    <row r="205" spans="1:51">
      <c r="A205" s="25">
        <v>280</v>
      </c>
      <c r="B205" s="23" t="s">
        <v>125</v>
      </c>
      <c r="C205" s="23" t="s">
        <v>292</v>
      </c>
      <c r="D205" s="23">
        <v>4</v>
      </c>
      <c r="E205" s="25" t="s">
        <v>42</v>
      </c>
      <c r="F205" s="25" t="s">
        <v>303</v>
      </c>
      <c r="G205" s="23" t="s">
        <v>27</v>
      </c>
      <c r="H205" s="23" t="s">
        <v>168</v>
      </c>
      <c r="I205" s="25">
        <v>1980</v>
      </c>
      <c r="J205" s="35">
        <v>30</v>
      </c>
      <c r="K205" s="35">
        <v>40</v>
      </c>
      <c r="L205" s="35">
        <v>20</v>
      </c>
      <c r="M205" s="25">
        <v>10</v>
      </c>
      <c r="N205" s="25">
        <v>10</v>
      </c>
      <c r="O205" s="25">
        <v>10</v>
      </c>
      <c r="P205" s="25">
        <v>10</v>
      </c>
      <c r="R205" s="30">
        <f t="shared" si="42"/>
        <v>40</v>
      </c>
      <c r="S205" s="37">
        <v>1</v>
      </c>
      <c r="T205" s="30">
        <f t="shared" si="40"/>
        <v>20.73714285714286</v>
      </c>
      <c r="U205" s="37">
        <v>1</v>
      </c>
      <c r="V205" s="30">
        <f t="shared" si="38"/>
        <v>26.790476190476195</v>
      </c>
      <c r="W205" s="25">
        <v>78</v>
      </c>
      <c r="X205" s="31">
        <f t="shared" si="43"/>
        <v>217.60000000000002</v>
      </c>
      <c r="Y205" s="25">
        <v>160</v>
      </c>
      <c r="Z205" s="25">
        <v>14</v>
      </c>
      <c r="AA205" s="25">
        <v>116</v>
      </c>
      <c r="AB205" s="37">
        <v>1</v>
      </c>
      <c r="AC205" s="30">
        <f t="shared" si="41"/>
        <v>200</v>
      </c>
      <c r="AD205" s="31">
        <f t="shared" si="44"/>
        <v>8</v>
      </c>
      <c r="AE205" s="31" t="str">
        <f t="shared" si="45"/>
        <v/>
      </c>
      <c r="AF205" s="31">
        <f t="shared" si="46"/>
        <v>7</v>
      </c>
      <c r="AG205" s="31" t="str">
        <f t="shared" si="47"/>
        <v/>
      </c>
      <c r="AH205" s="31" t="str">
        <f t="shared" si="48"/>
        <v/>
      </c>
      <c r="AI205" s="31" t="str">
        <f t="shared" si="49"/>
        <v/>
      </c>
      <c r="AJ205" s="25">
        <v>8</v>
      </c>
      <c r="AK205" s="25">
        <v>7</v>
      </c>
      <c r="AL205" s="25">
        <v>0</v>
      </c>
      <c r="AM205" s="23" t="s">
        <v>206</v>
      </c>
      <c r="AN205" s="23" t="s">
        <v>92</v>
      </c>
      <c r="AO205" s="25">
        <v>280</v>
      </c>
      <c r="AR205" s="32" t="str">
        <f t="shared" si="50"/>
        <v>4 doors</v>
      </c>
      <c r="AS205" s="23" t="s">
        <v>292</v>
      </c>
      <c r="AT205" s="23" t="s">
        <v>270</v>
      </c>
      <c r="AU205" s="23" t="str">
        <f t="shared" si="52"/>
        <v>CC</v>
      </c>
      <c r="AV205" s="34">
        <f t="shared" si="51"/>
        <v>1540.01</v>
      </c>
      <c r="AW205" s="23">
        <v>15</v>
      </c>
      <c r="AX205" s="23">
        <v>40</v>
      </c>
      <c r="AY205" s="23">
        <v>1</v>
      </c>
    </row>
    <row r="206" spans="1:51">
      <c r="A206" s="25">
        <v>280</v>
      </c>
      <c r="B206" s="23" t="s">
        <v>125</v>
      </c>
      <c r="C206" s="23" t="s">
        <v>292</v>
      </c>
      <c r="D206" s="23">
        <v>4</v>
      </c>
      <c r="E206" s="25" t="s">
        <v>43</v>
      </c>
      <c r="F206" s="25" t="s">
        <v>304</v>
      </c>
      <c r="G206" s="23" t="s">
        <v>27</v>
      </c>
      <c r="H206" s="23" t="s">
        <v>168</v>
      </c>
      <c r="I206" s="25">
        <v>1980</v>
      </c>
      <c r="J206" s="35">
        <v>30</v>
      </c>
      <c r="K206" s="35">
        <v>40</v>
      </c>
      <c r="L206" s="35">
        <v>20</v>
      </c>
      <c r="M206" s="25">
        <v>10</v>
      </c>
      <c r="N206" s="25">
        <v>10</v>
      </c>
      <c r="O206" s="25">
        <v>10</v>
      </c>
      <c r="P206" s="25">
        <v>10</v>
      </c>
      <c r="R206" s="30">
        <f t="shared" si="42"/>
        <v>40</v>
      </c>
      <c r="S206" s="37">
        <v>1</v>
      </c>
      <c r="T206" s="30">
        <f t="shared" si="40"/>
        <v>20.73714285714286</v>
      </c>
      <c r="U206" s="37">
        <v>1</v>
      </c>
      <c r="V206" s="30">
        <f t="shared" si="38"/>
        <v>26.790476190476195</v>
      </c>
      <c r="W206" s="25">
        <v>78</v>
      </c>
      <c r="X206" s="31">
        <f t="shared" si="43"/>
        <v>217.60000000000002</v>
      </c>
      <c r="Y206" s="25">
        <v>160</v>
      </c>
      <c r="Z206" s="25">
        <v>14</v>
      </c>
      <c r="AA206" s="25">
        <v>116</v>
      </c>
      <c r="AB206" s="37">
        <v>1</v>
      </c>
      <c r="AC206" s="30">
        <f t="shared" si="41"/>
        <v>200</v>
      </c>
      <c r="AD206" s="31">
        <f t="shared" si="44"/>
        <v>8</v>
      </c>
      <c r="AE206" s="31" t="str">
        <f t="shared" si="45"/>
        <v/>
      </c>
      <c r="AF206" s="31">
        <f t="shared" si="46"/>
        <v>7</v>
      </c>
      <c r="AG206" s="31" t="str">
        <f t="shared" si="47"/>
        <v/>
      </c>
      <c r="AH206" s="31" t="str">
        <f t="shared" si="48"/>
        <v/>
      </c>
      <c r="AI206" s="31" t="str">
        <f t="shared" si="49"/>
        <v/>
      </c>
      <c r="AJ206" s="25">
        <v>8</v>
      </c>
      <c r="AK206" s="25">
        <v>7</v>
      </c>
      <c r="AL206" s="25">
        <v>0</v>
      </c>
      <c r="AM206" s="23" t="s">
        <v>206</v>
      </c>
      <c r="AN206" s="23" t="s">
        <v>92</v>
      </c>
      <c r="AO206" s="25">
        <v>280</v>
      </c>
      <c r="AR206" s="32" t="str">
        <f t="shared" si="50"/>
        <v>4 doors</v>
      </c>
      <c r="AS206" s="23" t="s">
        <v>292</v>
      </c>
      <c r="AT206" s="23" t="s">
        <v>270</v>
      </c>
      <c r="AU206" s="23" t="str">
        <f t="shared" si="52"/>
        <v>CC</v>
      </c>
      <c r="AV206" s="34">
        <f t="shared" si="51"/>
        <v>1540.02</v>
      </c>
      <c r="AW206" s="23">
        <v>15</v>
      </c>
      <c r="AX206" s="23">
        <v>40</v>
      </c>
      <c r="AY206" s="23">
        <v>2</v>
      </c>
    </row>
    <row r="207" spans="1:51">
      <c r="A207" s="25">
        <v>280</v>
      </c>
      <c r="B207" s="23" t="s">
        <v>125</v>
      </c>
      <c r="C207" s="23" t="s">
        <v>292</v>
      </c>
      <c r="D207" s="23">
        <v>4</v>
      </c>
      <c r="E207" s="25" t="s">
        <v>284</v>
      </c>
      <c r="F207" s="25" t="s">
        <v>305</v>
      </c>
      <c r="G207" s="23" t="s">
        <v>27</v>
      </c>
      <c r="H207" s="23" t="s">
        <v>168</v>
      </c>
      <c r="I207" s="25">
        <v>1980</v>
      </c>
      <c r="J207" s="35">
        <v>30</v>
      </c>
      <c r="K207" s="35">
        <v>40</v>
      </c>
      <c r="L207" s="35">
        <v>20</v>
      </c>
      <c r="M207" s="25">
        <v>10</v>
      </c>
      <c r="N207" s="25">
        <v>10</v>
      </c>
      <c r="O207" s="25">
        <v>10</v>
      </c>
      <c r="P207" s="25">
        <v>10</v>
      </c>
      <c r="R207" s="30">
        <f t="shared" si="42"/>
        <v>40</v>
      </c>
      <c r="S207" s="37">
        <v>1</v>
      </c>
      <c r="T207" s="30">
        <f t="shared" si="40"/>
        <v>20.73714285714286</v>
      </c>
      <c r="U207" s="37">
        <v>1</v>
      </c>
      <c r="V207" s="30">
        <f t="shared" si="38"/>
        <v>26.790476190476195</v>
      </c>
      <c r="W207" s="25">
        <v>78</v>
      </c>
      <c r="X207" s="31">
        <f t="shared" si="43"/>
        <v>217.60000000000002</v>
      </c>
      <c r="Y207" s="25">
        <v>160</v>
      </c>
      <c r="Z207" s="25">
        <v>14</v>
      </c>
      <c r="AA207" s="25">
        <v>116</v>
      </c>
      <c r="AB207" s="37">
        <v>1</v>
      </c>
      <c r="AC207" s="30">
        <f t="shared" si="41"/>
        <v>200</v>
      </c>
      <c r="AD207" s="31">
        <f t="shared" si="44"/>
        <v>8</v>
      </c>
      <c r="AE207" s="31" t="str">
        <f t="shared" si="45"/>
        <v/>
      </c>
      <c r="AF207" s="31">
        <f t="shared" si="46"/>
        <v>7</v>
      </c>
      <c r="AG207" s="31" t="str">
        <f t="shared" si="47"/>
        <v/>
      </c>
      <c r="AH207" s="31" t="str">
        <f t="shared" si="48"/>
        <v/>
      </c>
      <c r="AI207" s="31" t="str">
        <f t="shared" si="49"/>
        <v/>
      </c>
      <c r="AJ207" s="25">
        <v>8</v>
      </c>
      <c r="AK207" s="25">
        <v>7</v>
      </c>
      <c r="AL207" s="25">
        <v>0</v>
      </c>
      <c r="AM207" s="23" t="s">
        <v>206</v>
      </c>
      <c r="AN207" s="23" t="s">
        <v>92</v>
      </c>
      <c r="AO207" s="25">
        <v>280</v>
      </c>
      <c r="AR207" s="32" t="str">
        <f t="shared" si="50"/>
        <v>4 doors</v>
      </c>
      <c r="AS207" s="23" t="s">
        <v>292</v>
      </c>
      <c r="AT207" s="23" t="s">
        <v>270</v>
      </c>
      <c r="AU207" s="23" t="str">
        <f t="shared" si="52"/>
        <v>CC</v>
      </c>
      <c r="AV207" s="34">
        <f t="shared" si="51"/>
        <v>1540.03</v>
      </c>
      <c r="AW207" s="23">
        <v>15</v>
      </c>
      <c r="AX207" s="23">
        <v>40</v>
      </c>
      <c r="AY207" s="23">
        <v>3</v>
      </c>
    </row>
    <row r="208" spans="1:51">
      <c r="A208" s="25">
        <v>280</v>
      </c>
      <c r="B208" s="23" t="s">
        <v>125</v>
      </c>
      <c r="C208" s="23" t="s">
        <v>292</v>
      </c>
      <c r="D208" s="23">
        <v>4</v>
      </c>
      <c r="E208" s="25" t="s">
        <v>285</v>
      </c>
      <c r="F208" s="25" t="s">
        <v>306</v>
      </c>
      <c r="G208" s="23" t="s">
        <v>27</v>
      </c>
      <c r="H208" s="23" t="s">
        <v>168</v>
      </c>
      <c r="I208" s="25">
        <v>1980</v>
      </c>
      <c r="J208" s="35">
        <v>30</v>
      </c>
      <c r="K208" s="35">
        <v>40</v>
      </c>
      <c r="L208" s="35">
        <v>20</v>
      </c>
      <c r="M208" s="25">
        <v>10</v>
      </c>
      <c r="N208" s="25">
        <v>10</v>
      </c>
      <c r="O208" s="25">
        <v>10</v>
      </c>
      <c r="P208" s="25">
        <v>10</v>
      </c>
      <c r="R208" s="30">
        <f t="shared" si="42"/>
        <v>40</v>
      </c>
      <c r="S208" s="37">
        <v>1</v>
      </c>
      <c r="T208" s="30">
        <f t="shared" si="40"/>
        <v>20.73714285714286</v>
      </c>
      <c r="U208" s="37">
        <v>1</v>
      </c>
      <c r="V208" s="30">
        <f t="shared" si="38"/>
        <v>26.790476190476195</v>
      </c>
      <c r="W208" s="25">
        <v>78</v>
      </c>
      <c r="X208" s="31">
        <f t="shared" si="43"/>
        <v>217.60000000000002</v>
      </c>
      <c r="Y208" s="25">
        <v>160</v>
      </c>
      <c r="Z208" s="25">
        <v>14</v>
      </c>
      <c r="AA208" s="25">
        <v>116</v>
      </c>
      <c r="AB208" s="37">
        <v>1</v>
      </c>
      <c r="AC208" s="30">
        <f t="shared" si="41"/>
        <v>200</v>
      </c>
      <c r="AD208" s="31">
        <f t="shared" si="44"/>
        <v>8</v>
      </c>
      <c r="AE208" s="31" t="str">
        <f t="shared" si="45"/>
        <v/>
      </c>
      <c r="AF208" s="31">
        <f t="shared" si="46"/>
        <v>7</v>
      </c>
      <c r="AG208" s="31" t="str">
        <f t="shared" si="47"/>
        <v/>
      </c>
      <c r="AH208" s="31" t="str">
        <f t="shared" si="48"/>
        <v/>
      </c>
      <c r="AI208" s="31" t="str">
        <f t="shared" si="49"/>
        <v/>
      </c>
      <c r="AJ208" s="25">
        <v>8</v>
      </c>
      <c r="AK208" s="25">
        <v>7</v>
      </c>
      <c r="AL208" s="25">
        <v>0</v>
      </c>
      <c r="AM208" s="23" t="s">
        <v>206</v>
      </c>
      <c r="AN208" s="23" t="s">
        <v>92</v>
      </c>
      <c r="AO208" s="25">
        <v>280</v>
      </c>
      <c r="AR208" s="32" t="str">
        <f t="shared" si="50"/>
        <v>4 doors</v>
      </c>
      <c r="AS208" s="23" t="s">
        <v>292</v>
      </c>
      <c r="AT208" s="23" t="s">
        <v>270</v>
      </c>
      <c r="AU208" s="23" t="str">
        <f t="shared" si="52"/>
        <v>CC</v>
      </c>
      <c r="AV208" s="34">
        <f t="shared" si="51"/>
        <v>1540.04</v>
      </c>
      <c r="AW208" s="23">
        <v>15</v>
      </c>
      <c r="AX208" s="23">
        <v>40</v>
      </c>
      <c r="AY208" s="23">
        <v>4</v>
      </c>
    </row>
    <row r="209" spans="1:51">
      <c r="A209" s="25">
        <v>280</v>
      </c>
      <c r="B209" s="23" t="s">
        <v>125</v>
      </c>
      <c r="C209" s="23" t="s">
        <v>292</v>
      </c>
      <c r="D209" s="23">
        <v>4</v>
      </c>
      <c r="E209" s="25" t="s">
        <v>286</v>
      </c>
      <c r="F209" s="25" t="s">
        <v>307</v>
      </c>
      <c r="G209" s="23" t="s">
        <v>27</v>
      </c>
      <c r="H209" s="23" t="s">
        <v>168</v>
      </c>
      <c r="I209" s="25">
        <v>1980</v>
      </c>
      <c r="J209" s="35">
        <v>30</v>
      </c>
      <c r="K209" s="35">
        <v>40</v>
      </c>
      <c r="L209" s="35">
        <v>20</v>
      </c>
      <c r="M209" s="25">
        <v>10</v>
      </c>
      <c r="N209" s="25">
        <v>10</v>
      </c>
      <c r="O209" s="25">
        <v>10</v>
      </c>
      <c r="P209" s="25">
        <v>10</v>
      </c>
      <c r="R209" s="30">
        <f t="shared" si="42"/>
        <v>40</v>
      </c>
      <c r="S209" s="37">
        <v>1</v>
      </c>
      <c r="T209" s="30">
        <f t="shared" si="40"/>
        <v>20.73714285714286</v>
      </c>
      <c r="U209" s="37">
        <v>1</v>
      </c>
      <c r="V209" s="30">
        <f t="shared" si="38"/>
        <v>26.790476190476195</v>
      </c>
      <c r="W209" s="25">
        <v>78</v>
      </c>
      <c r="X209" s="31">
        <f t="shared" si="43"/>
        <v>217.60000000000002</v>
      </c>
      <c r="Y209" s="25">
        <v>160</v>
      </c>
      <c r="Z209" s="25">
        <v>14</v>
      </c>
      <c r="AA209" s="25">
        <v>116</v>
      </c>
      <c r="AB209" s="37">
        <v>1</v>
      </c>
      <c r="AC209" s="30">
        <f t="shared" si="41"/>
        <v>200</v>
      </c>
      <c r="AD209" s="31">
        <f t="shared" si="44"/>
        <v>8</v>
      </c>
      <c r="AE209" s="31" t="str">
        <f t="shared" si="45"/>
        <v/>
      </c>
      <c r="AF209" s="31">
        <f t="shared" si="46"/>
        <v>7</v>
      </c>
      <c r="AG209" s="31" t="str">
        <f t="shared" si="47"/>
        <v/>
      </c>
      <c r="AH209" s="31" t="str">
        <f t="shared" si="48"/>
        <v/>
      </c>
      <c r="AI209" s="31" t="str">
        <f t="shared" si="49"/>
        <v/>
      </c>
      <c r="AJ209" s="25">
        <v>8</v>
      </c>
      <c r="AK209" s="25">
        <v>7</v>
      </c>
      <c r="AL209" s="25">
        <v>0</v>
      </c>
      <c r="AM209" s="23" t="s">
        <v>206</v>
      </c>
      <c r="AN209" s="23" t="s">
        <v>92</v>
      </c>
      <c r="AO209" s="25">
        <v>280</v>
      </c>
      <c r="AR209" s="32" t="str">
        <f t="shared" si="50"/>
        <v>4 doors</v>
      </c>
      <c r="AS209" s="23" t="s">
        <v>292</v>
      </c>
      <c r="AT209" s="23" t="s">
        <v>270</v>
      </c>
      <c r="AU209" s="23" t="str">
        <f t="shared" si="52"/>
        <v>CC</v>
      </c>
      <c r="AV209" s="34">
        <f t="shared" si="51"/>
        <v>1540.05</v>
      </c>
      <c r="AW209" s="23">
        <v>15</v>
      </c>
      <c r="AX209" s="23">
        <v>40</v>
      </c>
      <c r="AY209" s="23">
        <v>5</v>
      </c>
    </row>
    <row r="210" spans="1:51">
      <c r="A210" s="25">
        <v>280</v>
      </c>
      <c r="B210" s="23" t="s">
        <v>125</v>
      </c>
      <c r="C210" s="23" t="s">
        <v>289</v>
      </c>
      <c r="D210" s="23">
        <v>3</v>
      </c>
      <c r="E210" s="25" t="s">
        <v>30</v>
      </c>
      <c r="F210" s="25" t="s">
        <v>302</v>
      </c>
      <c r="G210" s="23" t="s">
        <v>27</v>
      </c>
      <c r="H210" s="23" t="s">
        <v>169</v>
      </c>
      <c r="I210" s="25">
        <v>1980</v>
      </c>
      <c r="J210" s="35">
        <v>30</v>
      </c>
      <c r="K210" s="35">
        <v>40</v>
      </c>
      <c r="L210" s="35">
        <v>20</v>
      </c>
      <c r="M210" s="25">
        <v>10</v>
      </c>
      <c r="N210" s="25">
        <v>10</v>
      </c>
      <c r="O210" s="25">
        <v>10</v>
      </c>
      <c r="R210" s="30">
        <f t="shared" si="42"/>
        <v>30</v>
      </c>
      <c r="S210" s="37">
        <v>1</v>
      </c>
      <c r="T210" s="30">
        <f t="shared" si="40"/>
        <v>20.022857142857145</v>
      </c>
      <c r="U210" s="37">
        <v>1</v>
      </c>
      <c r="V210" s="30">
        <f t="shared" si="38"/>
        <v>26.076190476190479</v>
      </c>
      <c r="W210" s="25">
        <v>78</v>
      </c>
      <c r="X210" s="31">
        <f t="shared" si="43"/>
        <v>217.60000000000002</v>
      </c>
      <c r="Y210" s="25">
        <v>160</v>
      </c>
      <c r="Z210" s="25">
        <v>14</v>
      </c>
      <c r="AA210" s="25">
        <v>116</v>
      </c>
      <c r="AB210" s="37">
        <v>1</v>
      </c>
      <c r="AC210" s="30">
        <f t="shared" si="41"/>
        <v>200</v>
      </c>
      <c r="AD210" s="31">
        <f t="shared" si="44"/>
        <v>8</v>
      </c>
      <c r="AE210" s="31" t="str">
        <f t="shared" si="45"/>
        <v/>
      </c>
      <c r="AF210" s="31">
        <f t="shared" si="46"/>
        <v>7</v>
      </c>
      <c r="AG210" s="31" t="str">
        <f t="shared" si="47"/>
        <v/>
      </c>
      <c r="AH210" s="31" t="str">
        <f t="shared" si="48"/>
        <v/>
      </c>
      <c r="AI210" s="31" t="str">
        <f t="shared" si="49"/>
        <v/>
      </c>
      <c r="AJ210" s="25">
        <v>8</v>
      </c>
      <c r="AK210" s="25">
        <v>7</v>
      </c>
      <c r="AL210" s="25">
        <v>0</v>
      </c>
      <c r="AM210" s="23" t="s">
        <v>206</v>
      </c>
      <c r="AN210" s="23" t="s">
        <v>92</v>
      </c>
      <c r="AO210" s="25">
        <v>280</v>
      </c>
      <c r="AR210" s="32" t="str">
        <f t="shared" si="50"/>
        <v>3 doors</v>
      </c>
      <c r="AS210" s="23" t="s">
        <v>289</v>
      </c>
      <c r="AT210" s="23" t="s">
        <v>270</v>
      </c>
      <c r="AU210" s="23" t="str">
        <f t="shared" si="52"/>
        <v>CC</v>
      </c>
      <c r="AV210" s="34">
        <f t="shared" si="51"/>
        <v>1550</v>
      </c>
      <c r="AW210" s="23">
        <v>15</v>
      </c>
      <c r="AX210" s="23">
        <v>50</v>
      </c>
      <c r="AY210" s="23">
        <v>0</v>
      </c>
    </row>
    <row r="211" spans="1:51">
      <c r="A211" s="25">
        <v>280</v>
      </c>
      <c r="B211" s="23" t="s">
        <v>125</v>
      </c>
      <c r="C211" s="23" t="s">
        <v>289</v>
      </c>
      <c r="D211" s="23">
        <v>3</v>
      </c>
      <c r="E211" s="25" t="s">
        <v>42</v>
      </c>
      <c r="F211" s="25" t="s">
        <v>303</v>
      </c>
      <c r="G211" s="23" t="s">
        <v>27</v>
      </c>
      <c r="H211" s="23" t="s">
        <v>169</v>
      </c>
      <c r="I211" s="25">
        <v>1980</v>
      </c>
      <c r="J211" s="35">
        <v>30</v>
      </c>
      <c r="K211" s="35">
        <v>40</v>
      </c>
      <c r="L211" s="35">
        <v>20</v>
      </c>
      <c r="M211" s="25">
        <v>10</v>
      </c>
      <c r="N211" s="25">
        <v>10</v>
      </c>
      <c r="O211" s="25">
        <v>10</v>
      </c>
      <c r="R211" s="30">
        <f t="shared" si="42"/>
        <v>30</v>
      </c>
      <c r="S211" s="37">
        <v>1</v>
      </c>
      <c r="T211" s="30">
        <f t="shared" si="40"/>
        <v>20.022857142857145</v>
      </c>
      <c r="U211" s="37">
        <v>1</v>
      </c>
      <c r="V211" s="30">
        <f t="shared" si="38"/>
        <v>26.076190476190479</v>
      </c>
      <c r="W211" s="25">
        <v>78</v>
      </c>
      <c r="X211" s="31">
        <f t="shared" si="43"/>
        <v>217.60000000000002</v>
      </c>
      <c r="Y211" s="25">
        <v>160</v>
      </c>
      <c r="Z211" s="25">
        <v>14</v>
      </c>
      <c r="AA211" s="25">
        <v>116</v>
      </c>
      <c r="AB211" s="37">
        <v>1</v>
      </c>
      <c r="AC211" s="30">
        <f t="shared" si="41"/>
        <v>200</v>
      </c>
      <c r="AD211" s="31">
        <f t="shared" si="44"/>
        <v>8</v>
      </c>
      <c r="AE211" s="31" t="str">
        <f t="shared" si="45"/>
        <v/>
      </c>
      <c r="AF211" s="31">
        <f t="shared" si="46"/>
        <v>7</v>
      </c>
      <c r="AG211" s="31" t="str">
        <f t="shared" si="47"/>
        <v/>
      </c>
      <c r="AH211" s="31" t="str">
        <f t="shared" si="48"/>
        <v/>
      </c>
      <c r="AI211" s="31" t="str">
        <f t="shared" si="49"/>
        <v/>
      </c>
      <c r="AJ211" s="25">
        <v>8</v>
      </c>
      <c r="AK211" s="25">
        <v>7</v>
      </c>
      <c r="AL211" s="25">
        <v>0</v>
      </c>
      <c r="AM211" s="23" t="s">
        <v>206</v>
      </c>
      <c r="AN211" s="23" t="s">
        <v>92</v>
      </c>
      <c r="AO211" s="25">
        <v>280</v>
      </c>
      <c r="AR211" s="32" t="str">
        <f t="shared" si="50"/>
        <v>3 doors</v>
      </c>
      <c r="AS211" s="23" t="s">
        <v>289</v>
      </c>
      <c r="AT211" s="23" t="s">
        <v>270</v>
      </c>
      <c r="AU211" s="23" t="str">
        <f t="shared" si="52"/>
        <v>CC</v>
      </c>
      <c r="AV211" s="34">
        <f t="shared" si="51"/>
        <v>1550.01</v>
      </c>
      <c r="AW211" s="23">
        <v>15</v>
      </c>
      <c r="AX211" s="23">
        <v>50</v>
      </c>
      <c r="AY211" s="23">
        <v>1</v>
      </c>
    </row>
    <row r="212" spans="1:51">
      <c r="A212" s="25">
        <v>280</v>
      </c>
      <c r="B212" s="23" t="s">
        <v>125</v>
      </c>
      <c r="C212" s="23" t="s">
        <v>289</v>
      </c>
      <c r="D212" s="23">
        <v>3</v>
      </c>
      <c r="E212" s="25" t="s">
        <v>43</v>
      </c>
      <c r="F212" s="25" t="s">
        <v>304</v>
      </c>
      <c r="G212" s="23" t="s">
        <v>27</v>
      </c>
      <c r="H212" s="23" t="s">
        <v>169</v>
      </c>
      <c r="I212" s="25">
        <v>1980</v>
      </c>
      <c r="J212" s="35">
        <v>30</v>
      </c>
      <c r="K212" s="35">
        <v>40</v>
      </c>
      <c r="L212" s="35">
        <v>20</v>
      </c>
      <c r="M212" s="25">
        <v>10</v>
      </c>
      <c r="N212" s="25">
        <v>10</v>
      </c>
      <c r="O212" s="25">
        <v>10</v>
      </c>
      <c r="R212" s="30">
        <f t="shared" si="42"/>
        <v>30</v>
      </c>
      <c r="S212" s="37">
        <v>1</v>
      </c>
      <c r="T212" s="30">
        <f t="shared" si="40"/>
        <v>20.022857142857145</v>
      </c>
      <c r="U212" s="37">
        <v>1</v>
      </c>
      <c r="V212" s="30">
        <f t="shared" si="38"/>
        <v>26.076190476190479</v>
      </c>
      <c r="W212" s="25">
        <v>78</v>
      </c>
      <c r="X212" s="31">
        <f t="shared" si="43"/>
        <v>217.60000000000002</v>
      </c>
      <c r="Y212" s="25">
        <v>160</v>
      </c>
      <c r="Z212" s="25">
        <v>14</v>
      </c>
      <c r="AA212" s="25">
        <v>116</v>
      </c>
      <c r="AB212" s="37">
        <v>1</v>
      </c>
      <c r="AC212" s="30">
        <f t="shared" si="41"/>
        <v>200</v>
      </c>
      <c r="AD212" s="31">
        <f t="shared" si="44"/>
        <v>8</v>
      </c>
      <c r="AE212" s="31" t="str">
        <f t="shared" si="45"/>
        <v/>
      </c>
      <c r="AF212" s="31">
        <f t="shared" si="46"/>
        <v>7</v>
      </c>
      <c r="AG212" s="31" t="str">
        <f t="shared" si="47"/>
        <v/>
      </c>
      <c r="AH212" s="31" t="str">
        <f t="shared" si="48"/>
        <v/>
      </c>
      <c r="AI212" s="31" t="str">
        <f t="shared" si="49"/>
        <v/>
      </c>
      <c r="AJ212" s="25">
        <v>8</v>
      </c>
      <c r="AK212" s="25">
        <v>7</v>
      </c>
      <c r="AL212" s="25">
        <v>0</v>
      </c>
      <c r="AM212" s="23" t="s">
        <v>206</v>
      </c>
      <c r="AN212" s="23" t="s">
        <v>92</v>
      </c>
      <c r="AO212" s="25">
        <v>280</v>
      </c>
      <c r="AR212" s="32" t="str">
        <f t="shared" si="50"/>
        <v>3 doors</v>
      </c>
      <c r="AS212" s="23" t="s">
        <v>289</v>
      </c>
      <c r="AT212" s="23" t="s">
        <v>270</v>
      </c>
      <c r="AU212" s="23" t="str">
        <f t="shared" si="52"/>
        <v>CC</v>
      </c>
      <c r="AV212" s="34">
        <f t="shared" si="51"/>
        <v>1550.02</v>
      </c>
      <c r="AW212" s="23">
        <v>15</v>
      </c>
      <c r="AX212" s="23">
        <v>50</v>
      </c>
      <c r="AY212" s="23">
        <v>2</v>
      </c>
    </row>
    <row r="213" spans="1:51">
      <c r="A213" s="25">
        <v>280</v>
      </c>
      <c r="B213" s="23" t="s">
        <v>125</v>
      </c>
      <c r="C213" s="23" t="s">
        <v>289</v>
      </c>
      <c r="D213" s="23">
        <v>3</v>
      </c>
      <c r="E213" s="25" t="s">
        <v>284</v>
      </c>
      <c r="F213" s="25" t="s">
        <v>305</v>
      </c>
      <c r="G213" s="23" t="s">
        <v>27</v>
      </c>
      <c r="H213" s="23" t="s">
        <v>169</v>
      </c>
      <c r="I213" s="25">
        <v>1980</v>
      </c>
      <c r="J213" s="35">
        <v>30</v>
      </c>
      <c r="K213" s="35">
        <v>40</v>
      </c>
      <c r="L213" s="35">
        <v>20</v>
      </c>
      <c r="M213" s="25">
        <v>10</v>
      </c>
      <c r="N213" s="25">
        <v>10</v>
      </c>
      <c r="O213" s="25">
        <v>10</v>
      </c>
      <c r="R213" s="30">
        <f t="shared" si="42"/>
        <v>30</v>
      </c>
      <c r="S213" s="37">
        <v>1</v>
      </c>
      <c r="T213" s="30">
        <f t="shared" si="40"/>
        <v>20.022857142857145</v>
      </c>
      <c r="U213" s="37">
        <v>1</v>
      </c>
      <c r="V213" s="30">
        <f t="shared" si="38"/>
        <v>26.076190476190479</v>
      </c>
      <c r="W213" s="25">
        <v>78</v>
      </c>
      <c r="X213" s="31">
        <f t="shared" si="43"/>
        <v>217.60000000000002</v>
      </c>
      <c r="Y213" s="25">
        <v>160</v>
      </c>
      <c r="Z213" s="25">
        <v>14</v>
      </c>
      <c r="AA213" s="25">
        <v>116</v>
      </c>
      <c r="AB213" s="37">
        <v>1</v>
      </c>
      <c r="AC213" s="30">
        <f t="shared" si="41"/>
        <v>200</v>
      </c>
      <c r="AD213" s="31">
        <f t="shared" si="44"/>
        <v>8</v>
      </c>
      <c r="AE213" s="31" t="str">
        <f t="shared" si="45"/>
        <v/>
      </c>
      <c r="AF213" s="31">
        <f t="shared" si="46"/>
        <v>7</v>
      </c>
      <c r="AG213" s="31" t="str">
        <f t="shared" si="47"/>
        <v/>
      </c>
      <c r="AH213" s="31" t="str">
        <f t="shared" si="48"/>
        <v/>
      </c>
      <c r="AI213" s="31" t="str">
        <f t="shared" si="49"/>
        <v/>
      </c>
      <c r="AJ213" s="25">
        <v>8</v>
      </c>
      <c r="AK213" s="25">
        <v>7</v>
      </c>
      <c r="AL213" s="25">
        <v>0</v>
      </c>
      <c r="AM213" s="23" t="s">
        <v>206</v>
      </c>
      <c r="AN213" s="23" t="s">
        <v>92</v>
      </c>
      <c r="AO213" s="25">
        <v>280</v>
      </c>
      <c r="AR213" s="32" t="str">
        <f t="shared" si="50"/>
        <v>3 doors</v>
      </c>
      <c r="AS213" s="23" t="s">
        <v>289</v>
      </c>
      <c r="AT213" s="23" t="s">
        <v>270</v>
      </c>
      <c r="AU213" s="23" t="str">
        <f t="shared" si="52"/>
        <v>CC</v>
      </c>
      <c r="AV213" s="34">
        <f t="shared" si="51"/>
        <v>1550.03</v>
      </c>
      <c r="AW213" s="23">
        <v>15</v>
      </c>
      <c r="AX213" s="23">
        <v>50</v>
      </c>
      <c r="AY213" s="23">
        <v>3</v>
      </c>
    </row>
    <row r="214" spans="1:51">
      <c r="A214" s="25">
        <v>280</v>
      </c>
      <c r="B214" s="23" t="s">
        <v>125</v>
      </c>
      <c r="C214" s="23" t="s">
        <v>289</v>
      </c>
      <c r="D214" s="23">
        <v>3</v>
      </c>
      <c r="E214" s="25" t="s">
        <v>285</v>
      </c>
      <c r="F214" s="25" t="s">
        <v>306</v>
      </c>
      <c r="G214" s="23" t="s">
        <v>27</v>
      </c>
      <c r="H214" s="23" t="s">
        <v>169</v>
      </c>
      <c r="I214" s="25">
        <v>1980</v>
      </c>
      <c r="J214" s="35">
        <v>30</v>
      </c>
      <c r="K214" s="35">
        <v>40</v>
      </c>
      <c r="L214" s="35">
        <v>20</v>
      </c>
      <c r="M214" s="25">
        <v>10</v>
      </c>
      <c r="N214" s="25">
        <v>10</v>
      </c>
      <c r="O214" s="25">
        <v>10</v>
      </c>
      <c r="R214" s="30">
        <f t="shared" si="42"/>
        <v>30</v>
      </c>
      <c r="S214" s="37">
        <v>1</v>
      </c>
      <c r="T214" s="30">
        <f t="shared" si="40"/>
        <v>20.022857142857145</v>
      </c>
      <c r="U214" s="37">
        <v>1</v>
      </c>
      <c r="V214" s="30">
        <f t="shared" si="38"/>
        <v>26.076190476190479</v>
      </c>
      <c r="W214" s="25">
        <v>78</v>
      </c>
      <c r="X214" s="31">
        <f t="shared" si="43"/>
        <v>217.60000000000002</v>
      </c>
      <c r="Y214" s="25">
        <v>160</v>
      </c>
      <c r="Z214" s="25">
        <v>14</v>
      </c>
      <c r="AA214" s="25">
        <v>116</v>
      </c>
      <c r="AB214" s="37">
        <v>1</v>
      </c>
      <c r="AC214" s="30">
        <f t="shared" si="41"/>
        <v>200</v>
      </c>
      <c r="AD214" s="31">
        <f t="shared" si="44"/>
        <v>8</v>
      </c>
      <c r="AE214" s="31" t="str">
        <f t="shared" si="45"/>
        <v/>
      </c>
      <c r="AF214" s="31">
        <f t="shared" si="46"/>
        <v>7</v>
      </c>
      <c r="AG214" s="31" t="str">
        <f t="shared" si="47"/>
        <v/>
      </c>
      <c r="AH214" s="31" t="str">
        <f t="shared" si="48"/>
        <v/>
      </c>
      <c r="AI214" s="31" t="str">
        <f t="shared" si="49"/>
        <v/>
      </c>
      <c r="AJ214" s="25">
        <v>8</v>
      </c>
      <c r="AK214" s="25">
        <v>7</v>
      </c>
      <c r="AL214" s="25">
        <v>0</v>
      </c>
      <c r="AM214" s="23" t="s">
        <v>206</v>
      </c>
      <c r="AN214" s="23" t="s">
        <v>92</v>
      </c>
      <c r="AO214" s="25">
        <v>280</v>
      </c>
      <c r="AR214" s="32" t="str">
        <f t="shared" si="50"/>
        <v>3 doors</v>
      </c>
      <c r="AS214" s="23" t="s">
        <v>289</v>
      </c>
      <c r="AT214" s="23" t="s">
        <v>270</v>
      </c>
      <c r="AU214" s="23" t="str">
        <f t="shared" si="52"/>
        <v>CC</v>
      </c>
      <c r="AV214" s="34">
        <f t="shared" si="51"/>
        <v>1550.04</v>
      </c>
      <c r="AW214" s="23">
        <v>15</v>
      </c>
      <c r="AX214" s="23">
        <v>50</v>
      </c>
      <c r="AY214" s="23">
        <v>4</v>
      </c>
    </row>
    <row r="215" spans="1:51">
      <c r="A215" s="25">
        <v>280</v>
      </c>
      <c r="B215" s="23" t="s">
        <v>125</v>
      </c>
      <c r="C215" s="23" t="s">
        <v>289</v>
      </c>
      <c r="D215" s="23">
        <v>3</v>
      </c>
      <c r="E215" s="25" t="s">
        <v>286</v>
      </c>
      <c r="F215" s="25" t="s">
        <v>307</v>
      </c>
      <c r="G215" s="23" t="s">
        <v>27</v>
      </c>
      <c r="H215" s="23" t="s">
        <v>169</v>
      </c>
      <c r="I215" s="25">
        <v>1980</v>
      </c>
      <c r="J215" s="35">
        <v>30</v>
      </c>
      <c r="K215" s="35">
        <v>40</v>
      </c>
      <c r="L215" s="35">
        <v>20</v>
      </c>
      <c r="M215" s="25">
        <v>10</v>
      </c>
      <c r="N215" s="25">
        <v>10</v>
      </c>
      <c r="O215" s="25">
        <v>10</v>
      </c>
      <c r="R215" s="30">
        <f t="shared" si="42"/>
        <v>30</v>
      </c>
      <c r="S215" s="37">
        <v>1</v>
      </c>
      <c r="T215" s="30">
        <f t="shared" si="40"/>
        <v>20.022857142857145</v>
      </c>
      <c r="U215" s="37">
        <v>1</v>
      </c>
      <c r="V215" s="30">
        <f t="shared" si="38"/>
        <v>26.076190476190479</v>
      </c>
      <c r="W215" s="25">
        <v>78</v>
      </c>
      <c r="X215" s="31">
        <f t="shared" si="43"/>
        <v>217.60000000000002</v>
      </c>
      <c r="Y215" s="25">
        <v>160</v>
      </c>
      <c r="Z215" s="25">
        <v>14</v>
      </c>
      <c r="AA215" s="25">
        <v>116</v>
      </c>
      <c r="AB215" s="37">
        <v>1</v>
      </c>
      <c r="AC215" s="30">
        <f t="shared" si="41"/>
        <v>200</v>
      </c>
      <c r="AD215" s="31">
        <f t="shared" si="44"/>
        <v>8</v>
      </c>
      <c r="AE215" s="31" t="str">
        <f t="shared" si="45"/>
        <v/>
      </c>
      <c r="AF215" s="31">
        <f t="shared" si="46"/>
        <v>7</v>
      </c>
      <c r="AG215" s="31" t="str">
        <f t="shared" si="47"/>
        <v/>
      </c>
      <c r="AH215" s="31" t="str">
        <f t="shared" si="48"/>
        <v/>
      </c>
      <c r="AI215" s="31" t="str">
        <f t="shared" si="49"/>
        <v/>
      </c>
      <c r="AJ215" s="25">
        <v>8</v>
      </c>
      <c r="AK215" s="25">
        <v>7</v>
      </c>
      <c r="AL215" s="25">
        <v>0</v>
      </c>
      <c r="AM215" s="23" t="s">
        <v>206</v>
      </c>
      <c r="AN215" s="23" t="s">
        <v>92</v>
      </c>
      <c r="AO215" s="25">
        <v>280</v>
      </c>
      <c r="AR215" s="32" t="str">
        <f t="shared" si="50"/>
        <v>3 doors</v>
      </c>
      <c r="AS215" s="23" t="s">
        <v>289</v>
      </c>
      <c r="AT215" s="23" t="s">
        <v>270</v>
      </c>
      <c r="AU215" s="23" t="str">
        <f t="shared" si="52"/>
        <v>CC</v>
      </c>
      <c r="AV215" s="34">
        <f t="shared" si="51"/>
        <v>1550.05</v>
      </c>
      <c r="AW215" s="23">
        <v>15</v>
      </c>
      <c r="AX215" s="23">
        <v>50</v>
      </c>
      <c r="AY215" s="23">
        <v>5</v>
      </c>
    </row>
    <row r="216" spans="1:51">
      <c r="A216" s="25">
        <v>280</v>
      </c>
      <c r="B216" s="23" t="s">
        <v>89</v>
      </c>
      <c r="C216" s="23" t="s">
        <v>28</v>
      </c>
      <c r="D216" s="23">
        <v>4</v>
      </c>
      <c r="E216" s="25" t="s">
        <v>30</v>
      </c>
      <c r="F216" s="25" t="s">
        <v>296</v>
      </c>
      <c r="G216" s="23" t="s">
        <v>28</v>
      </c>
      <c r="H216" s="23" t="s">
        <v>163</v>
      </c>
      <c r="I216" s="25">
        <v>1997</v>
      </c>
      <c r="J216" s="35">
        <v>30</v>
      </c>
      <c r="K216" s="35">
        <v>40</v>
      </c>
      <c r="L216" s="35">
        <v>20</v>
      </c>
      <c r="M216" s="25">
        <v>10</v>
      </c>
      <c r="N216" s="25">
        <v>10</v>
      </c>
      <c r="O216" s="25">
        <v>10</v>
      </c>
      <c r="P216" s="25">
        <v>10</v>
      </c>
      <c r="R216" s="30">
        <f t="shared" si="42"/>
        <v>40</v>
      </c>
      <c r="S216" s="37">
        <v>1</v>
      </c>
      <c r="T216" s="30">
        <f t="shared" si="40"/>
        <v>26.761142857142858</v>
      </c>
      <c r="U216" s="37">
        <v>1</v>
      </c>
      <c r="V216" s="30">
        <f t="shared" si="38"/>
        <v>25.395809523809529</v>
      </c>
      <c r="W216" s="25">
        <v>72</v>
      </c>
      <c r="X216" s="31">
        <f t="shared" si="43"/>
        <v>258.40000000000003</v>
      </c>
      <c r="Y216" s="25">
        <v>190</v>
      </c>
      <c r="Z216" s="25">
        <v>14</v>
      </c>
      <c r="AA216" s="25">
        <v>140</v>
      </c>
      <c r="AB216" s="37">
        <v>1</v>
      </c>
      <c r="AC216" s="30">
        <f t="shared" si="41"/>
        <v>200</v>
      </c>
      <c r="AD216" s="31">
        <f t="shared" si="44"/>
        <v>8</v>
      </c>
      <c r="AE216" s="31" t="str">
        <f t="shared" si="45"/>
        <v/>
      </c>
      <c r="AF216" s="31">
        <f t="shared" si="46"/>
        <v>7</v>
      </c>
      <c r="AG216" s="31" t="str">
        <f t="shared" si="47"/>
        <v/>
      </c>
      <c r="AH216" s="31" t="str">
        <f t="shared" si="48"/>
        <v/>
      </c>
      <c r="AI216" s="31" t="str">
        <f t="shared" si="49"/>
        <v/>
      </c>
      <c r="AJ216" s="25">
        <v>8</v>
      </c>
      <c r="AK216" s="25">
        <v>7</v>
      </c>
      <c r="AL216" s="25">
        <v>0</v>
      </c>
      <c r="AM216" s="23" t="s">
        <v>206</v>
      </c>
      <c r="AN216" s="23" t="s">
        <v>92</v>
      </c>
      <c r="AO216" s="25">
        <v>280</v>
      </c>
      <c r="AR216" s="32" t="str">
        <f t="shared" si="50"/>
        <v>4 doors</v>
      </c>
      <c r="AS216" s="23" t="s">
        <v>294</v>
      </c>
      <c r="AT216" s="23" t="s">
        <v>32</v>
      </c>
      <c r="AU216" s="23" t="str">
        <f t="shared" si="52"/>
        <v>CC</v>
      </c>
      <c r="AV216" s="34">
        <f t="shared" si="51"/>
        <v>1560</v>
      </c>
      <c r="AW216" s="23">
        <v>15</v>
      </c>
      <c r="AX216" s="23">
        <v>60</v>
      </c>
      <c r="AY216" s="23">
        <v>0</v>
      </c>
    </row>
    <row r="217" spans="1:51">
      <c r="A217" s="25">
        <v>280</v>
      </c>
      <c r="B217" s="23" t="s">
        <v>89</v>
      </c>
      <c r="C217" s="23" t="s">
        <v>28</v>
      </c>
      <c r="D217" s="23">
        <v>4</v>
      </c>
      <c r="E217" s="25" t="s">
        <v>42</v>
      </c>
      <c r="F217" s="25" t="s">
        <v>295</v>
      </c>
      <c r="G217" s="23" t="s">
        <v>28</v>
      </c>
      <c r="H217" s="23" t="s">
        <v>163</v>
      </c>
      <c r="I217" s="25">
        <v>1997</v>
      </c>
      <c r="J217" s="35">
        <v>30</v>
      </c>
      <c r="K217" s="35">
        <v>40</v>
      </c>
      <c r="L217" s="35">
        <v>20</v>
      </c>
      <c r="M217" s="25">
        <v>10</v>
      </c>
      <c r="N217" s="25">
        <v>10</v>
      </c>
      <c r="O217" s="25">
        <v>10</v>
      </c>
      <c r="P217" s="25">
        <v>10</v>
      </c>
      <c r="R217" s="30">
        <f t="shared" si="42"/>
        <v>40</v>
      </c>
      <c r="S217" s="37">
        <v>1</v>
      </c>
      <c r="T217" s="30">
        <f t="shared" si="40"/>
        <v>26.761142857142858</v>
      </c>
      <c r="U217" s="37">
        <v>1</v>
      </c>
      <c r="V217" s="30">
        <f t="shared" si="38"/>
        <v>25.395809523809529</v>
      </c>
      <c r="W217" s="25">
        <v>72</v>
      </c>
      <c r="X217" s="31">
        <f t="shared" si="43"/>
        <v>258.40000000000003</v>
      </c>
      <c r="Y217" s="25">
        <v>190</v>
      </c>
      <c r="Z217" s="25">
        <v>14</v>
      </c>
      <c r="AA217" s="25">
        <v>140</v>
      </c>
      <c r="AB217" s="37">
        <v>1</v>
      </c>
      <c r="AC217" s="30">
        <f t="shared" si="41"/>
        <v>200</v>
      </c>
      <c r="AD217" s="31">
        <f t="shared" si="44"/>
        <v>8</v>
      </c>
      <c r="AE217" s="31" t="str">
        <f t="shared" si="45"/>
        <v/>
      </c>
      <c r="AF217" s="31">
        <f t="shared" si="46"/>
        <v>7</v>
      </c>
      <c r="AG217" s="31" t="str">
        <f t="shared" si="47"/>
        <v/>
      </c>
      <c r="AH217" s="31" t="str">
        <f t="shared" si="48"/>
        <v/>
      </c>
      <c r="AI217" s="31" t="str">
        <f t="shared" si="49"/>
        <v/>
      </c>
      <c r="AJ217" s="25">
        <v>8</v>
      </c>
      <c r="AK217" s="25">
        <v>7</v>
      </c>
      <c r="AL217" s="25">
        <v>0</v>
      </c>
      <c r="AM217" s="23" t="s">
        <v>206</v>
      </c>
      <c r="AN217" s="23" t="s">
        <v>92</v>
      </c>
      <c r="AO217" s="25">
        <v>280</v>
      </c>
      <c r="AR217" s="32" t="str">
        <f t="shared" si="50"/>
        <v>4 doors</v>
      </c>
      <c r="AS217" s="23" t="s">
        <v>294</v>
      </c>
      <c r="AT217" s="23" t="s">
        <v>32</v>
      </c>
      <c r="AU217" s="23" t="str">
        <f t="shared" si="52"/>
        <v>CC</v>
      </c>
      <c r="AV217" s="34">
        <f t="shared" si="51"/>
        <v>1560.01</v>
      </c>
      <c r="AW217" s="23">
        <v>15</v>
      </c>
      <c r="AX217" s="23">
        <v>60</v>
      </c>
      <c r="AY217" s="23">
        <v>1</v>
      </c>
    </row>
    <row r="218" spans="1:51">
      <c r="A218" s="25">
        <v>280</v>
      </c>
      <c r="B218" s="23" t="s">
        <v>89</v>
      </c>
      <c r="C218" s="23" t="s">
        <v>127</v>
      </c>
      <c r="D218" s="23">
        <v>4</v>
      </c>
      <c r="E218" s="25" t="s">
        <v>30</v>
      </c>
      <c r="F218" s="25" t="s">
        <v>319</v>
      </c>
      <c r="G218" s="23" t="s">
        <v>27</v>
      </c>
      <c r="H218" s="23" t="s">
        <v>240</v>
      </c>
      <c r="I218" s="25">
        <v>1998</v>
      </c>
      <c r="J218" s="35">
        <v>30</v>
      </c>
      <c r="K218" s="35">
        <v>40</v>
      </c>
      <c r="L218" s="35">
        <v>20</v>
      </c>
      <c r="M218" s="25">
        <v>10</v>
      </c>
      <c r="N218" s="25">
        <v>10</v>
      </c>
      <c r="O218" s="25">
        <v>10</v>
      </c>
      <c r="P218" s="25">
        <v>10</v>
      </c>
      <c r="R218" s="30">
        <f t="shared" si="42"/>
        <v>40</v>
      </c>
      <c r="S218" s="37">
        <v>1</v>
      </c>
      <c r="T218" s="30">
        <f t="shared" si="40"/>
        <v>22.777142857142859</v>
      </c>
      <c r="U218" s="37">
        <v>1</v>
      </c>
      <c r="V218" s="30">
        <f t="shared" si="38"/>
        <v>31.070476190476196</v>
      </c>
      <c r="W218" s="25">
        <v>72</v>
      </c>
      <c r="X218" s="31">
        <f t="shared" si="43"/>
        <v>258.40000000000003</v>
      </c>
      <c r="Y218" s="25">
        <v>190</v>
      </c>
      <c r="Z218" s="25">
        <v>14</v>
      </c>
      <c r="AA218" s="25">
        <v>146</v>
      </c>
      <c r="AB218" s="37">
        <v>1</v>
      </c>
      <c r="AC218" s="30">
        <f t="shared" si="41"/>
        <v>200</v>
      </c>
      <c r="AD218" s="31">
        <f t="shared" si="44"/>
        <v>8</v>
      </c>
      <c r="AE218" s="31" t="str">
        <f t="shared" si="45"/>
        <v/>
      </c>
      <c r="AF218" s="31">
        <f t="shared" si="46"/>
        <v>7</v>
      </c>
      <c r="AG218" s="31" t="str">
        <f t="shared" si="47"/>
        <v/>
      </c>
      <c r="AH218" s="31" t="str">
        <f t="shared" si="48"/>
        <v/>
      </c>
      <c r="AI218" s="31" t="str">
        <f t="shared" si="49"/>
        <v/>
      </c>
      <c r="AJ218" s="25">
        <v>8</v>
      </c>
      <c r="AK218" s="25">
        <v>7</v>
      </c>
      <c r="AL218" s="25">
        <v>0</v>
      </c>
      <c r="AM218" s="23" t="s">
        <v>206</v>
      </c>
      <c r="AN218" s="23" t="s">
        <v>92</v>
      </c>
      <c r="AO218" s="25">
        <v>280</v>
      </c>
      <c r="AR218" s="32" t="str">
        <f t="shared" si="50"/>
        <v>4 doors</v>
      </c>
      <c r="AS218" s="23" t="s">
        <v>293</v>
      </c>
      <c r="AT218" s="23" t="s">
        <v>32</v>
      </c>
      <c r="AU218" s="23" t="str">
        <f t="shared" si="52"/>
        <v>CC</v>
      </c>
      <c r="AV218" s="34">
        <f t="shared" si="51"/>
        <v>1570</v>
      </c>
      <c r="AW218" s="23">
        <v>15</v>
      </c>
      <c r="AX218" s="23">
        <v>70</v>
      </c>
      <c r="AY218" s="23">
        <v>0</v>
      </c>
    </row>
    <row r="219" spans="1:51">
      <c r="A219" s="25">
        <v>280</v>
      </c>
      <c r="B219" s="23" t="s">
        <v>89</v>
      </c>
      <c r="C219" s="23" t="s">
        <v>127</v>
      </c>
      <c r="D219" s="23">
        <v>4</v>
      </c>
      <c r="E219" s="25" t="s">
        <v>42</v>
      </c>
      <c r="F219" s="25" t="s">
        <v>295</v>
      </c>
      <c r="G219" s="23" t="s">
        <v>27</v>
      </c>
      <c r="H219" s="23" t="s">
        <v>240</v>
      </c>
      <c r="I219" s="25">
        <v>1998</v>
      </c>
      <c r="J219" s="35">
        <v>30</v>
      </c>
      <c r="K219" s="35">
        <v>40</v>
      </c>
      <c r="L219" s="35">
        <v>20</v>
      </c>
      <c r="M219" s="25">
        <v>10</v>
      </c>
      <c r="N219" s="25">
        <v>10</v>
      </c>
      <c r="O219" s="25">
        <v>10</v>
      </c>
      <c r="P219" s="25">
        <v>10</v>
      </c>
      <c r="R219" s="30">
        <f t="shared" si="42"/>
        <v>40</v>
      </c>
      <c r="S219" s="37">
        <v>1</v>
      </c>
      <c r="T219" s="30">
        <f t="shared" si="40"/>
        <v>22.777142857142859</v>
      </c>
      <c r="U219" s="37">
        <v>1</v>
      </c>
      <c r="V219" s="30">
        <f t="shared" si="38"/>
        <v>31.070476190476196</v>
      </c>
      <c r="W219" s="25">
        <v>72</v>
      </c>
      <c r="X219" s="31">
        <f t="shared" si="43"/>
        <v>258.40000000000003</v>
      </c>
      <c r="Y219" s="25">
        <v>190</v>
      </c>
      <c r="Z219" s="25">
        <v>14</v>
      </c>
      <c r="AA219" s="25">
        <v>146</v>
      </c>
      <c r="AB219" s="37">
        <v>1</v>
      </c>
      <c r="AC219" s="30">
        <f t="shared" si="41"/>
        <v>200</v>
      </c>
      <c r="AD219" s="31">
        <f t="shared" si="44"/>
        <v>8</v>
      </c>
      <c r="AE219" s="31" t="str">
        <f t="shared" si="45"/>
        <v/>
      </c>
      <c r="AF219" s="31">
        <f t="shared" si="46"/>
        <v>7</v>
      </c>
      <c r="AG219" s="31" t="str">
        <f t="shared" si="47"/>
        <v/>
      </c>
      <c r="AH219" s="31" t="str">
        <f t="shared" si="48"/>
        <v/>
      </c>
      <c r="AI219" s="31" t="str">
        <f t="shared" si="49"/>
        <v/>
      </c>
      <c r="AJ219" s="25">
        <v>8</v>
      </c>
      <c r="AK219" s="25">
        <v>7</v>
      </c>
      <c r="AL219" s="25">
        <v>0</v>
      </c>
      <c r="AM219" s="23" t="s">
        <v>206</v>
      </c>
      <c r="AN219" s="23" t="s">
        <v>92</v>
      </c>
      <c r="AO219" s="25">
        <v>280</v>
      </c>
      <c r="AR219" s="32" t="str">
        <f t="shared" si="50"/>
        <v>4 doors</v>
      </c>
      <c r="AS219" s="23" t="s">
        <v>293</v>
      </c>
      <c r="AT219" s="23" t="s">
        <v>32</v>
      </c>
      <c r="AU219" s="23" t="str">
        <f t="shared" si="52"/>
        <v>CC</v>
      </c>
      <c r="AV219" s="34">
        <f t="shared" si="51"/>
        <v>1570.01</v>
      </c>
      <c r="AW219" s="23">
        <v>15</v>
      </c>
      <c r="AX219" s="23">
        <v>70</v>
      </c>
      <c r="AY219" s="23">
        <v>1</v>
      </c>
    </row>
    <row r="220" spans="1:51">
      <c r="A220" s="25">
        <v>280</v>
      </c>
      <c r="B220" s="23" t="s">
        <v>89</v>
      </c>
      <c r="C220" s="23" t="s">
        <v>127</v>
      </c>
      <c r="D220" s="23">
        <v>4</v>
      </c>
      <c r="E220" s="25" t="s">
        <v>96</v>
      </c>
      <c r="F220" s="25" t="s">
        <v>85</v>
      </c>
      <c r="G220" s="23" t="s">
        <v>27</v>
      </c>
      <c r="H220" s="23" t="s">
        <v>240</v>
      </c>
      <c r="I220" s="25">
        <v>1998</v>
      </c>
      <c r="J220" s="35">
        <v>30</v>
      </c>
      <c r="K220" s="35">
        <v>40</v>
      </c>
      <c r="L220" s="35">
        <v>20</v>
      </c>
      <c r="M220" s="25">
        <v>10</v>
      </c>
      <c r="N220" s="25">
        <v>10</v>
      </c>
      <c r="O220" s="25">
        <v>10</v>
      </c>
      <c r="P220" s="25">
        <v>10</v>
      </c>
      <c r="R220" s="30">
        <f t="shared" si="42"/>
        <v>40</v>
      </c>
      <c r="S220" s="37">
        <v>1</v>
      </c>
      <c r="T220" s="30">
        <f t="shared" si="40"/>
        <v>22.777142857142859</v>
      </c>
      <c r="U220" s="37">
        <v>1</v>
      </c>
      <c r="V220" s="30">
        <f t="shared" si="38"/>
        <v>31.070476190476196</v>
      </c>
      <c r="W220" s="25">
        <v>72</v>
      </c>
      <c r="X220" s="31">
        <f t="shared" si="43"/>
        <v>258.40000000000003</v>
      </c>
      <c r="Y220" s="25">
        <v>190</v>
      </c>
      <c r="Z220" s="25">
        <v>14</v>
      </c>
      <c r="AA220" s="25">
        <v>146</v>
      </c>
      <c r="AB220" s="37">
        <v>1</v>
      </c>
      <c r="AC220" s="30">
        <f t="shared" si="41"/>
        <v>200</v>
      </c>
      <c r="AD220" s="31">
        <f t="shared" si="44"/>
        <v>8</v>
      </c>
      <c r="AE220" s="31" t="str">
        <f t="shared" si="45"/>
        <v/>
      </c>
      <c r="AF220" s="31">
        <f t="shared" si="46"/>
        <v>7</v>
      </c>
      <c r="AG220" s="31" t="str">
        <f t="shared" si="47"/>
        <v/>
      </c>
      <c r="AH220" s="31" t="str">
        <f t="shared" si="48"/>
        <v/>
      </c>
      <c r="AI220" s="31" t="str">
        <f t="shared" si="49"/>
        <v/>
      </c>
      <c r="AJ220" s="25">
        <v>8</v>
      </c>
      <c r="AK220" s="25">
        <v>7</v>
      </c>
      <c r="AL220" s="25">
        <v>0</v>
      </c>
      <c r="AM220" s="23" t="s">
        <v>206</v>
      </c>
      <c r="AN220" s="23" t="s">
        <v>92</v>
      </c>
      <c r="AO220" s="25">
        <v>280</v>
      </c>
      <c r="AR220" s="32" t="str">
        <f t="shared" si="50"/>
        <v>4 doors</v>
      </c>
      <c r="AS220" s="23" t="s">
        <v>293</v>
      </c>
      <c r="AT220" s="23" t="s">
        <v>32</v>
      </c>
      <c r="AU220" s="23" t="str">
        <f t="shared" si="52"/>
        <v>Hungary</v>
      </c>
      <c r="AV220" s="34">
        <f t="shared" si="51"/>
        <v>1570.02</v>
      </c>
      <c r="AW220" s="23">
        <v>15</v>
      </c>
      <c r="AX220" s="23">
        <v>70</v>
      </c>
      <c r="AY220" s="23">
        <v>2</v>
      </c>
    </row>
    <row r="221" spans="1:51">
      <c r="A221" s="25">
        <v>280</v>
      </c>
      <c r="B221" s="23" t="s">
        <v>89</v>
      </c>
      <c r="C221" s="23" t="s">
        <v>127</v>
      </c>
      <c r="D221" s="23">
        <v>4</v>
      </c>
      <c r="E221" s="25" t="s">
        <v>97</v>
      </c>
      <c r="F221" s="25" t="s">
        <v>85</v>
      </c>
      <c r="G221" s="23" t="s">
        <v>27</v>
      </c>
      <c r="H221" s="23" t="s">
        <v>240</v>
      </c>
      <c r="I221" s="25">
        <v>1998</v>
      </c>
      <c r="J221" s="35">
        <v>30</v>
      </c>
      <c r="K221" s="35">
        <v>40</v>
      </c>
      <c r="L221" s="35">
        <v>20</v>
      </c>
      <c r="M221" s="25">
        <v>10</v>
      </c>
      <c r="N221" s="25">
        <v>10</v>
      </c>
      <c r="O221" s="25">
        <v>10</v>
      </c>
      <c r="P221" s="25">
        <v>10</v>
      </c>
      <c r="R221" s="30">
        <f t="shared" si="42"/>
        <v>40</v>
      </c>
      <c r="S221" s="37">
        <v>1</v>
      </c>
      <c r="T221" s="30">
        <f t="shared" si="40"/>
        <v>22.777142857142859</v>
      </c>
      <c r="U221" s="37">
        <v>1</v>
      </c>
      <c r="V221" s="30">
        <f t="shared" si="38"/>
        <v>31.070476190476196</v>
      </c>
      <c r="W221" s="25">
        <v>72</v>
      </c>
      <c r="X221" s="31">
        <f t="shared" si="43"/>
        <v>258.40000000000003</v>
      </c>
      <c r="Y221" s="25">
        <v>190</v>
      </c>
      <c r="Z221" s="25">
        <v>14</v>
      </c>
      <c r="AA221" s="25">
        <v>146</v>
      </c>
      <c r="AB221" s="37">
        <v>1</v>
      </c>
      <c r="AC221" s="30">
        <f t="shared" si="41"/>
        <v>200</v>
      </c>
      <c r="AD221" s="31">
        <f t="shared" si="44"/>
        <v>8</v>
      </c>
      <c r="AE221" s="31" t="str">
        <f t="shared" si="45"/>
        <v/>
      </c>
      <c r="AF221" s="31">
        <f t="shared" si="46"/>
        <v>7</v>
      </c>
      <c r="AG221" s="31" t="str">
        <f t="shared" si="47"/>
        <v/>
      </c>
      <c r="AH221" s="31" t="str">
        <f t="shared" si="48"/>
        <v/>
      </c>
      <c r="AI221" s="31" t="str">
        <f t="shared" si="49"/>
        <v/>
      </c>
      <c r="AJ221" s="25">
        <v>8</v>
      </c>
      <c r="AK221" s="25">
        <v>7</v>
      </c>
      <c r="AL221" s="25">
        <v>0</v>
      </c>
      <c r="AM221" s="23" t="s">
        <v>206</v>
      </c>
      <c r="AN221" s="23" t="s">
        <v>92</v>
      </c>
      <c r="AO221" s="25">
        <v>280</v>
      </c>
      <c r="AR221" s="32" t="str">
        <f t="shared" si="50"/>
        <v>4 doors</v>
      </c>
      <c r="AS221" s="23" t="s">
        <v>293</v>
      </c>
      <c r="AT221" s="23" t="s">
        <v>32</v>
      </c>
      <c r="AU221" s="23" t="str">
        <f t="shared" si="52"/>
        <v>Hungary</v>
      </c>
      <c r="AV221" s="34">
        <f t="shared" si="51"/>
        <v>1570.03</v>
      </c>
      <c r="AW221" s="23">
        <v>15</v>
      </c>
      <c r="AX221" s="23">
        <v>70</v>
      </c>
      <c r="AY221" s="23">
        <v>3</v>
      </c>
    </row>
    <row r="222" spans="1:51">
      <c r="A222" s="25" t="s">
        <v>257</v>
      </c>
      <c r="B222" s="23" t="s">
        <v>89</v>
      </c>
      <c r="D222" s="23">
        <v>4</v>
      </c>
      <c r="E222" s="25" t="s">
        <v>30</v>
      </c>
      <c r="F222" s="25" t="s">
        <v>295</v>
      </c>
      <c r="G222" s="23" t="s">
        <v>27</v>
      </c>
      <c r="H222" s="23" t="s">
        <v>258</v>
      </c>
      <c r="I222" s="25">
        <v>1998</v>
      </c>
      <c r="J222" s="35">
        <v>30</v>
      </c>
      <c r="K222" s="35">
        <v>40</v>
      </c>
      <c r="L222" s="35">
        <v>20</v>
      </c>
      <c r="M222" s="25">
        <v>10</v>
      </c>
      <c r="N222" s="25">
        <v>10</v>
      </c>
      <c r="O222" s="25">
        <v>10</v>
      </c>
      <c r="P222" s="25">
        <v>10</v>
      </c>
      <c r="R222" s="30">
        <f t="shared" si="42"/>
        <v>40</v>
      </c>
      <c r="S222" s="37">
        <v>1</v>
      </c>
      <c r="T222" s="30">
        <f t="shared" si="40"/>
        <v>23.797142857142859</v>
      </c>
      <c r="U222" s="37">
        <v>1</v>
      </c>
      <c r="V222" s="30">
        <f t="shared" si="38"/>
        <v>32.923809523809524</v>
      </c>
      <c r="W222" s="25">
        <v>90</v>
      </c>
      <c r="X222" s="31">
        <f t="shared" si="43"/>
        <v>278.8</v>
      </c>
      <c r="Y222" s="25">
        <v>205</v>
      </c>
      <c r="Z222" s="25">
        <v>14</v>
      </c>
      <c r="AA222" s="25">
        <v>118</v>
      </c>
      <c r="AB222" s="37">
        <v>1</v>
      </c>
      <c r="AC222" s="30">
        <f t="shared" si="41"/>
        <v>200</v>
      </c>
      <c r="AD222" s="31">
        <f t="shared" si="44"/>
        <v>8</v>
      </c>
      <c r="AE222" s="31" t="str">
        <f t="shared" si="45"/>
        <v/>
      </c>
      <c r="AF222" s="31">
        <f t="shared" si="46"/>
        <v>7</v>
      </c>
      <c r="AG222" s="31" t="str">
        <f t="shared" si="47"/>
        <v/>
      </c>
      <c r="AH222" s="31" t="str">
        <f t="shared" si="48"/>
        <v/>
      </c>
      <c r="AI222" s="31" t="str">
        <f t="shared" si="49"/>
        <v/>
      </c>
      <c r="AJ222" s="25">
        <v>8</v>
      </c>
      <c r="AK222" s="25">
        <v>7</v>
      </c>
      <c r="AL222" s="25">
        <v>0</v>
      </c>
      <c r="AM222" s="23" t="s">
        <v>206</v>
      </c>
      <c r="AN222" s="23" t="s">
        <v>92</v>
      </c>
      <c r="AO222" s="26" t="s">
        <v>257</v>
      </c>
      <c r="AR222" s="32" t="str">
        <f t="shared" si="50"/>
        <v>4 doors</v>
      </c>
      <c r="AS222" s="23" t="s">
        <v>260</v>
      </c>
      <c r="AT222" s="23" t="s">
        <v>32</v>
      </c>
      <c r="AU222" s="23" t="str">
        <f t="shared" si="52"/>
        <v>CC</v>
      </c>
      <c r="AV222" s="34">
        <f t="shared" si="51"/>
        <v>1580</v>
      </c>
      <c r="AW222" s="23">
        <v>15</v>
      </c>
      <c r="AX222" s="23">
        <v>80</v>
      </c>
      <c r="AY222" s="23">
        <v>0</v>
      </c>
    </row>
    <row r="223" spans="1:51">
      <c r="A223" s="25" t="s">
        <v>257</v>
      </c>
      <c r="B223" s="23" t="s">
        <v>89</v>
      </c>
      <c r="D223" s="23">
        <v>4</v>
      </c>
      <c r="E223" s="25" t="s">
        <v>42</v>
      </c>
      <c r="F223" s="25" t="s">
        <v>296</v>
      </c>
      <c r="G223" s="23" t="s">
        <v>27</v>
      </c>
      <c r="H223" s="23" t="s">
        <v>258</v>
      </c>
      <c r="I223" s="25">
        <v>1998</v>
      </c>
      <c r="J223" s="35">
        <v>30</v>
      </c>
      <c r="K223" s="35">
        <v>40</v>
      </c>
      <c r="L223" s="35">
        <v>20</v>
      </c>
      <c r="M223" s="25">
        <v>10</v>
      </c>
      <c r="N223" s="25">
        <v>10</v>
      </c>
      <c r="O223" s="25">
        <v>10</v>
      </c>
      <c r="P223" s="25">
        <v>10</v>
      </c>
      <c r="R223" s="30">
        <f t="shared" si="42"/>
        <v>40</v>
      </c>
      <c r="S223" s="37">
        <v>1</v>
      </c>
      <c r="T223" s="30">
        <f t="shared" si="40"/>
        <v>23.797142857142859</v>
      </c>
      <c r="U223" s="37">
        <v>1</v>
      </c>
      <c r="V223" s="30">
        <f t="shared" si="38"/>
        <v>32.923809523809524</v>
      </c>
      <c r="W223" s="25">
        <v>90</v>
      </c>
      <c r="X223" s="31">
        <f t="shared" si="43"/>
        <v>278.8</v>
      </c>
      <c r="Y223" s="25">
        <v>205</v>
      </c>
      <c r="Z223" s="25">
        <v>14</v>
      </c>
      <c r="AA223" s="25">
        <v>118</v>
      </c>
      <c r="AB223" s="37">
        <v>1</v>
      </c>
      <c r="AC223" s="30">
        <f t="shared" si="41"/>
        <v>200</v>
      </c>
      <c r="AD223" s="31">
        <f t="shared" si="44"/>
        <v>8</v>
      </c>
      <c r="AE223" s="31" t="str">
        <f t="shared" si="45"/>
        <v/>
      </c>
      <c r="AF223" s="31">
        <f t="shared" si="46"/>
        <v>7</v>
      </c>
      <c r="AG223" s="31" t="str">
        <f t="shared" si="47"/>
        <v/>
      </c>
      <c r="AH223" s="31" t="str">
        <f t="shared" si="48"/>
        <v/>
      </c>
      <c r="AI223" s="31" t="str">
        <f t="shared" si="49"/>
        <v/>
      </c>
      <c r="AJ223" s="25">
        <v>8</v>
      </c>
      <c r="AK223" s="25">
        <v>7</v>
      </c>
      <c r="AL223" s="25">
        <v>0</v>
      </c>
      <c r="AM223" s="23" t="s">
        <v>206</v>
      </c>
      <c r="AN223" s="23" t="s">
        <v>92</v>
      </c>
      <c r="AO223" s="26" t="s">
        <v>257</v>
      </c>
      <c r="AR223" s="32" t="str">
        <f t="shared" si="50"/>
        <v>4 doors</v>
      </c>
      <c r="AS223" s="23" t="s">
        <v>260</v>
      </c>
      <c r="AT223" s="23" t="s">
        <v>32</v>
      </c>
      <c r="AU223" s="23" t="str">
        <f t="shared" si="52"/>
        <v>CC</v>
      </c>
      <c r="AV223" s="34">
        <f t="shared" si="51"/>
        <v>1580.01</v>
      </c>
      <c r="AW223" s="23">
        <v>15</v>
      </c>
      <c r="AX223" s="23">
        <v>80</v>
      </c>
      <c r="AY223" s="23">
        <v>1</v>
      </c>
    </row>
    <row r="224" spans="1:51">
      <c r="A224" s="25" t="s">
        <v>257</v>
      </c>
      <c r="B224" s="23" t="s">
        <v>89</v>
      </c>
      <c r="D224" s="23">
        <v>4</v>
      </c>
      <c r="E224" s="25" t="s">
        <v>43</v>
      </c>
      <c r="F224" s="25" t="s">
        <v>297</v>
      </c>
      <c r="G224" s="23" t="s">
        <v>27</v>
      </c>
      <c r="H224" s="23" t="s">
        <v>258</v>
      </c>
      <c r="I224" s="25">
        <v>1998</v>
      </c>
      <c r="J224" s="35">
        <v>30</v>
      </c>
      <c r="K224" s="35">
        <v>40</v>
      </c>
      <c r="L224" s="35">
        <v>20</v>
      </c>
      <c r="M224" s="25">
        <v>10</v>
      </c>
      <c r="N224" s="25">
        <v>10</v>
      </c>
      <c r="O224" s="25">
        <v>10</v>
      </c>
      <c r="P224" s="25">
        <v>10</v>
      </c>
      <c r="R224" s="30">
        <f t="shared" si="42"/>
        <v>40</v>
      </c>
      <c r="S224" s="37">
        <v>1</v>
      </c>
      <c r="T224" s="30">
        <f t="shared" si="40"/>
        <v>23.797142857142859</v>
      </c>
      <c r="U224" s="37">
        <v>1</v>
      </c>
      <c r="V224" s="30">
        <f t="shared" ref="V224:V287" si="53">U224*IF(G224="petrol", ((Z224+(AA224/15)+X224)/10*1.5)+(R224/14), IF(G224="diesel", ((Z224+(AA224/15)+X224)/10)+(R224/14), IF(OR(G224="cng", G224="hybrid"), ((Z224+(AA224/15)+X224)/10*0.8)+(R224/14), IF(OR(G224="hydrogen", G224="electric"), ((Z224+(AA224/15)+X224)/10*0.5)+(R224/14), 0))))</f>
        <v>32.923809523809524</v>
      </c>
      <c r="W224" s="25">
        <v>90</v>
      </c>
      <c r="X224" s="31">
        <f t="shared" si="43"/>
        <v>278.8</v>
      </c>
      <c r="Y224" s="25">
        <v>205</v>
      </c>
      <c r="Z224" s="25">
        <v>14</v>
      </c>
      <c r="AA224" s="25">
        <v>118</v>
      </c>
      <c r="AB224" s="37">
        <v>1</v>
      </c>
      <c r="AC224" s="30">
        <f t="shared" ref="AC224:AC287" si="54">AB224*IF(AT224="Regional", 185, IF(AT224="Intercity", 150, IF(AT224="Tourist", 100, 200)))</f>
        <v>200</v>
      </c>
      <c r="AD224" s="31">
        <f t="shared" si="44"/>
        <v>8</v>
      </c>
      <c r="AE224" s="31" t="str">
        <f t="shared" si="45"/>
        <v/>
      </c>
      <c r="AF224" s="31">
        <f t="shared" si="46"/>
        <v>7</v>
      </c>
      <c r="AG224" s="31" t="str">
        <f t="shared" si="47"/>
        <v/>
      </c>
      <c r="AH224" s="31" t="str">
        <f t="shared" si="48"/>
        <v/>
      </c>
      <c r="AI224" s="31" t="str">
        <f t="shared" si="49"/>
        <v/>
      </c>
      <c r="AJ224" s="25">
        <v>8</v>
      </c>
      <c r="AK224" s="25">
        <v>7</v>
      </c>
      <c r="AL224" s="25">
        <v>0</v>
      </c>
      <c r="AM224" s="23" t="s">
        <v>206</v>
      </c>
      <c r="AN224" s="23" t="s">
        <v>92</v>
      </c>
      <c r="AO224" s="26" t="s">
        <v>257</v>
      </c>
      <c r="AR224" s="32" t="str">
        <f t="shared" si="50"/>
        <v>4 doors</v>
      </c>
      <c r="AS224" s="23" t="s">
        <v>260</v>
      </c>
      <c r="AT224" s="23" t="s">
        <v>32</v>
      </c>
      <c r="AU224" s="23" t="str">
        <f t="shared" si="52"/>
        <v>CC</v>
      </c>
      <c r="AV224" s="34">
        <f t="shared" si="51"/>
        <v>1580.02</v>
      </c>
      <c r="AW224" s="23">
        <v>15</v>
      </c>
      <c r="AX224" s="23">
        <v>80</v>
      </c>
      <c r="AY224" s="23">
        <v>2</v>
      </c>
    </row>
    <row r="225" spans="1:51">
      <c r="A225" s="25" t="s">
        <v>257</v>
      </c>
      <c r="B225" s="23" t="s">
        <v>89</v>
      </c>
      <c r="D225" s="23">
        <v>4</v>
      </c>
      <c r="E225" s="25" t="s">
        <v>284</v>
      </c>
      <c r="F225" s="25" t="s">
        <v>298</v>
      </c>
      <c r="G225" s="23" t="s">
        <v>27</v>
      </c>
      <c r="H225" s="23" t="s">
        <v>258</v>
      </c>
      <c r="I225" s="25">
        <v>1998</v>
      </c>
      <c r="J225" s="35">
        <v>30</v>
      </c>
      <c r="K225" s="35">
        <v>40</v>
      </c>
      <c r="L225" s="35">
        <v>20</v>
      </c>
      <c r="M225" s="25">
        <v>10</v>
      </c>
      <c r="N225" s="25">
        <v>10</v>
      </c>
      <c r="O225" s="25">
        <v>10</v>
      </c>
      <c r="P225" s="25">
        <v>10</v>
      </c>
      <c r="R225" s="30">
        <f t="shared" si="42"/>
        <v>40</v>
      </c>
      <c r="S225" s="37">
        <v>1</v>
      </c>
      <c r="T225" s="30">
        <f t="shared" si="40"/>
        <v>23.797142857142859</v>
      </c>
      <c r="U225" s="37">
        <v>1</v>
      </c>
      <c r="V225" s="30">
        <f t="shared" si="53"/>
        <v>32.923809523809524</v>
      </c>
      <c r="W225" s="25">
        <v>90</v>
      </c>
      <c r="X225" s="31">
        <f t="shared" si="43"/>
        <v>278.8</v>
      </c>
      <c r="Y225" s="25">
        <v>205</v>
      </c>
      <c r="Z225" s="25">
        <v>14</v>
      </c>
      <c r="AA225" s="25">
        <v>118</v>
      </c>
      <c r="AB225" s="37">
        <v>1</v>
      </c>
      <c r="AC225" s="30">
        <f t="shared" si="54"/>
        <v>200</v>
      </c>
      <c r="AD225" s="31">
        <f t="shared" si="44"/>
        <v>8</v>
      </c>
      <c r="AE225" s="31" t="str">
        <f t="shared" si="45"/>
        <v/>
      </c>
      <c r="AF225" s="31">
        <f t="shared" si="46"/>
        <v>7</v>
      </c>
      <c r="AG225" s="31" t="str">
        <f t="shared" si="47"/>
        <v/>
      </c>
      <c r="AH225" s="31" t="str">
        <f t="shared" si="48"/>
        <v/>
      </c>
      <c r="AI225" s="31" t="str">
        <f t="shared" si="49"/>
        <v/>
      </c>
      <c r="AJ225" s="25">
        <v>8</v>
      </c>
      <c r="AK225" s="25">
        <v>7</v>
      </c>
      <c r="AL225" s="25">
        <v>0</v>
      </c>
      <c r="AM225" s="23" t="s">
        <v>206</v>
      </c>
      <c r="AN225" s="23" t="s">
        <v>92</v>
      </c>
      <c r="AO225" s="26" t="s">
        <v>257</v>
      </c>
      <c r="AR225" s="32" t="str">
        <f t="shared" si="50"/>
        <v>4 doors</v>
      </c>
      <c r="AS225" s="23" t="s">
        <v>260</v>
      </c>
      <c r="AT225" s="23" t="s">
        <v>32</v>
      </c>
      <c r="AU225" s="23" t="str">
        <f t="shared" si="52"/>
        <v>CC</v>
      </c>
      <c r="AV225" s="34">
        <f t="shared" si="51"/>
        <v>1580.03</v>
      </c>
      <c r="AW225" s="23">
        <v>15</v>
      </c>
      <c r="AX225" s="23">
        <v>80</v>
      </c>
      <c r="AY225" s="23">
        <v>3</v>
      </c>
    </row>
    <row r="226" spans="1:51">
      <c r="A226" s="25" t="s">
        <v>257</v>
      </c>
      <c r="B226" s="23" t="s">
        <v>89</v>
      </c>
      <c r="D226" s="23">
        <v>4</v>
      </c>
      <c r="E226" s="25" t="s">
        <v>285</v>
      </c>
      <c r="F226" s="25" t="s">
        <v>301</v>
      </c>
      <c r="G226" s="23" t="s">
        <v>27</v>
      </c>
      <c r="H226" s="23" t="s">
        <v>258</v>
      </c>
      <c r="I226" s="25">
        <v>1998</v>
      </c>
      <c r="J226" s="35">
        <v>30</v>
      </c>
      <c r="K226" s="35">
        <v>40</v>
      </c>
      <c r="L226" s="35">
        <v>20</v>
      </c>
      <c r="M226" s="25">
        <v>10</v>
      </c>
      <c r="N226" s="25">
        <v>10</v>
      </c>
      <c r="O226" s="25">
        <v>10</v>
      </c>
      <c r="P226" s="25">
        <v>10</v>
      </c>
      <c r="R226" s="30">
        <f t="shared" si="42"/>
        <v>40</v>
      </c>
      <c r="S226" s="37">
        <v>1</v>
      </c>
      <c r="T226" s="30">
        <f t="shared" si="40"/>
        <v>23.797142857142859</v>
      </c>
      <c r="U226" s="37">
        <v>1</v>
      </c>
      <c r="V226" s="30">
        <f t="shared" si="53"/>
        <v>32.923809523809524</v>
      </c>
      <c r="W226" s="25">
        <v>90</v>
      </c>
      <c r="X226" s="31">
        <f t="shared" si="43"/>
        <v>278.8</v>
      </c>
      <c r="Y226" s="25">
        <v>205</v>
      </c>
      <c r="Z226" s="25">
        <v>14</v>
      </c>
      <c r="AA226" s="25">
        <v>118</v>
      </c>
      <c r="AB226" s="37">
        <v>1</v>
      </c>
      <c r="AC226" s="30">
        <f t="shared" si="54"/>
        <v>200</v>
      </c>
      <c r="AD226" s="31">
        <f t="shared" si="44"/>
        <v>8</v>
      </c>
      <c r="AE226" s="31" t="str">
        <f t="shared" si="45"/>
        <v/>
      </c>
      <c r="AF226" s="31">
        <f t="shared" si="46"/>
        <v>7</v>
      </c>
      <c r="AG226" s="31" t="str">
        <f t="shared" si="47"/>
        <v/>
      </c>
      <c r="AH226" s="31" t="str">
        <f t="shared" si="48"/>
        <v/>
      </c>
      <c r="AI226" s="31" t="str">
        <f t="shared" si="49"/>
        <v/>
      </c>
      <c r="AJ226" s="25">
        <v>8</v>
      </c>
      <c r="AK226" s="25">
        <v>7</v>
      </c>
      <c r="AL226" s="25">
        <v>0</v>
      </c>
      <c r="AM226" s="23" t="s">
        <v>206</v>
      </c>
      <c r="AN226" s="23" t="s">
        <v>92</v>
      </c>
      <c r="AO226" s="26" t="s">
        <v>257</v>
      </c>
      <c r="AR226" s="32" t="str">
        <f t="shared" si="50"/>
        <v>4 doors</v>
      </c>
      <c r="AS226" s="23" t="s">
        <v>260</v>
      </c>
      <c r="AT226" s="23" t="s">
        <v>32</v>
      </c>
      <c r="AU226" s="23" t="str">
        <f t="shared" si="52"/>
        <v>CC</v>
      </c>
      <c r="AV226" s="34">
        <f t="shared" si="51"/>
        <v>1580.04</v>
      </c>
      <c r="AW226" s="23">
        <v>15</v>
      </c>
      <c r="AX226" s="23">
        <v>80</v>
      </c>
      <c r="AY226" s="23">
        <v>4</v>
      </c>
    </row>
    <row r="227" spans="1:51">
      <c r="A227" s="25" t="s">
        <v>257</v>
      </c>
      <c r="B227" s="23" t="s">
        <v>89</v>
      </c>
      <c r="D227" s="23">
        <v>4</v>
      </c>
      <c r="E227" s="25" t="s">
        <v>286</v>
      </c>
      <c r="F227" s="25" t="s">
        <v>300</v>
      </c>
      <c r="G227" s="23" t="s">
        <v>27</v>
      </c>
      <c r="H227" s="23" t="s">
        <v>258</v>
      </c>
      <c r="I227" s="25">
        <v>1998</v>
      </c>
      <c r="J227" s="35">
        <v>30</v>
      </c>
      <c r="K227" s="35">
        <v>40</v>
      </c>
      <c r="L227" s="35">
        <v>20</v>
      </c>
      <c r="M227" s="25">
        <v>10</v>
      </c>
      <c r="N227" s="25">
        <v>10</v>
      </c>
      <c r="O227" s="25">
        <v>10</v>
      </c>
      <c r="P227" s="25">
        <v>10</v>
      </c>
      <c r="R227" s="30">
        <f t="shared" si="42"/>
        <v>40</v>
      </c>
      <c r="S227" s="37">
        <v>1</v>
      </c>
      <c r="T227" s="30">
        <f t="shared" si="40"/>
        <v>23.797142857142859</v>
      </c>
      <c r="U227" s="37">
        <v>1</v>
      </c>
      <c r="V227" s="30">
        <f t="shared" si="53"/>
        <v>32.923809523809524</v>
      </c>
      <c r="W227" s="25">
        <v>90</v>
      </c>
      <c r="X227" s="31">
        <f t="shared" si="43"/>
        <v>278.8</v>
      </c>
      <c r="Y227" s="25">
        <v>205</v>
      </c>
      <c r="Z227" s="25">
        <v>14</v>
      </c>
      <c r="AA227" s="25">
        <v>118</v>
      </c>
      <c r="AB227" s="37">
        <v>1</v>
      </c>
      <c r="AC227" s="30">
        <f t="shared" si="54"/>
        <v>200</v>
      </c>
      <c r="AD227" s="31">
        <f t="shared" si="44"/>
        <v>8</v>
      </c>
      <c r="AE227" s="31" t="str">
        <f t="shared" si="45"/>
        <v/>
      </c>
      <c r="AF227" s="31">
        <f t="shared" si="46"/>
        <v>7</v>
      </c>
      <c r="AG227" s="31" t="str">
        <f t="shared" si="47"/>
        <v/>
      </c>
      <c r="AH227" s="31" t="str">
        <f t="shared" si="48"/>
        <v/>
      </c>
      <c r="AI227" s="31" t="str">
        <f t="shared" si="49"/>
        <v/>
      </c>
      <c r="AJ227" s="25">
        <v>8</v>
      </c>
      <c r="AK227" s="25">
        <v>7</v>
      </c>
      <c r="AL227" s="25">
        <v>0</v>
      </c>
      <c r="AM227" s="23" t="s">
        <v>206</v>
      </c>
      <c r="AN227" s="23" t="s">
        <v>92</v>
      </c>
      <c r="AO227" s="26" t="s">
        <v>257</v>
      </c>
      <c r="AR227" s="32" t="str">
        <f t="shared" si="50"/>
        <v>4 doors</v>
      </c>
      <c r="AS227" s="23" t="s">
        <v>260</v>
      </c>
      <c r="AT227" s="23" t="s">
        <v>32</v>
      </c>
      <c r="AU227" s="23" t="str">
        <f t="shared" si="52"/>
        <v>CC</v>
      </c>
      <c r="AV227" s="34">
        <f t="shared" si="51"/>
        <v>1580.05</v>
      </c>
      <c r="AW227" s="23">
        <v>15</v>
      </c>
      <c r="AX227" s="23">
        <v>80</v>
      </c>
      <c r="AY227" s="23">
        <v>5</v>
      </c>
    </row>
    <row r="228" spans="1:51">
      <c r="A228" s="25" t="s">
        <v>257</v>
      </c>
      <c r="B228" s="23" t="s">
        <v>89</v>
      </c>
      <c r="D228" s="23">
        <v>4</v>
      </c>
      <c r="E228" s="25" t="s">
        <v>287</v>
      </c>
      <c r="F228" s="25" t="s">
        <v>315</v>
      </c>
      <c r="G228" s="23" t="s">
        <v>27</v>
      </c>
      <c r="H228" s="23" t="s">
        <v>258</v>
      </c>
      <c r="I228" s="25">
        <v>1998</v>
      </c>
      <c r="J228" s="35">
        <v>30</v>
      </c>
      <c r="K228" s="35">
        <v>40</v>
      </c>
      <c r="L228" s="35">
        <v>20</v>
      </c>
      <c r="M228" s="25">
        <v>10</v>
      </c>
      <c r="N228" s="25">
        <v>10</v>
      </c>
      <c r="O228" s="25">
        <v>10</v>
      </c>
      <c r="P228" s="25">
        <v>10</v>
      </c>
      <c r="R228" s="30">
        <f t="shared" si="42"/>
        <v>40</v>
      </c>
      <c r="S228" s="37">
        <v>1</v>
      </c>
      <c r="T228" s="30">
        <f t="shared" si="40"/>
        <v>23.797142857142859</v>
      </c>
      <c r="U228" s="37">
        <v>1</v>
      </c>
      <c r="V228" s="30">
        <f t="shared" si="53"/>
        <v>32.923809523809524</v>
      </c>
      <c r="W228" s="25">
        <v>90</v>
      </c>
      <c r="X228" s="31">
        <f t="shared" si="43"/>
        <v>278.8</v>
      </c>
      <c r="Y228" s="25">
        <v>205</v>
      </c>
      <c r="Z228" s="25">
        <v>14</v>
      </c>
      <c r="AA228" s="25">
        <v>118</v>
      </c>
      <c r="AB228" s="37">
        <v>1</v>
      </c>
      <c r="AC228" s="30">
        <f t="shared" si="54"/>
        <v>200</v>
      </c>
      <c r="AD228" s="31">
        <f t="shared" si="44"/>
        <v>8</v>
      </c>
      <c r="AE228" s="31" t="str">
        <f t="shared" si="45"/>
        <v/>
      </c>
      <c r="AF228" s="31">
        <f t="shared" si="46"/>
        <v>7</v>
      </c>
      <c r="AG228" s="31" t="str">
        <f t="shared" si="47"/>
        <v/>
      </c>
      <c r="AH228" s="31" t="str">
        <f t="shared" si="48"/>
        <v/>
      </c>
      <c r="AI228" s="31" t="str">
        <f t="shared" si="49"/>
        <v/>
      </c>
      <c r="AJ228" s="25">
        <v>8</v>
      </c>
      <c r="AK228" s="25">
        <v>7</v>
      </c>
      <c r="AL228" s="25">
        <v>0</v>
      </c>
      <c r="AM228" s="23" t="s">
        <v>206</v>
      </c>
      <c r="AN228" s="23" t="s">
        <v>92</v>
      </c>
      <c r="AO228" s="26" t="s">
        <v>257</v>
      </c>
      <c r="AR228" s="32" t="str">
        <f t="shared" si="50"/>
        <v>4 doors</v>
      </c>
      <c r="AS228" s="23" t="s">
        <v>260</v>
      </c>
      <c r="AT228" s="23" t="s">
        <v>32</v>
      </c>
      <c r="AU228" s="23" t="str">
        <f t="shared" si="52"/>
        <v>CC</v>
      </c>
      <c r="AV228" s="34">
        <f t="shared" si="51"/>
        <v>1580.06</v>
      </c>
      <c r="AW228" s="23">
        <v>15</v>
      </c>
      <c r="AX228" s="23">
        <v>80</v>
      </c>
      <c r="AY228" s="23">
        <v>6</v>
      </c>
    </row>
    <row r="229" spans="1:51">
      <c r="A229" s="25" t="s">
        <v>257</v>
      </c>
      <c r="B229" s="23" t="s">
        <v>125</v>
      </c>
      <c r="D229" s="23">
        <v>3</v>
      </c>
      <c r="E229" s="25" t="s">
        <v>30</v>
      </c>
      <c r="F229" s="25" t="s">
        <v>302</v>
      </c>
      <c r="G229" s="23" t="s">
        <v>27</v>
      </c>
      <c r="H229" s="23" t="s">
        <v>259</v>
      </c>
      <c r="I229" s="25">
        <v>1998</v>
      </c>
      <c r="J229" s="35">
        <v>30</v>
      </c>
      <c r="K229" s="35">
        <v>40</v>
      </c>
      <c r="L229" s="35">
        <v>20</v>
      </c>
      <c r="M229" s="25">
        <v>10</v>
      </c>
      <c r="N229" s="25">
        <v>10</v>
      </c>
      <c r="O229" s="25">
        <v>10</v>
      </c>
      <c r="R229" s="30">
        <f t="shared" si="42"/>
        <v>30</v>
      </c>
      <c r="S229" s="37">
        <v>1</v>
      </c>
      <c r="T229" s="30">
        <f t="shared" si="40"/>
        <v>23.082857142857144</v>
      </c>
      <c r="U229" s="37">
        <v>1</v>
      </c>
      <c r="V229" s="30">
        <f t="shared" si="53"/>
        <v>32.19619047619048</v>
      </c>
      <c r="W229" s="25">
        <v>90</v>
      </c>
      <c r="X229" s="31">
        <f t="shared" si="43"/>
        <v>278.8</v>
      </c>
      <c r="Y229" s="25">
        <v>205</v>
      </c>
      <c r="Z229" s="25">
        <v>14</v>
      </c>
      <c r="AA229" s="25">
        <v>116</v>
      </c>
      <c r="AB229" s="37">
        <v>1</v>
      </c>
      <c r="AC229" s="30">
        <f t="shared" si="54"/>
        <v>200</v>
      </c>
      <c r="AD229" s="31">
        <f t="shared" si="44"/>
        <v>1</v>
      </c>
      <c r="AE229" s="31">
        <f t="shared" si="45"/>
        <v>8</v>
      </c>
      <c r="AF229" s="31">
        <f t="shared" si="46"/>
        <v>6</v>
      </c>
      <c r="AG229" s="31" t="str">
        <f t="shared" si="47"/>
        <v/>
      </c>
      <c r="AH229" s="31" t="str">
        <f t="shared" si="48"/>
        <v/>
      </c>
      <c r="AI229" s="31" t="str">
        <f t="shared" si="49"/>
        <v/>
      </c>
      <c r="AJ229" s="25">
        <v>9</v>
      </c>
      <c r="AK229" s="25">
        <v>6</v>
      </c>
      <c r="AL229" s="25">
        <v>0</v>
      </c>
      <c r="AM229" s="23" t="s">
        <v>206</v>
      </c>
      <c r="AN229" s="23" t="s">
        <v>92</v>
      </c>
      <c r="AO229" s="26" t="s">
        <v>257</v>
      </c>
      <c r="AR229" s="32" t="str">
        <f t="shared" si="50"/>
        <v>3 doors</v>
      </c>
      <c r="AS229" s="23" t="s">
        <v>261</v>
      </c>
      <c r="AT229" s="23" t="s">
        <v>270</v>
      </c>
      <c r="AU229" s="23" t="str">
        <f t="shared" si="52"/>
        <v>CC</v>
      </c>
      <c r="AV229" s="34">
        <f t="shared" si="51"/>
        <v>1585</v>
      </c>
      <c r="AW229" s="23">
        <v>15</v>
      </c>
      <c r="AX229" s="23">
        <v>85</v>
      </c>
      <c r="AY229" s="23">
        <v>0</v>
      </c>
    </row>
    <row r="230" spans="1:51">
      <c r="A230" s="25" t="s">
        <v>257</v>
      </c>
      <c r="B230" s="23" t="s">
        <v>125</v>
      </c>
      <c r="D230" s="23">
        <v>3</v>
      </c>
      <c r="E230" s="25" t="s">
        <v>42</v>
      </c>
      <c r="F230" s="25" t="s">
        <v>303</v>
      </c>
      <c r="G230" s="23" t="s">
        <v>27</v>
      </c>
      <c r="H230" s="23" t="s">
        <v>259</v>
      </c>
      <c r="I230" s="25">
        <v>1998</v>
      </c>
      <c r="J230" s="35">
        <v>30</v>
      </c>
      <c r="K230" s="35">
        <v>40</v>
      </c>
      <c r="L230" s="35">
        <v>20</v>
      </c>
      <c r="M230" s="25">
        <v>10</v>
      </c>
      <c r="N230" s="25">
        <v>10</v>
      </c>
      <c r="O230" s="25">
        <v>10</v>
      </c>
      <c r="R230" s="30">
        <f t="shared" si="42"/>
        <v>30</v>
      </c>
      <c r="S230" s="37">
        <v>1</v>
      </c>
      <c r="T230" s="30">
        <f t="shared" si="40"/>
        <v>23.082857142857144</v>
      </c>
      <c r="U230" s="37">
        <v>1</v>
      </c>
      <c r="V230" s="30">
        <f t="shared" si="53"/>
        <v>32.19619047619048</v>
      </c>
      <c r="W230" s="25">
        <v>90</v>
      </c>
      <c r="X230" s="31">
        <f t="shared" si="43"/>
        <v>278.8</v>
      </c>
      <c r="Y230" s="25">
        <v>205</v>
      </c>
      <c r="Z230" s="25">
        <v>14</v>
      </c>
      <c r="AA230" s="25">
        <v>116</v>
      </c>
      <c r="AB230" s="37">
        <v>1</v>
      </c>
      <c r="AC230" s="30">
        <f t="shared" si="54"/>
        <v>200</v>
      </c>
      <c r="AD230" s="31">
        <f t="shared" si="44"/>
        <v>1</v>
      </c>
      <c r="AE230" s="31">
        <f t="shared" si="45"/>
        <v>8</v>
      </c>
      <c r="AF230" s="31">
        <f t="shared" si="46"/>
        <v>6</v>
      </c>
      <c r="AG230" s="31" t="str">
        <f t="shared" si="47"/>
        <v/>
      </c>
      <c r="AH230" s="31" t="str">
        <f t="shared" si="48"/>
        <v/>
      </c>
      <c r="AI230" s="31" t="str">
        <f t="shared" si="49"/>
        <v/>
      </c>
      <c r="AJ230" s="25">
        <v>9</v>
      </c>
      <c r="AK230" s="25">
        <v>6</v>
      </c>
      <c r="AL230" s="25">
        <v>0</v>
      </c>
      <c r="AM230" s="23" t="s">
        <v>206</v>
      </c>
      <c r="AN230" s="23" t="s">
        <v>92</v>
      </c>
      <c r="AO230" s="26" t="s">
        <v>257</v>
      </c>
      <c r="AR230" s="32" t="str">
        <f t="shared" si="50"/>
        <v>3 doors</v>
      </c>
      <c r="AS230" s="23" t="s">
        <v>261</v>
      </c>
      <c r="AT230" s="23" t="s">
        <v>270</v>
      </c>
      <c r="AU230" s="23" t="str">
        <f t="shared" si="52"/>
        <v>CC</v>
      </c>
      <c r="AV230" s="34">
        <f t="shared" si="51"/>
        <v>1585.01</v>
      </c>
      <c r="AW230" s="23">
        <v>15</v>
      </c>
      <c r="AX230" s="23">
        <v>85</v>
      </c>
      <c r="AY230" s="23">
        <v>1</v>
      </c>
    </row>
    <row r="231" spans="1:51">
      <c r="A231" s="25" t="s">
        <v>257</v>
      </c>
      <c r="B231" s="23" t="s">
        <v>125</v>
      </c>
      <c r="D231" s="23">
        <v>3</v>
      </c>
      <c r="E231" s="25" t="s">
        <v>43</v>
      </c>
      <c r="F231" s="25" t="s">
        <v>304</v>
      </c>
      <c r="G231" s="23" t="s">
        <v>27</v>
      </c>
      <c r="H231" s="23" t="s">
        <v>259</v>
      </c>
      <c r="I231" s="25">
        <v>1998</v>
      </c>
      <c r="J231" s="35">
        <v>30</v>
      </c>
      <c r="K231" s="35">
        <v>40</v>
      </c>
      <c r="L231" s="35">
        <v>20</v>
      </c>
      <c r="M231" s="25">
        <v>10</v>
      </c>
      <c r="N231" s="25">
        <v>10</v>
      </c>
      <c r="O231" s="25">
        <v>10</v>
      </c>
      <c r="R231" s="30">
        <f t="shared" si="42"/>
        <v>30</v>
      </c>
      <c r="S231" s="37">
        <v>1</v>
      </c>
      <c r="T231" s="30">
        <f t="shared" ref="T231:T294" si="55">S231*IF(OR(G231="diesel", G231="petrol"), ((Z231+(X231/10))/2)+(R231/14), IF(OR(G231="cng", G231="hybrid"), ((Z231+(X231/10))/2*1.2)+(R231/14), IF(OR(G231="hydrogen", G231="electric"), ((Z231+(X231/10))/2*1.5)+(R231/14), 0)))</f>
        <v>23.082857142857144</v>
      </c>
      <c r="U231" s="37">
        <v>1</v>
      </c>
      <c r="V231" s="30">
        <f t="shared" si="53"/>
        <v>32.19619047619048</v>
      </c>
      <c r="W231" s="25">
        <v>90</v>
      </c>
      <c r="X231" s="31">
        <f t="shared" si="43"/>
        <v>278.8</v>
      </c>
      <c r="Y231" s="25">
        <v>205</v>
      </c>
      <c r="Z231" s="25">
        <v>14</v>
      </c>
      <c r="AA231" s="25">
        <v>116</v>
      </c>
      <c r="AB231" s="37">
        <v>1</v>
      </c>
      <c r="AC231" s="30">
        <f t="shared" si="54"/>
        <v>200</v>
      </c>
      <c r="AD231" s="31">
        <f t="shared" si="44"/>
        <v>1</v>
      </c>
      <c r="AE231" s="31">
        <f t="shared" si="45"/>
        <v>8</v>
      </c>
      <c r="AF231" s="31">
        <f t="shared" si="46"/>
        <v>6</v>
      </c>
      <c r="AG231" s="31" t="str">
        <f t="shared" si="47"/>
        <v/>
      </c>
      <c r="AH231" s="31" t="str">
        <f t="shared" si="48"/>
        <v/>
      </c>
      <c r="AI231" s="31" t="str">
        <f t="shared" si="49"/>
        <v/>
      </c>
      <c r="AJ231" s="25">
        <v>9</v>
      </c>
      <c r="AK231" s="25">
        <v>6</v>
      </c>
      <c r="AL231" s="25">
        <v>0</v>
      </c>
      <c r="AM231" s="23" t="s">
        <v>206</v>
      </c>
      <c r="AN231" s="23" t="s">
        <v>92</v>
      </c>
      <c r="AO231" s="26" t="s">
        <v>257</v>
      </c>
      <c r="AR231" s="32" t="str">
        <f t="shared" si="50"/>
        <v>3 doors</v>
      </c>
      <c r="AS231" s="23" t="s">
        <v>261</v>
      </c>
      <c r="AT231" s="23" t="s">
        <v>270</v>
      </c>
      <c r="AU231" s="23" t="str">
        <f t="shared" si="52"/>
        <v>CC</v>
      </c>
      <c r="AV231" s="34">
        <f t="shared" si="51"/>
        <v>1585.02</v>
      </c>
      <c r="AW231" s="23">
        <v>15</v>
      </c>
      <c r="AX231" s="23">
        <v>85</v>
      </c>
      <c r="AY231" s="23">
        <v>2</v>
      </c>
    </row>
    <row r="232" spans="1:51">
      <c r="A232" s="25" t="s">
        <v>257</v>
      </c>
      <c r="B232" s="23" t="s">
        <v>125</v>
      </c>
      <c r="D232" s="23">
        <v>3</v>
      </c>
      <c r="E232" s="25" t="s">
        <v>284</v>
      </c>
      <c r="F232" s="25" t="s">
        <v>305</v>
      </c>
      <c r="G232" s="23" t="s">
        <v>27</v>
      </c>
      <c r="H232" s="23" t="s">
        <v>259</v>
      </c>
      <c r="I232" s="25">
        <v>1998</v>
      </c>
      <c r="J232" s="35">
        <v>30</v>
      </c>
      <c r="K232" s="35">
        <v>40</v>
      </c>
      <c r="L232" s="35">
        <v>20</v>
      </c>
      <c r="M232" s="25">
        <v>10</v>
      </c>
      <c r="N232" s="25">
        <v>10</v>
      </c>
      <c r="O232" s="25">
        <v>10</v>
      </c>
      <c r="R232" s="30">
        <f t="shared" si="42"/>
        <v>30</v>
      </c>
      <c r="S232" s="37">
        <v>1</v>
      </c>
      <c r="T232" s="30">
        <f t="shared" si="55"/>
        <v>23.082857142857144</v>
      </c>
      <c r="U232" s="37">
        <v>1</v>
      </c>
      <c r="V232" s="30">
        <f t="shared" si="53"/>
        <v>32.19619047619048</v>
      </c>
      <c r="W232" s="25">
        <v>90</v>
      </c>
      <c r="X232" s="31">
        <f t="shared" si="43"/>
        <v>278.8</v>
      </c>
      <c r="Y232" s="25">
        <v>205</v>
      </c>
      <c r="Z232" s="25">
        <v>14</v>
      </c>
      <c r="AA232" s="25">
        <v>116</v>
      </c>
      <c r="AB232" s="37">
        <v>1</v>
      </c>
      <c r="AC232" s="30">
        <f t="shared" si="54"/>
        <v>200</v>
      </c>
      <c r="AD232" s="31">
        <f t="shared" si="44"/>
        <v>1</v>
      </c>
      <c r="AE232" s="31">
        <f t="shared" si="45"/>
        <v>8</v>
      </c>
      <c r="AF232" s="31">
        <f t="shared" si="46"/>
        <v>6</v>
      </c>
      <c r="AG232" s="31" t="str">
        <f t="shared" si="47"/>
        <v/>
      </c>
      <c r="AH232" s="31" t="str">
        <f t="shared" si="48"/>
        <v/>
      </c>
      <c r="AI232" s="31" t="str">
        <f t="shared" si="49"/>
        <v/>
      </c>
      <c r="AJ232" s="25">
        <v>9</v>
      </c>
      <c r="AK232" s="25">
        <v>6</v>
      </c>
      <c r="AL232" s="25">
        <v>0</v>
      </c>
      <c r="AM232" s="23" t="s">
        <v>206</v>
      </c>
      <c r="AN232" s="23" t="s">
        <v>92</v>
      </c>
      <c r="AO232" s="26" t="s">
        <v>257</v>
      </c>
      <c r="AR232" s="32" t="str">
        <f t="shared" si="50"/>
        <v>3 doors</v>
      </c>
      <c r="AS232" s="23" t="s">
        <v>261</v>
      </c>
      <c r="AT232" s="23" t="s">
        <v>270</v>
      </c>
      <c r="AU232" s="23" t="str">
        <f t="shared" si="52"/>
        <v>CC</v>
      </c>
      <c r="AV232" s="34">
        <f t="shared" si="51"/>
        <v>1585.03</v>
      </c>
      <c r="AW232" s="23">
        <v>15</v>
      </c>
      <c r="AX232" s="23">
        <v>85</v>
      </c>
      <c r="AY232" s="23">
        <v>3</v>
      </c>
    </row>
    <row r="233" spans="1:51">
      <c r="A233" s="25" t="s">
        <v>257</v>
      </c>
      <c r="B233" s="23" t="s">
        <v>125</v>
      </c>
      <c r="D233" s="23">
        <v>3</v>
      </c>
      <c r="E233" s="25" t="s">
        <v>285</v>
      </c>
      <c r="F233" s="25" t="s">
        <v>306</v>
      </c>
      <c r="G233" s="23" t="s">
        <v>27</v>
      </c>
      <c r="H233" s="23" t="s">
        <v>259</v>
      </c>
      <c r="I233" s="25">
        <v>1998</v>
      </c>
      <c r="J233" s="35">
        <v>30</v>
      </c>
      <c r="K233" s="35">
        <v>40</v>
      </c>
      <c r="L233" s="35">
        <v>20</v>
      </c>
      <c r="M233" s="25">
        <v>10</v>
      </c>
      <c r="N233" s="25">
        <v>10</v>
      </c>
      <c r="O233" s="25">
        <v>10</v>
      </c>
      <c r="R233" s="30">
        <f t="shared" si="42"/>
        <v>30</v>
      </c>
      <c r="S233" s="37">
        <v>1</v>
      </c>
      <c r="T233" s="30">
        <f t="shared" si="55"/>
        <v>23.082857142857144</v>
      </c>
      <c r="U233" s="37">
        <v>1</v>
      </c>
      <c r="V233" s="30">
        <f t="shared" si="53"/>
        <v>32.19619047619048</v>
      </c>
      <c r="W233" s="25">
        <v>90</v>
      </c>
      <c r="X233" s="31">
        <f t="shared" si="43"/>
        <v>278.8</v>
      </c>
      <c r="Y233" s="25">
        <v>205</v>
      </c>
      <c r="Z233" s="25">
        <v>14</v>
      </c>
      <c r="AA233" s="25">
        <v>116</v>
      </c>
      <c r="AB233" s="37">
        <v>1</v>
      </c>
      <c r="AC233" s="30">
        <f t="shared" si="54"/>
        <v>200</v>
      </c>
      <c r="AD233" s="31">
        <f t="shared" si="44"/>
        <v>1</v>
      </c>
      <c r="AE233" s="31">
        <f t="shared" si="45"/>
        <v>8</v>
      </c>
      <c r="AF233" s="31">
        <f t="shared" si="46"/>
        <v>6</v>
      </c>
      <c r="AG233" s="31" t="str">
        <f t="shared" si="47"/>
        <v/>
      </c>
      <c r="AH233" s="31" t="str">
        <f t="shared" si="48"/>
        <v/>
      </c>
      <c r="AI233" s="31" t="str">
        <f t="shared" si="49"/>
        <v/>
      </c>
      <c r="AJ233" s="25">
        <v>9</v>
      </c>
      <c r="AK233" s="25">
        <v>6</v>
      </c>
      <c r="AL233" s="25">
        <v>0</v>
      </c>
      <c r="AM233" s="23" t="s">
        <v>206</v>
      </c>
      <c r="AN233" s="23" t="s">
        <v>92</v>
      </c>
      <c r="AO233" s="26" t="s">
        <v>257</v>
      </c>
      <c r="AR233" s="32" t="str">
        <f t="shared" si="50"/>
        <v>3 doors</v>
      </c>
      <c r="AS233" s="23" t="s">
        <v>261</v>
      </c>
      <c r="AT233" s="23" t="s">
        <v>270</v>
      </c>
      <c r="AU233" s="23" t="str">
        <f t="shared" si="52"/>
        <v>CC</v>
      </c>
      <c r="AV233" s="34">
        <f t="shared" si="51"/>
        <v>1585.04</v>
      </c>
      <c r="AW233" s="23">
        <v>15</v>
      </c>
      <c r="AX233" s="23">
        <v>85</v>
      </c>
      <c r="AY233" s="23">
        <v>4</v>
      </c>
    </row>
    <row r="234" spans="1:51">
      <c r="A234" s="25" t="s">
        <v>257</v>
      </c>
      <c r="B234" s="23" t="s">
        <v>125</v>
      </c>
      <c r="D234" s="23">
        <v>3</v>
      </c>
      <c r="E234" s="25" t="s">
        <v>286</v>
      </c>
      <c r="F234" s="25" t="s">
        <v>307</v>
      </c>
      <c r="G234" s="23" t="s">
        <v>27</v>
      </c>
      <c r="H234" s="23" t="s">
        <v>259</v>
      </c>
      <c r="I234" s="25">
        <v>1998</v>
      </c>
      <c r="J234" s="35">
        <v>30</v>
      </c>
      <c r="K234" s="35">
        <v>40</v>
      </c>
      <c r="L234" s="35">
        <v>20</v>
      </c>
      <c r="M234" s="25">
        <v>10</v>
      </c>
      <c r="N234" s="25">
        <v>10</v>
      </c>
      <c r="O234" s="25">
        <v>10</v>
      </c>
      <c r="R234" s="30">
        <f t="shared" si="42"/>
        <v>30</v>
      </c>
      <c r="S234" s="37">
        <v>1</v>
      </c>
      <c r="T234" s="30">
        <f t="shared" si="55"/>
        <v>23.082857142857144</v>
      </c>
      <c r="U234" s="37">
        <v>1</v>
      </c>
      <c r="V234" s="30">
        <f t="shared" si="53"/>
        <v>32.19619047619048</v>
      </c>
      <c r="W234" s="25">
        <v>90</v>
      </c>
      <c r="X234" s="31">
        <f t="shared" si="43"/>
        <v>278.8</v>
      </c>
      <c r="Y234" s="25">
        <v>205</v>
      </c>
      <c r="Z234" s="25">
        <v>14</v>
      </c>
      <c r="AA234" s="25">
        <v>116</v>
      </c>
      <c r="AB234" s="37">
        <v>1</v>
      </c>
      <c r="AC234" s="30">
        <f t="shared" si="54"/>
        <v>200</v>
      </c>
      <c r="AD234" s="31">
        <f t="shared" si="44"/>
        <v>1</v>
      </c>
      <c r="AE234" s="31">
        <f t="shared" si="45"/>
        <v>8</v>
      </c>
      <c r="AF234" s="31">
        <f t="shared" si="46"/>
        <v>6</v>
      </c>
      <c r="AG234" s="31" t="str">
        <f t="shared" si="47"/>
        <v/>
      </c>
      <c r="AH234" s="31" t="str">
        <f t="shared" si="48"/>
        <v/>
      </c>
      <c r="AI234" s="31" t="str">
        <f t="shared" si="49"/>
        <v/>
      </c>
      <c r="AJ234" s="25">
        <v>9</v>
      </c>
      <c r="AK234" s="25">
        <v>6</v>
      </c>
      <c r="AL234" s="25">
        <v>0</v>
      </c>
      <c r="AM234" s="23" t="s">
        <v>206</v>
      </c>
      <c r="AN234" s="23" t="s">
        <v>92</v>
      </c>
      <c r="AO234" s="26" t="s">
        <v>257</v>
      </c>
      <c r="AR234" s="32" t="str">
        <f t="shared" si="50"/>
        <v>3 doors</v>
      </c>
      <c r="AS234" s="23" t="s">
        <v>261</v>
      </c>
      <c r="AT234" s="23" t="s">
        <v>270</v>
      </c>
      <c r="AU234" s="23" t="str">
        <f t="shared" si="52"/>
        <v>CC</v>
      </c>
      <c r="AV234" s="34">
        <f t="shared" si="51"/>
        <v>1585.05</v>
      </c>
      <c r="AW234" s="23">
        <v>15</v>
      </c>
      <c r="AX234" s="23">
        <v>85</v>
      </c>
      <c r="AY234" s="23">
        <v>5</v>
      </c>
    </row>
    <row r="235" spans="1:51">
      <c r="A235" s="25" t="s">
        <v>257</v>
      </c>
      <c r="B235" s="23" t="s">
        <v>125</v>
      </c>
      <c r="D235" s="23">
        <v>3</v>
      </c>
      <c r="E235" s="25" t="s">
        <v>287</v>
      </c>
      <c r="F235" s="25" t="s">
        <v>316</v>
      </c>
      <c r="G235" s="23" t="s">
        <v>27</v>
      </c>
      <c r="H235" s="23" t="s">
        <v>259</v>
      </c>
      <c r="I235" s="25">
        <v>1998</v>
      </c>
      <c r="J235" s="35">
        <v>30</v>
      </c>
      <c r="K235" s="35">
        <v>40</v>
      </c>
      <c r="L235" s="35">
        <v>20</v>
      </c>
      <c r="M235" s="25">
        <v>10</v>
      </c>
      <c r="N235" s="25">
        <v>10</v>
      </c>
      <c r="O235" s="25">
        <v>10</v>
      </c>
      <c r="R235" s="30">
        <f t="shared" si="42"/>
        <v>30</v>
      </c>
      <c r="S235" s="37">
        <v>1</v>
      </c>
      <c r="T235" s="30">
        <f t="shared" si="55"/>
        <v>23.082857142857144</v>
      </c>
      <c r="U235" s="37">
        <v>1</v>
      </c>
      <c r="V235" s="30">
        <f t="shared" si="53"/>
        <v>32.19619047619048</v>
      </c>
      <c r="W235" s="25">
        <v>90</v>
      </c>
      <c r="X235" s="31">
        <f t="shared" si="43"/>
        <v>278.8</v>
      </c>
      <c r="Y235" s="25">
        <v>205</v>
      </c>
      <c r="Z235" s="25">
        <v>14</v>
      </c>
      <c r="AA235" s="25">
        <v>116</v>
      </c>
      <c r="AB235" s="37">
        <v>1</v>
      </c>
      <c r="AC235" s="30">
        <f t="shared" si="54"/>
        <v>200</v>
      </c>
      <c r="AD235" s="31">
        <f t="shared" si="44"/>
        <v>1</v>
      </c>
      <c r="AE235" s="31">
        <f t="shared" si="45"/>
        <v>8</v>
      </c>
      <c r="AF235" s="31">
        <f t="shared" si="46"/>
        <v>6</v>
      </c>
      <c r="AG235" s="31" t="str">
        <f t="shared" si="47"/>
        <v/>
      </c>
      <c r="AH235" s="31" t="str">
        <f t="shared" si="48"/>
        <v/>
      </c>
      <c r="AI235" s="31" t="str">
        <f t="shared" si="49"/>
        <v/>
      </c>
      <c r="AJ235" s="25">
        <v>9</v>
      </c>
      <c r="AK235" s="25">
        <v>6</v>
      </c>
      <c r="AL235" s="25">
        <v>0</v>
      </c>
      <c r="AM235" s="23" t="s">
        <v>206</v>
      </c>
      <c r="AN235" s="23" t="s">
        <v>92</v>
      </c>
      <c r="AO235" s="26" t="s">
        <v>257</v>
      </c>
      <c r="AR235" s="32" t="str">
        <f t="shared" si="50"/>
        <v>3 doors</v>
      </c>
      <c r="AS235" s="23" t="s">
        <v>261</v>
      </c>
      <c r="AT235" s="23" t="s">
        <v>270</v>
      </c>
      <c r="AU235" s="23" t="str">
        <f t="shared" si="52"/>
        <v>CC</v>
      </c>
      <c r="AV235" s="34">
        <f t="shared" si="51"/>
        <v>1585.06</v>
      </c>
      <c r="AW235" s="23">
        <v>15</v>
      </c>
      <c r="AX235" s="23">
        <v>85</v>
      </c>
      <c r="AY235" s="23">
        <v>6</v>
      </c>
    </row>
    <row r="236" spans="1:51">
      <c r="A236" s="25">
        <v>293</v>
      </c>
      <c r="D236" s="23">
        <v>5</v>
      </c>
      <c r="E236" s="25" t="s">
        <v>30</v>
      </c>
      <c r="F236" s="25" t="s">
        <v>295</v>
      </c>
      <c r="G236" s="23" t="s">
        <v>27</v>
      </c>
      <c r="H236" s="23" t="s">
        <v>173</v>
      </c>
      <c r="I236" s="25">
        <v>1988</v>
      </c>
      <c r="J236" s="35">
        <v>30</v>
      </c>
      <c r="K236" s="35">
        <v>40</v>
      </c>
      <c r="L236" s="35">
        <v>20</v>
      </c>
      <c r="M236" s="25">
        <v>10</v>
      </c>
      <c r="N236" s="25">
        <v>10</v>
      </c>
      <c r="O236" s="25">
        <v>10</v>
      </c>
      <c r="P236" s="25">
        <v>10</v>
      </c>
      <c r="Q236" s="25">
        <v>10</v>
      </c>
      <c r="R236" s="30">
        <f t="shared" si="42"/>
        <v>50</v>
      </c>
      <c r="S236" s="37">
        <v>1</v>
      </c>
      <c r="T236" s="30">
        <f t="shared" si="55"/>
        <v>26.127428571428574</v>
      </c>
      <c r="U236" s="37">
        <v>1</v>
      </c>
      <c r="V236" s="30">
        <f t="shared" si="53"/>
        <v>33.110095238095234</v>
      </c>
      <c r="W236" s="25">
        <v>62</v>
      </c>
      <c r="X236" s="31">
        <f t="shared" si="43"/>
        <v>261.12</v>
      </c>
      <c r="Y236" s="25">
        <v>192</v>
      </c>
      <c r="Z236" s="25">
        <v>19</v>
      </c>
      <c r="AA236" s="25">
        <v>229</v>
      </c>
      <c r="AB236" s="37">
        <v>1</v>
      </c>
      <c r="AC236" s="30">
        <f t="shared" si="54"/>
        <v>200</v>
      </c>
      <c r="AD236" s="31">
        <f t="shared" si="44"/>
        <v>1</v>
      </c>
      <c r="AE236" s="31">
        <f t="shared" si="45"/>
        <v>8</v>
      </c>
      <c r="AF236" s="31">
        <f t="shared" si="46"/>
        <v>5</v>
      </c>
      <c r="AG236" s="31" t="str">
        <f t="shared" si="47"/>
        <v/>
      </c>
      <c r="AH236" s="31">
        <f t="shared" si="48"/>
        <v>7</v>
      </c>
      <c r="AI236" s="31" t="str">
        <f t="shared" si="49"/>
        <v/>
      </c>
      <c r="AJ236" s="25">
        <v>9</v>
      </c>
      <c r="AK236" s="25">
        <v>5</v>
      </c>
      <c r="AL236" s="25">
        <v>7</v>
      </c>
      <c r="AM236" s="23" t="s">
        <v>206</v>
      </c>
      <c r="AN236" s="23" t="s">
        <v>92</v>
      </c>
      <c r="AO236" s="25">
        <v>293</v>
      </c>
      <c r="AR236" s="32" t="str">
        <f t="shared" si="50"/>
        <v>5 doors</v>
      </c>
      <c r="AT236" s="23" t="s">
        <v>32</v>
      </c>
      <c r="AU236" s="23" t="str">
        <f t="shared" si="52"/>
        <v>CC</v>
      </c>
      <c r="AV236" s="34">
        <f t="shared" si="51"/>
        <v>1590</v>
      </c>
      <c r="AW236" s="23">
        <v>15</v>
      </c>
      <c r="AX236" s="23">
        <v>90</v>
      </c>
      <c r="AY236" s="23">
        <v>0</v>
      </c>
    </row>
    <row r="237" spans="1:51">
      <c r="A237" s="25">
        <v>293</v>
      </c>
      <c r="D237" s="23">
        <v>5</v>
      </c>
      <c r="E237" s="25" t="s">
        <v>85</v>
      </c>
      <c r="F237" s="25" t="s">
        <v>85</v>
      </c>
      <c r="G237" s="23" t="s">
        <v>27</v>
      </c>
      <c r="H237" s="23" t="s">
        <v>173</v>
      </c>
      <c r="I237" s="25">
        <v>1988</v>
      </c>
      <c r="J237" s="35">
        <v>30</v>
      </c>
      <c r="K237" s="35">
        <v>40</v>
      </c>
      <c r="L237" s="35">
        <v>20</v>
      </c>
      <c r="M237" s="25">
        <v>10</v>
      </c>
      <c r="N237" s="25">
        <v>10</v>
      </c>
      <c r="O237" s="25">
        <v>10</v>
      </c>
      <c r="P237" s="25">
        <v>10</v>
      </c>
      <c r="Q237" s="25">
        <v>10</v>
      </c>
      <c r="R237" s="30">
        <f t="shared" si="42"/>
        <v>50</v>
      </c>
      <c r="S237" s="37">
        <v>1</v>
      </c>
      <c r="T237" s="30">
        <f t="shared" si="55"/>
        <v>26.127428571428574</v>
      </c>
      <c r="U237" s="37">
        <v>1</v>
      </c>
      <c r="V237" s="30">
        <f t="shared" si="53"/>
        <v>33.110095238095234</v>
      </c>
      <c r="W237" s="25">
        <v>62</v>
      </c>
      <c r="X237" s="31">
        <f t="shared" si="43"/>
        <v>261.12</v>
      </c>
      <c r="Y237" s="25">
        <v>192</v>
      </c>
      <c r="Z237" s="25">
        <v>19</v>
      </c>
      <c r="AA237" s="25">
        <v>229</v>
      </c>
      <c r="AB237" s="37">
        <v>1</v>
      </c>
      <c r="AC237" s="30">
        <f t="shared" si="54"/>
        <v>200</v>
      </c>
      <c r="AD237" s="31">
        <f t="shared" si="44"/>
        <v>1</v>
      </c>
      <c r="AE237" s="31">
        <f t="shared" si="45"/>
        <v>8</v>
      </c>
      <c r="AF237" s="31">
        <f t="shared" si="46"/>
        <v>5</v>
      </c>
      <c r="AG237" s="31" t="str">
        <f t="shared" si="47"/>
        <v/>
      </c>
      <c r="AH237" s="31">
        <f t="shared" si="48"/>
        <v>7</v>
      </c>
      <c r="AI237" s="31" t="str">
        <f t="shared" si="49"/>
        <v/>
      </c>
      <c r="AJ237" s="25">
        <v>9</v>
      </c>
      <c r="AK237" s="25">
        <v>5</v>
      </c>
      <c r="AL237" s="25">
        <v>7</v>
      </c>
      <c r="AM237" s="23" t="s">
        <v>206</v>
      </c>
      <c r="AN237" s="23" t="s">
        <v>92</v>
      </c>
      <c r="AO237" s="25">
        <v>293</v>
      </c>
      <c r="AR237" s="32" t="str">
        <f t="shared" si="50"/>
        <v>5 doors</v>
      </c>
      <c r="AT237" s="23" t="s">
        <v>32</v>
      </c>
      <c r="AU237" s="23" t="str">
        <f t="shared" si="52"/>
        <v>Hungary</v>
      </c>
      <c r="AV237" s="34">
        <f t="shared" si="51"/>
        <v>1590.01</v>
      </c>
      <c r="AW237" s="23">
        <v>15</v>
      </c>
      <c r="AX237" s="23">
        <v>90</v>
      </c>
      <c r="AY237" s="23">
        <v>1</v>
      </c>
    </row>
    <row r="238" spans="1:51">
      <c r="A238" s="25">
        <v>282</v>
      </c>
      <c r="D238" s="23">
        <v>4</v>
      </c>
      <c r="E238" s="25" t="s">
        <v>30</v>
      </c>
      <c r="F238" s="25" t="s">
        <v>295</v>
      </c>
      <c r="G238" s="23" t="s">
        <v>27</v>
      </c>
      <c r="H238" s="23" t="s">
        <v>170</v>
      </c>
      <c r="I238" s="25">
        <v>1977</v>
      </c>
      <c r="J238" s="35">
        <v>30</v>
      </c>
      <c r="K238" s="35">
        <v>40</v>
      </c>
      <c r="L238" s="35">
        <v>20</v>
      </c>
      <c r="M238" s="25">
        <v>10</v>
      </c>
      <c r="N238" s="25">
        <v>10</v>
      </c>
      <c r="O238" s="25">
        <v>10</v>
      </c>
      <c r="P238" s="25">
        <v>10</v>
      </c>
      <c r="R238" s="30">
        <f t="shared" si="42"/>
        <v>40</v>
      </c>
      <c r="S238" s="37">
        <v>1</v>
      </c>
      <c r="T238" s="30">
        <f t="shared" si="55"/>
        <v>21.373142857142859</v>
      </c>
      <c r="U238" s="37">
        <v>1</v>
      </c>
      <c r="V238" s="30">
        <f t="shared" si="53"/>
        <v>27.402476190476193</v>
      </c>
      <c r="W238" s="25">
        <v>62</v>
      </c>
      <c r="X238" s="31">
        <f t="shared" si="43"/>
        <v>220.32000000000002</v>
      </c>
      <c r="Y238" s="25">
        <v>162</v>
      </c>
      <c r="Z238" s="25">
        <v>15</v>
      </c>
      <c r="AA238" s="25">
        <v>152</v>
      </c>
      <c r="AB238" s="37">
        <v>1</v>
      </c>
      <c r="AC238" s="30">
        <f t="shared" si="54"/>
        <v>200</v>
      </c>
      <c r="AD238" s="31">
        <f t="shared" si="44"/>
        <v>2</v>
      </c>
      <c r="AE238" s="31">
        <f t="shared" si="45"/>
        <v>8</v>
      </c>
      <c r="AF238" s="31">
        <f t="shared" si="46"/>
        <v>7</v>
      </c>
      <c r="AG238" s="31" t="str">
        <f t="shared" si="47"/>
        <v/>
      </c>
      <c r="AH238" s="31" t="str">
        <f t="shared" si="48"/>
        <v/>
      </c>
      <c r="AI238" s="31" t="str">
        <f t="shared" si="49"/>
        <v/>
      </c>
      <c r="AJ238" s="25">
        <v>10</v>
      </c>
      <c r="AK238" s="25">
        <v>7</v>
      </c>
      <c r="AL238" s="25">
        <v>0</v>
      </c>
      <c r="AM238" s="23" t="s">
        <v>206</v>
      </c>
      <c r="AN238" s="23" t="s">
        <v>92</v>
      </c>
      <c r="AO238" s="25">
        <v>282</v>
      </c>
      <c r="AR238" s="32" t="str">
        <f t="shared" si="50"/>
        <v>4 doors</v>
      </c>
      <c r="AT238" s="23" t="s">
        <v>32</v>
      </c>
      <c r="AU238" s="23" t="str">
        <f t="shared" si="52"/>
        <v>CC</v>
      </c>
      <c r="AV238" s="34">
        <f t="shared" si="51"/>
        <v>1600</v>
      </c>
      <c r="AW238" s="23">
        <v>16</v>
      </c>
      <c r="AX238" s="23">
        <v>0</v>
      </c>
      <c r="AY238" s="23">
        <v>0</v>
      </c>
    </row>
    <row r="239" spans="1:51">
      <c r="A239" s="25">
        <v>282</v>
      </c>
      <c r="D239" s="23">
        <v>4</v>
      </c>
      <c r="E239" s="25" t="s">
        <v>85</v>
      </c>
      <c r="F239" s="25" t="s">
        <v>85</v>
      </c>
      <c r="G239" s="23" t="s">
        <v>27</v>
      </c>
      <c r="H239" s="23" t="s">
        <v>170</v>
      </c>
      <c r="I239" s="25">
        <v>1977</v>
      </c>
      <c r="J239" s="35">
        <v>30</v>
      </c>
      <c r="K239" s="35">
        <v>40</v>
      </c>
      <c r="L239" s="35">
        <v>20</v>
      </c>
      <c r="M239" s="25">
        <v>10</v>
      </c>
      <c r="N239" s="25">
        <v>10</v>
      </c>
      <c r="O239" s="25">
        <v>10</v>
      </c>
      <c r="P239" s="25">
        <v>10</v>
      </c>
      <c r="R239" s="30">
        <f t="shared" si="42"/>
        <v>40</v>
      </c>
      <c r="S239" s="37">
        <v>1</v>
      </c>
      <c r="T239" s="30">
        <f t="shared" si="55"/>
        <v>21.373142857142859</v>
      </c>
      <c r="U239" s="37">
        <v>1</v>
      </c>
      <c r="V239" s="30">
        <f t="shared" si="53"/>
        <v>27.402476190476193</v>
      </c>
      <c r="W239" s="25">
        <v>62</v>
      </c>
      <c r="X239" s="31">
        <f t="shared" si="43"/>
        <v>220.32000000000002</v>
      </c>
      <c r="Y239" s="25">
        <v>162</v>
      </c>
      <c r="Z239" s="25">
        <v>15</v>
      </c>
      <c r="AA239" s="25">
        <v>152</v>
      </c>
      <c r="AB239" s="37">
        <v>1</v>
      </c>
      <c r="AC239" s="30">
        <f t="shared" si="54"/>
        <v>200</v>
      </c>
      <c r="AD239" s="31">
        <f t="shared" si="44"/>
        <v>2</v>
      </c>
      <c r="AE239" s="31">
        <f t="shared" si="45"/>
        <v>8</v>
      </c>
      <c r="AF239" s="31">
        <f t="shared" si="46"/>
        <v>7</v>
      </c>
      <c r="AG239" s="31" t="str">
        <f t="shared" si="47"/>
        <v/>
      </c>
      <c r="AH239" s="31" t="str">
        <f t="shared" si="48"/>
        <v/>
      </c>
      <c r="AI239" s="31" t="str">
        <f t="shared" si="49"/>
        <v/>
      </c>
      <c r="AJ239" s="25">
        <v>10</v>
      </c>
      <c r="AK239" s="25">
        <v>7</v>
      </c>
      <c r="AL239" s="25">
        <v>0</v>
      </c>
      <c r="AM239" s="23" t="s">
        <v>206</v>
      </c>
      <c r="AN239" s="23" t="s">
        <v>92</v>
      </c>
      <c r="AO239" s="25">
        <v>282</v>
      </c>
      <c r="AR239" s="32" t="str">
        <f t="shared" si="50"/>
        <v>4 doors</v>
      </c>
      <c r="AT239" s="23" t="s">
        <v>32</v>
      </c>
      <c r="AU239" s="23" t="str">
        <f t="shared" si="52"/>
        <v>Hungary</v>
      </c>
      <c r="AV239" s="34">
        <f t="shared" si="51"/>
        <v>1600.01</v>
      </c>
      <c r="AW239" s="23">
        <v>16</v>
      </c>
      <c r="AX239" s="23">
        <v>0</v>
      </c>
      <c r="AY239" s="23">
        <v>1</v>
      </c>
    </row>
    <row r="240" spans="1:51">
      <c r="A240" s="25">
        <v>284</v>
      </c>
      <c r="D240" s="23">
        <v>4</v>
      </c>
      <c r="E240" s="25" t="s">
        <v>30</v>
      </c>
      <c r="F240" s="25" t="s">
        <v>295</v>
      </c>
      <c r="G240" s="23" t="s">
        <v>27</v>
      </c>
      <c r="H240" s="23" t="s">
        <v>172</v>
      </c>
      <c r="I240" s="25">
        <v>1984</v>
      </c>
      <c r="J240" s="35">
        <v>30</v>
      </c>
      <c r="K240" s="35">
        <v>40</v>
      </c>
      <c r="L240" s="35">
        <v>20</v>
      </c>
      <c r="M240" s="25">
        <v>12</v>
      </c>
      <c r="N240" s="25">
        <v>12</v>
      </c>
      <c r="O240" s="25">
        <v>12</v>
      </c>
      <c r="P240" s="25">
        <v>6</v>
      </c>
      <c r="R240" s="30">
        <f t="shared" si="42"/>
        <v>42</v>
      </c>
      <c r="S240" s="37">
        <v>1</v>
      </c>
      <c r="T240" s="30">
        <f t="shared" si="55"/>
        <v>22.832000000000001</v>
      </c>
      <c r="U240" s="37">
        <v>1</v>
      </c>
      <c r="V240" s="30">
        <f t="shared" si="53"/>
        <v>29.490666666666669</v>
      </c>
      <c r="W240" s="25">
        <v>67</v>
      </c>
      <c r="X240" s="31">
        <f t="shared" si="43"/>
        <v>236.64000000000001</v>
      </c>
      <c r="Y240" s="25">
        <v>174</v>
      </c>
      <c r="Z240" s="25">
        <v>16</v>
      </c>
      <c r="AA240" s="25">
        <v>184</v>
      </c>
      <c r="AB240" s="37">
        <v>1</v>
      </c>
      <c r="AC240" s="30">
        <f t="shared" si="54"/>
        <v>200</v>
      </c>
      <c r="AD240" s="31">
        <f t="shared" si="44"/>
        <v>2</v>
      </c>
      <c r="AE240" s="31">
        <f t="shared" si="45"/>
        <v>8</v>
      </c>
      <c r="AF240" s="31">
        <f t="shared" si="46"/>
        <v>7</v>
      </c>
      <c r="AG240" s="31" t="str">
        <f t="shared" si="47"/>
        <v/>
      </c>
      <c r="AH240" s="31" t="str">
        <f t="shared" si="48"/>
        <v/>
      </c>
      <c r="AI240" s="31" t="str">
        <f t="shared" si="49"/>
        <v/>
      </c>
      <c r="AJ240" s="25">
        <v>10</v>
      </c>
      <c r="AK240" s="25">
        <v>7</v>
      </c>
      <c r="AL240" s="25">
        <v>0</v>
      </c>
      <c r="AM240" s="23" t="s">
        <v>206</v>
      </c>
      <c r="AN240" s="23" t="s">
        <v>92</v>
      </c>
      <c r="AO240" s="25">
        <v>284</v>
      </c>
      <c r="AR240" s="32" t="str">
        <f t="shared" si="50"/>
        <v>4 doors</v>
      </c>
      <c r="AT240" s="23" t="s">
        <v>32</v>
      </c>
      <c r="AU240" s="23" t="str">
        <f t="shared" si="52"/>
        <v>CC</v>
      </c>
      <c r="AV240" s="34">
        <f t="shared" si="51"/>
        <v>1800</v>
      </c>
      <c r="AW240" s="23">
        <v>18</v>
      </c>
      <c r="AX240" s="23">
        <v>0</v>
      </c>
      <c r="AY240" s="23">
        <v>0</v>
      </c>
    </row>
    <row r="241" spans="1:51">
      <c r="A241" s="25">
        <v>284</v>
      </c>
      <c r="D241" s="23">
        <v>4</v>
      </c>
      <c r="E241" s="25" t="s">
        <v>42</v>
      </c>
      <c r="F241" s="25" t="s">
        <v>295</v>
      </c>
      <c r="G241" s="23" t="s">
        <v>27</v>
      </c>
      <c r="H241" s="23" t="s">
        <v>172</v>
      </c>
      <c r="I241" s="25">
        <v>1984</v>
      </c>
      <c r="J241" s="35">
        <v>30</v>
      </c>
      <c r="K241" s="35">
        <v>40</v>
      </c>
      <c r="L241" s="35">
        <v>20</v>
      </c>
      <c r="M241" s="25">
        <v>10</v>
      </c>
      <c r="N241" s="25">
        <v>10</v>
      </c>
      <c r="O241" s="25">
        <v>10</v>
      </c>
      <c r="P241" s="25">
        <v>6</v>
      </c>
      <c r="R241" s="30">
        <f t="shared" si="42"/>
        <v>36</v>
      </c>
      <c r="S241" s="37">
        <v>1</v>
      </c>
      <c r="T241" s="30">
        <f t="shared" si="55"/>
        <v>22.403428571428574</v>
      </c>
      <c r="U241" s="37">
        <v>1</v>
      </c>
      <c r="V241" s="30">
        <f t="shared" si="53"/>
        <v>29.062095238095242</v>
      </c>
      <c r="W241" s="25">
        <v>67</v>
      </c>
      <c r="X241" s="31">
        <f t="shared" si="43"/>
        <v>236.64000000000001</v>
      </c>
      <c r="Y241" s="25">
        <v>174</v>
      </c>
      <c r="Z241" s="25">
        <v>16</v>
      </c>
      <c r="AA241" s="25">
        <v>184</v>
      </c>
      <c r="AB241" s="37">
        <v>1</v>
      </c>
      <c r="AC241" s="30">
        <f t="shared" si="54"/>
        <v>200</v>
      </c>
      <c r="AD241" s="31">
        <f t="shared" si="44"/>
        <v>2</v>
      </c>
      <c r="AE241" s="31">
        <f t="shared" si="45"/>
        <v>8</v>
      </c>
      <c r="AF241" s="31">
        <f t="shared" si="46"/>
        <v>7</v>
      </c>
      <c r="AG241" s="31" t="str">
        <f t="shared" si="47"/>
        <v/>
      </c>
      <c r="AH241" s="31" t="str">
        <f t="shared" si="48"/>
        <v/>
      </c>
      <c r="AI241" s="31" t="str">
        <f t="shared" si="49"/>
        <v/>
      </c>
      <c r="AJ241" s="25">
        <v>10</v>
      </c>
      <c r="AK241" s="25">
        <v>7</v>
      </c>
      <c r="AL241" s="25">
        <v>0</v>
      </c>
      <c r="AM241" s="23" t="s">
        <v>206</v>
      </c>
      <c r="AN241" s="23" t="s">
        <v>92</v>
      </c>
      <c r="AO241" s="25">
        <v>284</v>
      </c>
      <c r="AR241" s="32" t="str">
        <f t="shared" si="50"/>
        <v>4 doors</v>
      </c>
      <c r="AT241" s="23" t="s">
        <v>32</v>
      </c>
      <c r="AU241" s="23" t="str">
        <f t="shared" si="52"/>
        <v>CC</v>
      </c>
      <c r="AV241" s="34">
        <f t="shared" si="51"/>
        <v>1800.01</v>
      </c>
      <c r="AW241" s="23">
        <v>18</v>
      </c>
      <c r="AX241" s="23">
        <v>0</v>
      </c>
      <c r="AY241" s="23">
        <v>1</v>
      </c>
    </row>
    <row r="242" spans="1:51">
      <c r="A242" s="25">
        <v>284</v>
      </c>
      <c r="D242" s="23">
        <v>4</v>
      </c>
      <c r="E242" s="25" t="s">
        <v>96</v>
      </c>
      <c r="F242" s="25" t="s">
        <v>85</v>
      </c>
      <c r="G242" s="23" t="s">
        <v>27</v>
      </c>
      <c r="H242" s="23" t="s">
        <v>172</v>
      </c>
      <c r="I242" s="25">
        <v>1984</v>
      </c>
      <c r="J242" s="35">
        <v>30</v>
      </c>
      <c r="K242" s="35">
        <v>40</v>
      </c>
      <c r="L242" s="35">
        <v>20</v>
      </c>
      <c r="M242" s="25">
        <v>10</v>
      </c>
      <c r="N242" s="25">
        <v>10</v>
      </c>
      <c r="O242" s="25">
        <v>10</v>
      </c>
      <c r="P242" s="25">
        <v>6</v>
      </c>
      <c r="R242" s="30">
        <f t="shared" si="42"/>
        <v>36</v>
      </c>
      <c r="S242" s="37">
        <v>1</v>
      </c>
      <c r="T242" s="30">
        <f t="shared" si="55"/>
        <v>22.403428571428574</v>
      </c>
      <c r="U242" s="37">
        <v>1</v>
      </c>
      <c r="V242" s="30">
        <f t="shared" si="53"/>
        <v>29.062095238095242</v>
      </c>
      <c r="W242" s="25">
        <v>67</v>
      </c>
      <c r="X242" s="31">
        <f t="shared" si="43"/>
        <v>236.64000000000001</v>
      </c>
      <c r="Y242" s="25">
        <v>174</v>
      </c>
      <c r="Z242" s="25">
        <v>16</v>
      </c>
      <c r="AA242" s="25">
        <v>184</v>
      </c>
      <c r="AB242" s="37">
        <v>1</v>
      </c>
      <c r="AC242" s="30">
        <f t="shared" si="54"/>
        <v>200</v>
      </c>
      <c r="AD242" s="31">
        <f t="shared" si="44"/>
        <v>2</v>
      </c>
      <c r="AE242" s="31">
        <f t="shared" si="45"/>
        <v>8</v>
      </c>
      <c r="AF242" s="31">
        <f t="shared" si="46"/>
        <v>7</v>
      </c>
      <c r="AG242" s="31" t="str">
        <f t="shared" si="47"/>
        <v/>
      </c>
      <c r="AH242" s="31" t="str">
        <f t="shared" si="48"/>
        <v/>
      </c>
      <c r="AI242" s="31" t="str">
        <f t="shared" si="49"/>
        <v/>
      </c>
      <c r="AJ242" s="25">
        <v>10</v>
      </c>
      <c r="AK242" s="25">
        <v>7</v>
      </c>
      <c r="AL242" s="25">
        <v>0</v>
      </c>
      <c r="AM242" s="23" t="s">
        <v>206</v>
      </c>
      <c r="AN242" s="23" t="s">
        <v>92</v>
      </c>
      <c r="AO242" s="25">
        <v>284</v>
      </c>
      <c r="AR242" s="32" t="str">
        <f t="shared" si="50"/>
        <v>4 doors</v>
      </c>
      <c r="AT242" s="23" t="s">
        <v>32</v>
      </c>
      <c r="AU242" s="23" t="str">
        <f t="shared" si="52"/>
        <v>Hungary</v>
      </c>
      <c r="AV242" s="34">
        <f t="shared" si="51"/>
        <v>1800.02</v>
      </c>
      <c r="AW242" s="23">
        <v>18</v>
      </c>
      <c r="AX242" s="23">
        <v>0</v>
      </c>
      <c r="AY242" s="23">
        <v>2</v>
      </c>
    </row>
    <row r="243" spans="1:51">
      <c r="A243" s="25">
        <v>284</v>
      </c>
      <c r="D243" s="23">
        <v>4</v>
      </c>
      <c r="E243" s="25" t="s">
        <v>97</v>
      </c>
      <c r="F243" s="25" t="s">
        <v>85</v>
      </c>
      <c r="G243" s="23" t="s">
        <v>27</v>
      </c>
      <c r="H243" s="23" t="s">
        <v>172</v>
      </c>
      <c r="I243" s="25">
        <v>1984</v>
      </c>
      <c r="J243" s="35">
        <v>30</v>
      </c>
      <c r="K243" s="35">
        <v>40</v>
      </c>
      <c r="L243" s="35">
        <v>20</v>
      </c>
      <c r="M243" s="25">
        <v>10</v>
      </c>
      <c r="N243" s="25">
        <v>10</v>
      </c>
      <c r="O243" s="25">
        <v>10</v>
      </c>
      <c r="P243" s="25">
        <v>6</v>
      </c>
      <c r="R243" s="30">
        <f t="shared" si="42"/>
        <v>36</v>
      </c>
      <c r="S243" s="37">
        <v>1</v>
      </c>
      <c r="T243" s="30">
        <f t="shared" si="55"/>
        <v>22.403428571428574</v>
      </c>
      <c r="U243" s="37">
        <v>1</v>
      </c>
      <c r="V243" s="30">
        <f t="shared" si="53"/>
        <v>29.062095238095242</v>
      </c>
      <c r="W243" s="25">
        <v>67</v>
      </c>
      <c r="X243" s="31">
        <f t="shared" si="43"/>
        <v>236.64000000000001</v>
      </c>
      <c r="Y243" s="25">
        <v>174</v>
      </c>
      <c r="Z243" s="25">
        <v>16</v>
      </c>
      <c r="AA243" s="25">
        <v>184</v>
      </c>
      <c r="AB243" s="37">
        <v>1</v>
      </c>
      <c r="AC243" s="30">
        <f t="shared" si="54"/>
        <v>200</v>
      </c>
      <c r="AD243" s="31">
        <f t="shared" si="44"/>
        <v>2</v>
      </c>
      <c r="AE243" s="31">
        <f t="shared" si="45"/>
        <v>8</v>
      </c>
      <c r="AF243" s="31">
        <f t="shared" si="46"/>
        <v>7</v>
      </c>
      <c r="AG243" s="31" t="str">
        <f t="shared" si="47"/>
        <v/>
      </c>
      <c r="AH243" s="31" t="str">
        <f t="shared" si="48"/>
        <v/>
      </c>
      <c r="AI243" s="31" t="str">
        <f t="shared" si="49"/>
        <v/>
      </c>
      <c r="AJ243" s="25">
        <v>10</v>
      </c>
      <c r="AK243" s="25">
        <v>7</v>
      </c>
      <c r="AL243" s="25">
        <v>0</v>
      </c>
      <c r="AM243" s="23" t="s">
        <v>206</v>
      </c>
      <c r="AN243" s="23" t="s">
        <v>92</v>
      </c>
      <c r="AO243" s="25">
        <v>284</v>
      </c>
      <c r="AR243" s="32" t="str">
        <f t="shared" si="50"/>
        <v>4 doors</v>
      </c>
      <c r="AT243" s="23" t="s">
        <v>32</v>
      </c>
      <c r="AU243" s="23" t="str">
        <f t="shared" si="52"/>
        <v>Hungary</v>
      </c>
      <c r="AV243" s="34">
        <f t="shared" si="51"/>
        <v>1800.03</v>
      </c>
      <c r="AW243" s="23">
        <v>18</v>
      </c>
      <c r="AX243" s="23">
        <v>0</v>
      </c>
      <c r="AY243" s="23">
        <v>3</v>
      </c>
    </row>
    <row r="244" spans="1:51">
      <c r="A244" s="25">
        <v>283</v>
      </c>
      <c r="D244" s="23">
        <v>2</v>
      </c>
      <c r="E244" s="25" t="s">
        <v>30</v>
      </c>
      <c r="F244" s="25" t="s">
        <v>302</v>
      </c>
      <c r="G244" s="23" t="s">
        <v>27</v>
      </c>
      <c r="H244" s="23" t="s">
        <v>171</v>
      </c>
      <c r="I244" s="25">
        <v>1987</v>
      </c>
      <c r="J244" s="35">
        <v>30</v>
      </c>
      <c r="K244" s="35">
        <v>40</v>
      </c>
      <c r="L244" s="35">
        <v>20</v>
      </c>
      <c r="M244" s="25">
        <v>10</v>
      </c>
      <c r="N244" s="25">
        <v>10</v>
      </c>
      <c r="R244" s="30">
        <f t="shared" si="42"/>
        <v>20</v>
      </c>
      <c r="S244" s="37">
        <v>1</v>
      </c>
      <c r="T244" s="30">
        <f t="shared" si="55"/>
        <v>21.440571428571428</v>
      </c>
      <c r="U244" s="37">
        <v>1</v>
      </c>
      <c r="V244" s="30">
        <f t="shared" si="53"/>
        <v>28.78590476190476</v>
      </c>
      <c r="W244" s="25">
        <v>89</v>
      </c>
      <c r="X244" s="31">
        <f t="shared" si="43"/>
        <v>250.24</v>
      </c>
      <c r="Y244" s="25">
        <v>184</v>
      </c>
      <c r="Z244" s="25">
        <v>15</v>
      </c>
      <c r="AA244" s="25">
        <v>125</v>
      </c>
      <c r="AB244" s="37">
        <v>1</v>
      </c>
      <c r="AC244" s="30">
        <f t="shared" si="54"/>
        <v>200</v>
      </c>
      <c r="AD244" s="31">
        <f t="shared" si="44"/>
        <v>2</v>
      </c>
      <c r="AE244" s="31">
        <f t="shared" si="45"/>
        <v>8</v>
      </c>
      <c r="AF244" s="31">
        <f t="shared" si="46"/>
        <v>7</v>
      </c>
      <c r="AG244" s="31" t="str">
        <f t="shared" si="47"/>
        <v/>
      </c>
      <c r="AH244" s="31" t="str">
        <f t="shared" si="48"/>
        <v/>
      </c>
      <c r="AI244" s="31" t="str">
        <f t="shared" si="49"/>
        <v/>
      </c>
      <c r="AJ244" s="25">
        <v>10</v>
      </c>
      <c r="AK244" s="25">
        <v>7</v>
      </c>
      <c r="AL244" s="25">
        <v>0</v>
      </c>
      <c r="AM244" s="23" t="s">
        <v>206</v>
      </c>
      <c r="AN244" s="23" t="s">
        <v>92</v>
      </c>
      <c r="AO244" s="25">
        <v>283</v>
      </c>
      <c r="AR244" s="32" t="str">
        <f t="shared" si="50"/>
        <v>2 doors</v>
      </c>
      <c r="AT244" s="23" t="s">
        <v>270</v>
      </c>
      <c r="AU244" s="23" t="str">
        <f t="shared" si="52"/>
        <v>CC</v>
      </c>
      <c r="AV244" s="34">
        <f t="shared" si="51"/>
        <v>1980</v>
      </c>
      <c r="AW244" s="23">
        <v>19</v>
      </c>
      <c r="AX244" s="23">
        <v>80</v>
      </c>
      <c r="AY244" s="23">
        <v>0</v>
      </c>
    </row>
    <row r="245" spans="1:51">
      <c r="A245" s="25">
        <v>315</v>
      </c>
      <c r="D245" s="23">
        <v>2</v>
      </c>
      <c r="E245" s="25" t="s">
        <v>30</v>
      </c>
      <c r="F245" s="25" t="s">
        <v>303</v>
      </c>
      <c r="G245" s="23" t="s">
        <v>27</v>
      </c>
      <c r="H245" s="23" t="s">
        <v>189</v>
      </c>
      <c r="I245" s="25">
        <v>1992</v>
      </c>
      <c r="J245" s="35">
        <v>30</v>
      </c>
      <c r="K245" s="35">
        <v>40</v>
      </c>
      <c r="L245" s="35">
        <v>20</v>
      </c>
      <c r="M245" s="25">
        <v>4</v>
      </c>
      <c r="N245" s="25">
        <v>4</v>
      </c>
      <c r="R245" s="30">
        <f t="shared" si="42"/>
        <v>8</v>
      </c>
      <c r="S245" s="37">
        <v>1.2</v>
      </c>
      <c r="T245" s="30">
        <f t="shared" si="55"/>
        <v>16.664914285714286</v>
      </c>
      <c r="U245" s="37">
        <v>1.1000000000000001</v>
      </c>
      <c r="V245" s="30">
        <f t="shared" si="53"/>
        <v>22.238438095238099</v>
      </c>
      <c r="W245" s="25">
        <v>118</v>
      </c>
      <c r="X245" s="31">
        <f t="shared" si="43"/>
        <v>186.32000000000002</v>
      </c>
      <c r="Y245" s="25">
        <v>137</v>
      </c>
      <c r="Z245" s="25">
        <v>8</v>
      </c>
      <c r="AA245" s="25">
        <v>32</v>
      </c>
      <c r="AB245" s="37">
        <v>0.8</v>
      </c>
      <c r="AC245" s="30">
        <f t="shared" si="54"/>
        <v>80</v>
      </c>
      <c r="AD245" s="31">
        <f t="shared" si="44"/>
        <v>7</v>
      </c>
      <c r="AE245" s="31" t="str">
        <f t="shared" si="45"/>
        <v/>
      </c>
      <c r="AF245" s="31" t="str">
        <f t="shared" si="46"/>
        <v/>
      </c>
      <c r="AG245" s="31" t="str">
        <f t="shared" si="47"/>
        <v/>
      </c>
      <c r="AH245" s="31" t="str">
        <f t="shared" si="48"/>
        <v/>
      </c>
      <c r="AI245" s="31" t="str">
        <f t="shared" si="49"/>
        <v/>
      </c>
      <c r="AJ245" s="25">
        <v>7</v>
      </c>
      <c r="AK245" s="25">
        <v>0</v>
      </c>
      <c r="AL245" s="25">
        <v>0</v>
      </c>
      <c r="AM245" s="23" t="s">
        <v>208</v>
      </c>
      <c r="AN245" s="23" t="s">
        <v>92</v>
      </c>
      <c r="AO245" s="25">
        <v>315</v>
      </c>
      <c r="AR245" s="32" t="str">
        <f t="shared" si="50"/>
        <v>2 doors</v>
      </c>
      <c r="AT245" s="23" t="s">
        <v>48</v>
      </c>
      <c r="AU245" s="23" t="str">
        <f t="shared" si="52"/>
        <v>CC</v>
      </c>
      <c r="AV245" s="34">
        <f t="shared" si="51"/>
        <v>3000</v>
      </c>
      <c r="AW245" s="23">
        <v>30</v>
      </c>
      <c r="AX245" s="23">
        <v>0</v>
      </c>
      <c r="AY245" s="23">
        <v>0</v>
      </c>
    </row>
    <row r="246" spans="1:51">
      <c r="A246" s="25">
        <v>325</v>
      </c>
      <c r="D246" s="23">
        <v>2</v>
      </c>
      <c r="E246" s="25" t="s">
        <v>30</v>
      </c>
      <c r="F246" s="25" t="s">
        <v>308</v>
      </c>
      <c r="G246" s="23" t="s">
        <v>27</v>
      </c>
      <c r="H246" s="23" t="s">
        <v>248</v>
      </c>
      <c r="I246" s="25">
        <v>1986</v>
      </c>
      <c r="J246" s="35">
        <v>30</v>
      </c>
      <c r="K246" s="35">
        <v>40</v>
      </c>
      <c r="L246" s="35">
        <v>20</v>
      </c>
      <c r="M246" s="25">
        <v>4</v>
      </c>
      <c r="N246" s="25">
        <v>4</v>
      </c>
      <c r="R246" s="30">
        <f t="shared" si="42"/>
        <v>8</v>
      </c>
      <c r="S246" s="37">
        <v>1.2</v>
      </c>
      <c r="T246" s="30">
        <f t="shared" si="55"/>
        <v>17.452114285714288</v>
      </c>
      <c r="U246" s="37">
        <v>1.1000000000000001</v>
      </c>
      <c r="V246" s="30">
        <f t="shared" si="53"/>
        <v>24.656971428571435</v>
      </c>
      <c r="W246" s="25">
        <v>113</v>
      </c>
      <c r="X246" s="31">
        <f t="shared" si="43"/>
        <v>209.44000000000003</v>
      </c>
      <c r="Y246" s="25">
        <v>154</v>
      </c>
      <c r="Z246" s="25">
        <v>7</v>
      </c>
      <c r="AA246" s="25">
        <v>30</v>
      </c>
      <c r="AB246" s="37">
        <v>0.8</v>
      </c>
      <c r="AC246" s="30">
        <f t="shared" si="54"/>
        <v>80</v>
      </c>
      <c r="AD246" s="31">
        <f t="shared" si="44"/>
        <v>8</v>
      </c>
      <c r="AE246" s="31" t="str">
        <f t="shared" si="45"/>
        <v/>
      </c>
      <c r="AF246" s="31" t="str">
        <f t="shared" si="46"/>
        <v/>
      </c>
      <c r="AG246" s="31" t="str">
        <f t="shared" si="47"/>
        <v/>
      </c>
      <c r="AH246" s="31" t="str">
        <f t="shared" si="48"/>
        <v/>
      </c>
      <c r="AI246" s="31" t="str">
        <f t="shared" si="49"/>
        <v/>
      </c>
      <c r="AJ246" s="25">
        <v>8</v>
      </c>
      <c r="AK246" s="25">
        <v>0</v>
      </c>
      <c r="AL246" s="25">
        <v>0</v>
      </c>
      <c r="AM246" s="23" t="s">
        <v>208</v>
      </c>
      <c r="AN246" s="23" t="s">
        <v>92</v>
      </c>
      <c r="AO246" s="25">
        <v>325</v>
      </c>
      <c r="AR246" s="32" t="str">
        <f t="shared" si="50"/>
        <v>2 doors</v>
      </c>
      <c r="AT246" s="23" t="s">
        <v>48</v>
      </c>
      <c r="AU246" s="23" t="str">
        <f t="shared" si="52"/>
        <v>CC</v>
      </c>
      <c r="AV246" s="34">
        <f t="shared" si="51"/>
        <v>3010</v>
      </c>
      <c r="AW246" s="23">
        <v>30</v>
      </c>
      <c r="AX246" s="23">
        <v>10</v>
      </c>
      <c r="AY246" s="23">
        <v>0</v>
      </c>
    </row>
    <row r="247" spans="1:51">
      <c r="A247" s="25">
        <v>350</v>
      </c>
      <c r="D247" s="23">
        <v>2</v>
      </c>
      <c r="E247" s="25" t="s">
        <v>30</v>
      </c>
      <c r="F247" s="25" t="s">
        <v>308</v>
      </c>
      <c r="G247" s="23" t="s">
        <v>27</v>
      </c>
      <c r="H247" s="23" t="s">
        <v>190</v>
      </c>
      <c r="I247" s="25">
        <v>1988</v>
      </c>
      <c r="J247" s="35">
        <v>30</v>
      </c>
      <c r="K247" s="35">
        <v>40</v>
      </c>
      <c r="L247" s="35">
        <v>20</v>
      </c>
      <c r="M247" s="25">
        <v>4</v>
      </c>
      <c r="N247" s="25">
        <v>4</v>
      </c>
      <c r="R247" s="30">
        <f t="shared" si="42"/>
        <v>8</v>
      </c>
      <c r="S247" s="37">
        <v>1.2</v>
      </c>
      <c r="T247" s="30">
        <f t="shared" si="55"/>
        <v>25.021714285714289</v>
      </c>
      <c r="U247" s="37">
        <v>1.1000000000000001</v>
      </c>
      <c r="V247" s="30">
        <f t="shared" si="53"/>
        <v>33.731238095238098</v>
      </c>
      <c r="W247" s="25">
        <v>117</v>
      </c>
      <c r="X247" s="31">
        <f t="shared" si="43"/>
        <v>285.60000000000002</v>
      </c>
      <c r="Y247" s="25">
        <v>210</v>
      </c>
      <c r="Z247" s="25">
        <v>12</v>
      </c>
      <c r="AA247" s="25">
        <v>50</v>
      </c>
      <c r="AB247" s="37">
        <v>0.8</v>
      </c>
      <c r="AC247" s="30">
        <f t="shared" si="54"/>
        <v>80</v>
      </c>
      <c r="AD247" s="31">
        <f t="shared" si="44"/>
        <v>3</v>
      </c>
      <c r="AE247" s="31">
        <f t="shared" si="45"/>
        <v>8</v>
      </c>
      <c r="AF247" s="31" t="str">
        <f t="shared" si="46"/>
        <v/>
      </c>
      <c r="AG247" s="31" t="str">
        <f t="shared" si="47"/>
        <v/>
      </c>
      <c r="AH247" s="31" t="str">
        <f t="shared" si="48"/>
        <v/>
      </c>
      <c r="AI247" s="31" t="str">
        <f t="shared" si="49"/>
        <v/>
      </c>
      <c r="AJ247" s="25">
        <v>11</v>
      </c>
      <c r="AK247" s="25">
        <v>0</v>
      </c>
      <c r="AL247" s="25">
        <v>0</v>
      </c>
      <c r="AM247" s="23" t="s">
        <v>208</v>
      </c>
      <c r="AN247" s="23" t="s">
        <v>92</v>
      </c>
      <c r="AO247" s="25">
        <v>350</v>
      </c>
      <c r="AR247" s="32" t="str">
        <f t="shared" si="50"/>
        <v>2 doors</v>
      </c>
      <c r="AT247" s="23" t="s">
        <v>48</v>
      </c>
      <c r="AU247" s="23" t="str">
        <f t="shared" si="52"/>
        <v>CC</v>
      </c>
      <c r="AV247" s="34">
        <f t="shared" si="51"/>
        <v>3100</v>
      </c>
      <c r="AW247" s="23">
        <v>31</v>
      </c>
      <c r="AX247" s="23">
        <v>0</v>
      </c>
      <c r="AY247" s="23">
        <v>0</v>
      </c>
    </row>
    <row r="248" spans="1:51">
      <c r="A248" s="25">
        <v>386</v>
      </c>
      <c r="D248" s="23">
        <v>2</v>
      </c>
      <c r="E248" s="25" t="s">
        <v>30</v>
      </c>
      <c r="F248" s="25" t="s">
        <v>308</v>
      </c>
      <c r="G248" s="23" t="s">
        <v>27</v>
      </c>
      <c r="H248" s="23" t="s">
        <v>226</v>
      </c>
      <c r="I248" s="25">
        <v>1986</v>
      </c>
      <c r="J248" s="35">
        <v>30</v>
      </c>
      <c r="K248" s="35">
        <v>40</v>
      </c>
      <c r="L248" s="35">
        <v>20</v>
      </c>
      <c r="M248" s="25">
        <v>4</v>
      </c>
      <c r="N248" s="25">
        <v>4</v>
      </c>
      <c r="R248" s="30">
        <f t="shared" si="42"/>
        <v>8</v>
      </c>
      <c r="S248" s="37">
        <v>1.2</v>
      </c>
      <c r="T248" s="30">
        <f t="shared" si="55"/>
        <v>27.061714285714288</v>
      </c>
      <c r="U248" s="37">
        <v>1.1000000000000001</v>
      </c>
      <c r="V248" s="30">
        <f t="shared" si="53"/>
        <v>37.463904761904757</v>
      </c>
      <c r="W248" s="25">
        <v>113</v>
      </c>
      <c r="X248" s="31">
        <f t="shared" si="43"/>
        <v>319.60000000000002</v>
      </c>
      <c r="Y248" s="25">
        <v>235</v>
      </c>
      <c r="Z248" s="25">
        <v>12</v>
      </c>
      <c r="AA248" s="25">
        <v>49</v>
      </c>
      <c r="AB248" s="37">
        <v>0.8</v>
      </c>
      <c r="AC248" s="30">
        <f t="shared" si="54"/>
        <v>120</v>
      </c>
      <c r="AD248" s="31">
        <f t="shared" si="44"/>
        <v>3</v>
      </c>
      <c r="AE248" s="31">
        <f t="shared" si="45"/>
        <v>8</v>
      </c>
      <c r="AF248" s="31" t="str">
        <f t="shared" si="46"/>
        <v/>
      </c>
      <c r="AG248" s="31" t="str">
        <f t="shared" si="47"/>
        <v/>
      </c>
      <c r="AH248" s="31" t="str">
        <f t="shared" si="48"/>
        <v/>
      </c>
      <c r="AI248" s="31" t="str">
        <f t="shared" si="49"/>
        <v/>
      </c>
      <c r="AJ248" s="25">
        <v>11</v>
      </c>
      <c r="AK248" s="25">
        <v>0</v>
      </c>
      <c r="AL248" s="25">
        <v>0</v>
      </c>
      <c r="AM248" s="23" t="s">
        <v>208</v>
      </c>
      <c r="AN248" s="23" t="s">
        <v>92</v>
      </c>
      <c r="AO248" s="25">
        <v>386</v>
      </c>
      <c r="AR248" s="32" t="str">
        <f t="shared" si="50"/>
        <v>2 doors</v>
      </c>
      <c r="AT248" s="23" t="s">
        <v>47</v>
      </c>
      <c r="AU248" s="23" t="str">
        <f t="shared" si="52"/>
        <v>CC</v>
      </c>
      <c r="AV248" s="34">
        <f t="shared" si="51"/>
        <v>3200</v>
      </c>
      <c r="AW248" s="23">
        <v>32</v>
      </c>
      <c r="AX248" s="23">
        <v>0</v>
      </c>
      <c r="AY248" s="23">
        <v>0</v>
      </c>
    </row>
    <row r="249" spans="1:51">
      <c r="A249" s="25">
        <v>397</v>
      </c>
      <c r="D249" s="23">
        <v>2</v>
      </c>
      <c r="E249" s="25" t="s">
        <v>30</v>
      </c>
      <c r="F249" s="25" t="s">
        <v>317</v>
      </c>
      <c r="G249" s="23" t="s">
        <v>27</v>
      </c>
      <c r="H249" s="23" t="s">
        <v>191</v>
      </c>
      <c r="I249" s="25">
        <v>1993</v>
      </c>
      <c r="J249" s="35">
        <v>30</v>
      </c>
      <c r="K249" s="35">
        <v>40</v>
      </c>
      <c r="L249" s="35">
        <v>20</v>
      </c>
      <c r="M249" s="25">
        <v>4</v>
      </c>
      <c r="N249" s="25">
        <v>6</v>
      </c>
      <c r="R249" s="30">
        <f t="shared" si="42"/>
        <v>10</v>
      </c>
      <c r="S249" s="37">
        <v>1.2</v>
      </c>
      <c r="T249" s="30">
        <f t="shared" si="55"/>
        <v>32.844342857142856</v>
      </c>
      <c r="U249" s="37">
        <v>1.1000000000000001</v>
      </c>
      <c r="V249" s="30">
        <f t="shared" si="53"/>
        <v>43.046247619047627</v>
      </c>
      <c r="W249" s="25">
        <v>123</v>
      </c>
      <c r="X249" s="31">
        <f t="shared" si="43"/>
        <v>363.12</v>
      </c>
      <c r="Y249" s="25">
        <v>267</v>
      </c>
      <c r="Z249" s="25">
        <v>17</v>
      </c>
      <c r="AA249" s="25">
        <v>61</v>
      </c>
      <c r="AB249" s="37">
        <v>0.8</v>
      </c>
      <c r="AC249" s="30">
        <f t="shared" si="54"/>
        <v>120</v>
      </c>
      <c r="AD249" s="31">
        <f t="shared" si="44"/>
        <v>3</v>
      </c>
      <c r="AE249" s="31">
        <f t="shared" si="45"/>
        <v>8</v>
      </c>
      <c r="AF249" s="31" t="str">
        <f t="shared" si="46"/>
        <v/>
      </c>
      <c r="AG249" s="31" t="str">
        <f t="shared" si="47"/>
        <v/>
      </c>
      <c r="AH249" s="31" t="str">
        <f t="shared" si="48"/>
        <v/>
      </c>
      <c r="AI249" s="31" t="str">
        <f t="shared" si="49"/>
        <v/>
      </c>
      <c r="AJ249" s="25">
        <v>11</v>
      </c>
      <c r="AK249" s="25">
        <v>0</v>
      </c>
      <c r="AL249" s="25">
        <v>0</v>
      </c>
      <c r="AM249" s="23" t="s">
        <v>208</v>
      </c>
      <c r="AN249" s="23" t="s">
        <v>92</v>
      </c>
      <c r="AO249" s="25">
        <v>397</v>
      </c>
      <c r="AR249" s="32" t="str">
        <f t="shared" si="50"/>
        <v>2 doors</v>
      </c>
      <c r="AT249" s="23" t="s">
        <v>47</v>
      </c>
      <c r="AU249" s="23" t="str">
        <f t="shared" si="52"/>
        <v>CC</v>
      </c>
      <c r="AV249" s="34">
        <f t="shared" si="51"/>
        <v>3300</v>
      </c>
      <c r="AW249" s="23">
        <v>33</v>
      </c>
      <c r="AX249" s="23">
        <v>0</v>
      </c>
      <c r="AY249" s="23">
        <v>0</v>
      </c>
    </row>
    <row r="250" spans="1:51">
      <c r="A250" s="25">
        <v>397</v>
      </c>
      <c r="D250" s="23">
        <v>2</v>
      </c>
      <c r="E250" s="25" t="s">
        <v>211</v>
      </c>
      <c r="F250" s="25" t="s">
        <v>211</v>
      </c>
      <c r="G250" s="23" t="s">
        <v>27</v>
      </c>
      <c r="H250" s="23" t="s">
        <v>191</v>
      </c>
      <c r="I250" s="25">
        <v>1993</v>
      </c>
      <c r="J250" s="35">
        <v>30</v>
      </c>
      <c r="K250" s="35">
        <v>40</v>
      </c>
      <c r="L250" s="35">
        <v>20</v>
      </c>
      <c r="M250" s="25">
        <v>4</v>
      </c>
      <c r="N250" s="25">
        <v>6</v>
      </c>
      <c r="R250" s="30">
        <f t="shared" si="42"/>
        <v>10</v>
      </c>
      <c r="S250" s="37">
        <v>1.2</v>
      </c>
      <c r="T250" s="30">
        <f t="shared" si="55"/>
        <v>32.844342857142856</v>
      </c>
      <c r="U250" s="37">
        <v>1.1000000000000001</v>
      </c>
      <c r="V250" s="30">
        <f t="shared" si="53"/>
        <v>43.046247619047627</v>
      </c>
      <c r="W250" s="25">
        <v>123</v>
      </c>
      <c r="X250" s="31">
        <f t="shared" si="43"/>
        <v>363.12</v>
      </c>
      <c r="Y250" s="25">
        <v>267</v>
      </c>
      <c r="Z250" s="25">
        <v>17</v>
      </c>
      <c r="AA250" s="25">
        <v>61</v>
      </c>
      <c r="AB250" s="37">
        <v>0.8</v>
      </c>
      <c r="AC250" s="30">
        <f t="shared" si="54"/>
        <v>120</v>
      </c>
      <c r="AD250" s="31">
        <f t="shared" si="44"/>
        <v>3</v>
      </c>
      <c r="AE250" s="31">
        <f t="shared" si="45"/>
        <v>8</v>
      </c>
      <c r="AF250" s="31" t="str">
        <f t="shared" si="46"/>
        <v/>
      </c>
      <c r="AG250" s="31" t="str">
        <f t="shared" si="47"/>
        <v/>
      </c>
      <c r="AH250" s="31" t="str">
        <f t="shared" si="48"/>
        <v/>
      </c>
      <c r="AI250" s="31" t="str">
        <f t="shared" si="49"/>
        <v/>
      </c>
      <c r="AJ250" s="25">
        <v>11</v>
      </c>
      <c r="AK250" s="25">
        <v>0</v>
      </c>
      <c r="AL250" s="25">
        <v>0</v>
      </c>
      <c r="AM250" s="23" t="s">
        <v>208</v>
      </c>
      <c r="AN250" s="23" t="s">
        <v>92</v>
      </c>
      <c r="AO250" s="25">
        <v>397</v>
      </c>
      <c r="AR250" s="32" t="str">
        <f t="shared" si="50"/>
        <v>2 doors</v>
      </c>
      <c r="AT250" s="23" t="s">
        <v>47</v>
      </c>
      <c r="AU250" s="23" t="str">
        <f t="shared" si="52"/>
        <v>Hungary</v>
      </c>
      <c r="AV250" s="34">
        <f t="shared" si="51"/>
        <v>3300.01</v>
      </c>
      <c r="AW250" s="23">
        <v>33</v>
      </c>
      <c r="AX250" s="23">
        <v>0</v>
      </c>
      <c r="AY250" s="23">
        <v>1</v>
      </c>
    </row>
    <row r="251" spans="1:51">
      <c r="A251" s="25">
        <v>405</v>
      </c>
      <c r="D251" s="23">
        <v>2</v>
      </c>
      <c r="E251" s="25" t="s">
        <v>30</v>
      </c>
      <c r="F251" s="25" t="s">
        <v>295</v>
      </c>
      <c r="G251" s="23" t="s">
        <v>27</v>
      </c>
      <c r="H251" s="23" t="s">
        <v>174</v>
      </c>
      <c r="I251" s="25">
        <v>1993</v>
      </c>
      <c r="J251" s="35">
        <v>30</v>
      </c>
      <c r="K251" s="35">
        <v>40</v>
      </c>
      <c r="L251" s="35">
        <v>20</v>
      </c>
      <c r="M251" s="25">
        <v>8</v>
      </c>
      <c r="N251" s="25">
        <v>12</v>
      </c>
      <c r="R251" s="30">
        <f t="shared" si="42"/>
        <v>20</v>
      </c>
      <c r="S251" s="37">
        <v>1</v>
      </c>
      <c r="T251" s="30">
        <f t="shared" si="55"/>
        <v>10.796571428571429</v>
      </c>
      <c r="U251" s="37">
        <v>1</v>
      </c>
      <c r="V251" s="30">
        <f t="shared" si="53"/>
        <v>15.971238095238096</v>
      </c>
      <c r="W251" s="25">
        <v>76</v>
      </c>
      <c r="X251" s="31">
        <f t="shared" si="43"/>
        <v>137.36000000000001</v>
      </c>
      <c r="Y251" s="25">
        <v>101</v>
      </c>
      <c r="Z251" s="25">
        <v>5</v>
      </c>
      <c r="AA251" s="25">
        <v>46</v>
      </c>
      <c r="AB251" s="37">
        <v>1</v>
      </c>
      <c r="AC251" s="30">
        <f t="shared" si="54"/>
        <v>200</v>
      </c>
      <c r="AD251" s="31">
        <f t="shared" si="44"/>
        <v>7</v>
      </c>
      <c r="AE251" s="31" t="str">
        <f t="shared" si="45"/>
        <v/>
      </c>
      <c r="AF251" s="31" t="str">
        <f t="shared" si="46"/>
        <v/>
      </c>
      <c r="AG251" s="31" t="str">
        <f t="shared" si="47"/>
        <v/>
      </c>
      <c r="AH251" s="31" t="str">
        <f t="shared" si="48"/>
        <v/>
      </c>
      <c r="AI251" s="31" t="str">
        <f t="shared" si="49"/>
        <v/>
      </c>
      <c r="AJ251" s="25">
        <v>7</v>
      </c>
      <c r="AK251" s="25">
        <v>0</v>
      </c>
      <c r="AL251" s="25">
        <v>0</v>
      </c>
      <c r="AM251" s="23" t="s">
        <v>207</v>
      </c>
      <c r="AN251" s="23" t="s">
        <v>92</v>
      </c>
      <c r="AO251" s="25">
        <v>405</v>
      </c>
      <c r="AR251" s="32" t="str">
        <f t="shared" si="50"/>
        <v>2 doors</v>
      </c>
      <c r="AT251" s="23" t="s">
        <v>32</v>
      </c>
      <c r="AU251" s="23" t="str">
        <f t="shared" si="52"/>
        <v>CC</v>
      </c>
      <c r="AV251" s="34">
        <f t="shared" si="51"/>
        <v>5000</v>
      </c>
      <c r="AW251" s="23">
        <v>50</v>
      </c>
      <c r="AX251" s="23">
        <v>0</v>
      </c>
      <c r="AY251" s="23">
        <v>0</v>
      </c>
    </row>
    <row r="252" spans="1:51">
      <c r="A252" s="25">
        <v>405</v>
      </c>
      <c r="D252" s="23">
        <v>2</v>
      </c>
      <c r="E252" s="25" t="s">
        <v>85</v>
      </c>
      <c r="F252" s="25" t="s">
        <v>85</v>
      </c>
      <c r="G252" s="23" t="s">
        <v>27</v>
      </c>
      <c r="H252" s="23" t="s">
        <v>174</v>
      </c>
      <c r="I252" s="25">
        <v>1993</v>
      </c>
      <c r="J252" s="35">
        <v>30</v>
      </c>
      <c r="K252" s="35">
        <v>40</v>
      </c>
      <c r="L252" s="35">
        <v>20</v>
      </c>
      <c r="M252" s="25">
        <v>8</v>
      </c>
      <c r="N252" s="25">
        <v>12</v>
      </c>
      <c r="R252" s="30">
        <f t="shared" si="42"/>
        <v>20</v>
      </c>
      <c r="S252" s="37">
        <v>1</v>
      </c>
      <c r="T252" s="30">
        <f t="shared" si="55"/>
        <v>10.796571428571429</v>
      </c>
      <c r="U252" s="37">
        <v>1</v>
      </c>
      <c r="V252" s="30">
        <f t="shared" si="53"/>
        <v>15.971238095238096</v>
      </c>
      <c r="W252" s="25">
        <v>76</v>
      </c>
      <c r="X252" s="31">
        <f t="shared" si="43"/>
        <v>137.36000000000001</v>
      </c>
      <c r="Y252" s="25">
        <v>101</v>
      </c>
      <c r="Z252" s="25">
        <v>5</v>
      </c>
      <c r="AA252" s="25">
        <v>46</v>
      </c>
      <c r="AB252" s="37">
        <v>1</v>
      </c>
      <c r="AC252" s="30">
        <f t="shared" si="54"/>
        <v>200</v>
      </c>
      <c r="AD252" s="31">
        <f t="shared" si="44"/>
        <v>7</v>
      </c>
      <c r="AE252" s="31" t="str">
        <f t="shared" si="45"/>
        <v/>
      </c>
      <c r="AF252" s="31" t="str">
        <f t="shared" si="46"/>
        <v/>
      </c>
      <c r="AG252" s="31" t="str">
        <f t="shared" si="47"/>
        <v/>
      </c>
      <c r="AH252" s="31" t="str">
        <f t="shared" si="48"/>
        <v/>
      </c>
      <c r="AI252" s="31" t="str">
        <f t="shared" si="49"/>
        <v/>
      </c>
      <c r="AJ252" s="25">
        <v>7</v>
      </c>
      <c r="AK252" s="25">
        <v>0</v>
      </c>
      <c r="AL252" s="25">
        <v>0</v>
      </c>
      <c r="AM252" s="23" t="s">
        <v>207</v>
      </c>
      <c r="AN252" s="23" t="s">
        <v>92</v>
      </c>
      <c r="AO252" s="25">
        <v>405</v>
      </c>
      <c r="AR252" s="32" t="str">
        <f t="shared" si="50"/>
        <v>2 doors</v>
      </c>
      <c r="AT252" s="23" t="s">
        <v>32</v>
      </c>
      <c r="AU252" s="23" t="str">
        <f t="shared" si="52"/>
        <v>Hungary</v>
      </c>
      <c r="AV252" s="34">
        <f t="shared" si="51"/>
        <v>5000.01</v>
      </c>
      <c r="AW252" s="23">
        <v>50</v>
      </c>
      <c r="AX252" s="23">
        <v>0</v>
      </c>
      <c r="AY252" s="23">
        <v>1</v>
      </c>
    </row>
    <row r="253" spans="1:51">
      <c r="A253" s="25">
        <v>415</v>
      </c>
      <c r="B253" s="23" t="s">
        <v>89</v>
      </c>
      <c r="C253" s="23" t="s">
        <v>246</v>
      </c>
      <c r="D253" s="23">
        <v>3</v>
      </c>
      <c r="E253" s="25" t="s">
        <v>30</v>
      </c>
      <c r="F253" s="25" t="s">
        <v>295</v>
      </c>
      <c r="G253" s="23" t="s">
        <v>27</v>
      </c>
      <c r="H253" s="23" t="s">
        <v>178</v>
      </c>
      <c r="I253" s="25">
        <v>1984</v>
      </c>
      <c r="J253" s="35">
        <v>30</v>
      </c>
      <c r="K253" s="35">
        <v>40</v>
      </c>
      <c r="L253" s="35">
        <v>20</v>
      </c>
      <c r="M253" s="25">
        <v>10</v>
      </c>
      <c r="N253" s="25">
        <v>10</v>
      </c>
      <c r="O253" s="25">
        <v>8</v>
      </c>
      <c r="R253" s="30">
        <f t="shared" si="42"/>
        <v>28</v>
      </c>
      <c r="S253" s="37">
        <v>1</v>
      </c>
      <c r="T253" s="30">
        <f t="shared" si="55"/>
        <v>19.968</v>
      </c>
      <c r="U253" s="37">
        <v>1</v>
      </c>
      <c r="V253" s="30">
        <f t="shared" si="53"/>
        <v>27.749333333333333</v>
      </c>
      <c r="W253" s="25">
        <v>71</v>
      </c>
      <c r="X253" s="31">
        <f t="shared" si="43"/>
        <v>239.36</v>
      </c>
      <c r="Y253" s="25">
        <v>176</v>
      </c>
      <c r="Z253" s="25">
        <v>12</v>
      </c>
      <c r="AA253" s="25">
        <v>92</v>
      </c>
      <c r="AB253" s="37">
        <v>1</v>
      </c>
      <c r="AC253" s="30">
        <f t="shared" si="54"/>
        <v>200</v>
      </c>
      <c r="AD253" s="31">
        <f t="shared" si="44"/>
        <v>3</v>
      </c>
      <c r="AE253" s="31">
        <f t="shared" si="45"/>
        <v>8</v>
      </c>
      <c r="AF253" s="31" t="str">
        <f t="shared" si="46"/>
        <v/>
      </c>
      <c r="AG253" s="31" t="str">
        <f t="shared" si="47"/>
        <v/>
      </c>
      <c r="AH253" s="31" t="str">
        <f t="shared" si="48"/>
        <v/>
      </c>
      <c r="AI253" s="31" t="str">
        <f t="shared" si="49"/>
        <v/>
      </c>
      <c r="AJ253" s="25">
        <v>11</v>
      </c>
      <c r="AK253" s="25">
        <v>0</v>
      </c>
      <c r="AL253" s="25">
        <v>0</v>
      </c>
      <c r="AM253" s="23" t="s">
        <v>207</v>
      </c>
      <c r="AN253" s="23" t="s">
        <v>92</v>
      </c>
      <c r="AO253" s="25">
        <v>415</v>
      </c>
      <c r="AR253" s="32" t="str">
        <f t="shared" si="50"/>
        <v>3 doors</v>
      </c>
      <c r="AT253" s="23" t="s">
        <v>32</v>
      </c>
      <c r="AU253" s="23" t="str">
        <f t="shared" si="52"/>
        <v>CC</v>
      </c>
      <c r="AV253" s="34">
        <f t="shared" si="51"/>
        <v>5100</v>
      </c>
      <c r="AW253" s="23">
        <v>51</v>
      </c>
      <c r="AX253" s="23">
        <v>0</v>
      </c>
      <c r="AY253" s="23">
        <v>0</v>
      </c>
    </row>
    <row r="254" spans="1:51">
      <c r="A254" s="25">
        <v>415</v>
      </c>
      <c r="B254" s="23" t="s">
        <v>89</v>
      </c>
      <c r="C254" s="23" t="s">
        <v>128</v>
      </c>
      <c r="D254" s="23">
        <v>3</v>
      </c>
      <c r="E254" s="25" t="s">
        <v>42</v>
      </c>
      <c r="F254" s="25" t="s">
        <v>295</v>
      </c>
      <c r="G254" s="23" t="s">
        <v>27</v>
      </c>
      <c r="H254" s="23" t="s">
        <v>178</v>
      </c>
      <c r="I254" s="25">
        <v>1984</v>
      </c>
      <c r="J254" s="35">
        <v>30</v>
      </c>
      <c r="K254" s="35">
        <v>40</v>
      </c>
      <c r="L254" s="35">
        <v>20</v>
      </c>
      <c r="M254" s="25">
        <v>10</v>
      </c>
      <c r="N254" s="25">
        <v>10</v>
      </c>
      <c r="O254" s="25">
        <v>8</v>
      </c>
      <c r="R254" s="30">
        <f t="shared" si="42"/>
        <v>28</v>
      </c>
      <c r="S254" s="37">
        <v>1.2</v>
      </c>
      <c r="T254" s="30">
        <f t="shared" si="55"/>
        <v>23.961600000000001</v>
      </c>
      <c r="U254" s="37">
        <v>1.1000000000000001</v>
      </c>
      <c r="V254" s="30">
        <f t="shared" si="53"/>
        <v>30.524266666666669</v>
      </c>
      <c r="W254" s="25">
        <v>71</v>
      </c>
      <c r="X254" s="31">
        <f t="shared" si="43"/>
        <v>239.36</v>
      </c>
      <c r="Y254" s="25">
        <v>176</v>
      </c>
      <c r="Z254" s="25">
        <v>12</v>
      </c>
      <c r="AA254" s="25">
        <v>92</v>
      </c>
      <c r="AB254" s="37">
        <v>0.8</v>
      </c>
      <c r="AC254" s="30">
        <f t="shared" si="54"/>
        <v>160</v>
      </c>
      <c r="AD254" s="31">
        <f t="shared" si="44"/>
        <v>3</v>
      </c>
      <c r="AE254" s="31">
        <f t="shared" si="45"/>
        <v>8</v>
      </c>
      <c r="AF254" s="31" t="str">
        <f t="shared" si="46"/>
        <v/>
      </c>
      <c r="AG254" s="31" t="str">
        <f t="shared" si="47"/>
        <v/>
      </c>
      <c r="AH254" s="31" t="str">
        <f t="shared" si="48"/>
        <v/>
      </c>
      <c r="AI254" s="31" t="str">
        <f t="shared" si="49"/>
        <v/>
      </c>
      <c r="AJ254" s="25">
        <v>11</v>
      </c>
      <c r="AK254" s="25">
        <v>0</v>
      </c>
      <c r="AL254" s="25">
        <v>0</v>
      </c>
      <c r="AM254" s="23" t="s">
        <v>207</v>
      </c>
      <c r="AN254" s="23" t="s">
        <v>92</v>
      </c>
      <c r="AO254" s="25">
        <v>415</v>
      </c>
      <c r="AR254" s="32" t="str">
        <f t="shared" si="50"/>
        <v>3 doors</v>
      </c>
      <c r="AS254" s="23" t="s">
        <v>210</v>
      </c>
      <c r="AT254" s="23" t="s">
        <v>32</v>
      </c>
      <c r="AU254" s="23" t="str">
        <f t="shared" si="52"/>
        <v>CC</v>
      </c>
      <c r="AV254" s="34">
        <f t="shared" si="51"/>
        <v>5100.01</v>
      </c>
      <c r="AW254" s="23">
        <v>51</v>
      </c>
      <c r="AX254" s="23">
        <v>0</v>
      </c>
      <c r="AY254" s="23">
        <v>1</v>
      </c>
    </row>
    <row r="255" spans="1:51">
      <c r="A255" s="25">
        <v>415</v>
      </c>
      <c r="B255" s="23" t="s">
        <v>89</v>
      </c>
      <c r="C255" s="23" t="s">
        <v>246</v>
      </c>
      <c r="D255" s="23">
        <v>3</v>
      </c>
      <c r="E255" s="25" t="s">
        <v>85</v>
      </c>
      <c r="F255" s="25" t="s">
        <v>85</v>
      </c>
      <c r="G255" s="23" t="s">
        <v>27</v>
      </c>
      <c r="H255" s="23" t="s">
        <v>178</v>
      </c>
      <c r="I255" s="25">
        <v>1984</v>
      </c>
      <c r="J255" s="35">
        <v>30</v>
      </c>
      <c r="K255" s="35">
        <v>40</v>
      </c>
      <c r="L255" s="35">
        <v>20</v>
      </c>
      <c r="M255" s="25">
        <v>10</v>
      </c>
      <c r="N255" s="25">
        <v>10</v>
      </c>
      <c r="O255" s="25">
        <v>8</v>
      </c>
      <c r="R255" s="30">
        <f t="shared" si="42"/>
        <v>28</v>
      </c>
      <c r="S255" s="37">
        <v>1</v>
      </c>
      <c r="T255" s="30">
        <f t="shared" si="55"/>
        <v>19.968</v>
      </c>
      <c r="U255" s="37">
        <v>1</v>
      </c>
      <c r="V255" s="30">
        <f t="shared" si="53"/>
        <v>27.749333333333333</v>
      </c>
      <c r="W255" s="25">
        <v>71</v>
      </c>
      <c r="X255" s="31">
        <f t="shared" si="43"/>
        <v>239.36</v>
      </c>
      <c r="Y255" s="25">
        <v>176</v>
      </c>
      <c r="Z255" s="25">
        <v>12</v>
      </c>
      <c r="AA255" s="25">
        <v>92</v>
      </c>
      <c r="AB255" s="37">
        <v>1</v>
      </c>
      <c r="AC255" s="30">
        <f t="shared" si="54"/>
        <v>200</v>
      </c>
      <c r="AD255" s="31">
        <f t="shared" si="44"/>
        <v>3</v>
      </c>
      <c r="AE255" s="31">
        <f t="shared" si="45"/>
        <v>8</v>
      </c>
      <c r="AF255" s="31" t="str">
        <f t="shared" si="46"/>
        <v/>
      </c>
      <c r="AG255" s="31" t="str">
        <f t="shared" si="47"/>
        <v/>
      </c>
      <c r="AH255" s="31" t="str">
        <f t="shared" si="48"/>
        <v/>
      </c>
      <c r="AI255" s="31" t="str">
        <f t="shared" si="49"/>
        <v/>
      </c>
      <c r="AJ255" s="25">
        <v>11</v>
      </c>
      <c r="AK255" s="25">
        <v>0</v>
      </c>
      <c r="AL255" s="25">
        <v>0</v>
      </c>
      <c r="AM255" s="23" t="s">
        <v>207</v>
      </c>
      <c r="AN255" s="23" t="s">
        <v>92</v>
      </c>
      <c r="AO255" s="25">
        <v>415</v>
      </c>
      <c r="AR255" s="32" t="str">
        <f t="shared" si="50"/>
        <v>3 doors</v>
      </c>
      <c r="AT255" s="23" t="s">
        <v>32</v>
      </c>
      <c r="AU255" s="23" t="str">
        <f t="shared" si="52"/>
        <v>Hungary</v>
      </c>
      <c r="AV255" s="34">
        <f t="shared" si="51"/>
        <v>5100.0200000000004</v>
      </c>
      <c r="AW255" s="23">
        <v>51</v>
      </c>
      <c r="AX255" s="23">
        <v>0</v>
      </c>
      <c r="AY255" s="23">
        <v>2</v>
      </c>
    </row>
    <row r="256" spans="1:51">
      <c r="A256" s="25">
        <v>415</v>
      </c>
      <c r="B256" s="23" t="s">
        <v>89</v>
      </c>
      <c r="D256" s="23">
        <v>3</v>
      </c>
      <c r="E256" s="25" t="s">
        <v>30</v>
      </c>
      <c r="F256" s="25" t="s">
        <v>295</v>
      </c>
      <c r="G256" s="23" t="s">
        <v>27</v>
      </c>
      <c r="H256" s="23" t="s">
        <v>179</v>
      </c>
      <c r="I256" s="25">
        <v>1992</v>
      </c>
      <c r="J256" s="35">
        <v>30</v>
      </c>
      <c r="K256" s="35">
        <v>40</v>
      </c>
      <c r="L256" s="35">
        <v>20</v>
      </c>
      <c r="M256" s="25">
        <v>10</v>
      </c>
      <c r="N256" s="25">
        <v>10</v>
      </c>
      <c r="O256" s="25">
        <v>6</v>
      </c>
      <c r="R256" s="30">
        <f t="shared" si="42"/>
        <v>26</v>
      </c>
      <c r="S256" s="37">
        <v>1</v>
      </c>
      <c r="T256" s="30">
        <f t="shared" si="55"/>
        <v>20.369142857142858</v>
      </c>
      <c r="U256" s="37">
        <v>1</v>
      </c>
      <c r="V256" s="30">
        <f t="shared" si="53"/>
        <v>28.72780952380953</v>
      </c>
      <c r="W256" s="25">
        <v>72</v>
      </c>
      <c r="X256" s="31">
        <f t="shared" si="43"/>
        <v>250.24</v>
      </c>
      <c r="Y256" s="25">
        <v>184</v>
      </c>
      <c r="Z256" s="25">
        <v>12</v>
      </c>
      <c r="AA256" s="25">
        <v>97</v>
      </c>
      <c r="AB256" s="37">
        <v>1</v>
      </c>
      <c r="AC256" s="30">
        <f t="shared" si="54"/>
        <v>200</v>
      </c>
      <c r="AD256" s="31">
        <f t="shared" si="44"/>
        <v>3</v>
      </c>
      <c r="AE256" s="31">
        <f t="shared" si="45"/>
        <v>8</v>
      </c>
      <c r="AF256" s="31" t="str">
        <f t="shared" si="46"/>
        <v/>
      </c>
      <c r="AG256" s="31" t="str">
        <f t="shared" si="47"/>
        <v/>
      </c>
      <c r="AH256" s="31" t="str">
        <f t="shared" si="48"/>
        <v/>
      </c>
      <c r="AI256" s="31" t="str">
        <f t="shared" si="49"/>
        <v/>
      </c>
      <c r="AJ256" s="25">
        <v>11</v>
      </c>
      <c r="AK256" s="25">
        <v>0</v>
      </c>
      <c r="AL256" s="25">
        <v>0</v>
      </c>
      <c r="AM256" s="23" t="s">
        <v>207</v>
      </c>
      <c r="AN256" s="23" t="s">
        <v>92</v>
      </c>
      <c r="AO256" s="25">
        <v>415</v>
      </c>
      <c r="AR256" s="32" t="str">
        <f t="shared" si="50"/>
        <v>3 doors</v>
      </c>
      <c r="AT256" s="23" t="s">
        <v>32</v>
      </c>
      <c r="AU256" s="23" t="str">
        <f t="shared" si="52"/>
        <v>CC</v>
      </c>
      <c r="AV256" s="34">
        <f t="shared" si="51"/>
        <v>5120</v>
      </c>
      <c r="AW256" s="23">
        <v>51</v>
      </c>
      <c r="AX256" s="23">
        <v>20</v>
      </c>
      <c r="AY256" s="23">
        <v>0</v>
      </c>
    </row>
    <row r="257" spans="1:51">
      <c r="A257" s="25">
        <v>415</v>
      </c>
      <c r="B257" s="23" t="s">
        <v>89</v>
      </c>
      <c r="D257" s="23">
        <v>3</v>
      </c>
      <c r="E257" s="25" t="s">
        <v>85</v>
      </c>
      <c r="F257" s="25" t="s">
        <v>85</v>
      </c>
      <c r="G257" s="23" t="s">
        <v>27</v>
      </c>
      <c r="H257" s="23" t="s">
        <v>179</v>
      </c>
      <c r="I257" s="25">
        <v>1992</v>
      </c>
      <c r="J257" s="35">
        <v>30</v>
      </c>
      <c r="K257" s="35">
        <v>40</v>
      </c>
      <c r="L257" s="35">
        <v>20</v>
      </c>
      <c r="M257" s="25">
        <v>10</v>
      </c>
      <c r="N257" s="25">
        <v>10</v>
      </c>
      <c r="O257" s="25">
        <v>6</v>
      </c>
      <c r="R257" s="30">
        <f t="shared" si="42"/>
        <v>26</v>
      </c>
      <c r="S257" s="37">
        <v>1</v>
      </c>
      <c r="T257" s="30">
        <f t="shared" si="55"/>
        <v>20.369142857142858</v>
      </c>
      <c r="U257" s="37">
        <v>1</v>
      </c>
      <c r="V257" s="30">
        <f t="shared" si="53"/>
        <v>28.72780952380953</v>
      </c>
      <c r="W257" s="25">
        <v>72</v>
      </c>
      <c r="X257" s="31">
        <f t="shared" si="43"/>
        <v>250.24</v>
      </c>
      <c r="Y257" s="25">
        <v>184</v>
      </c>
      <c r="Z257" s="25">
        <v>12</v>
      </c>
      <c r="AA257" s="25">
        <v>97</v>
      </c>
      <c r="AB257" s="37">
        <v>1</v>
      </c>
      <c r="AC257" s="30">
        <f t="shared" si="54"/>
        <v>200</v>
      </c>
      <c r="AD257" s="31">
        <f t="shared" si="44"/>
        <v>3</v>
      </c>
      <c r="AE257" s="31">
        <f t="shared" si="45"/>
        <v>8</v>
      </c>
      <c r="AF257" s="31" t="str">
        <f t="shared" si="46"/>
        <v/>
      </c>
      <c r="AG257" s="31" t="str">
        <f t="shared" si="47"/>
        <v/>
      </c>
      <c r="AH257" s="31" t="str">
        <f t="shared" si="48"/>
        <v/>
      </c>
      <c r="AI257" s="31" t="str">
        <f t="shared" si="49"/>
        <v/>
      </c>
      <c r="AJ257" s="25">
        <v>11</v>
      </c>
      <c r="AK257" s="25">
        <v>0</v>
      </c>
      <c r="AL257" s="25">
        <v>0</v>
      </c>
      <c r="AM257" s="23" t="s">
        <v>207</v>
      </c>
      <c r="AN257" s="23" t="s">
        <v>92</v>
      </c>
      <c r="AO257" s="25">
        <v>415</v>
      </c>
      <c r="AR257" s="32" t="str">
        <f t="shared" si="50"/>
        <v>3 doors</v>
      </c>
      <c r="AT257" s="23" t="s">
        <v>32</v>
      </c>
      <c r="AU257" s="23" t="str">
        <f t="shared" si="52"/>
        <v>Hungary</v>
      </c>
      <c r="AV257" s="34">
        <f t="shared" si="51"/>
        <v>5120.01</v>
      </c>
      <c r="AW257" s="23">
        <v>51</v>
      </c>
      <c r="AX257" s="23">
        <v>20</v>
      </c>
      <c r="AY257" s="23">
        <v>1</v>
      </c>
    </row>
    <row r="258" spans="1:51">
      <c r="A258" s="25">
        <v>415</v>
      </c>
      <c r="B258" s="23" t="s">
        <v>125</v>
      </c>
      <c r="D258" s="23">
        <v>2</v>
      </c>
      <c r="E258" s="25" t="s">
        <v>30</v>
      </c>
      <c r="F258" s="25" t="s">
        <v>302</v>
      </c>
      <c r="G258" s="23" t="s">
        <v>27</v>
      </c>
      <c r="H258" s="23" t="s">
        <v>180</v>
      </c>
      <c r="I258" s="25">
        <v>1992</v>
      </c>
      <c r="J258" s="35">
        <v>30</v>
      </c>
      <c r="K258" s="35">
        <v>40</v>
      </c>
      <c r="L258" s="35">
        <v>20</v>
      </c>
      <c r="M258" s="25">
        <v>10</v>
      </c>
      <c r="N258" s="25">
        <v>10</v>
      </c>
      <c r="R258" s="30">
        <f t="shared" si="42"/>
        <v>20</v>
      </c>
      <c r="S258" s="37">
        <v>1</v>
      </c>
      <c r="T258" s="30">
        <f t="shared" si="55"/>
        <v>19.940571428571428</v>
      </c>
      <c r="U258" s="37">
        <v>1</v>
      </c>
      <c r="V258" s="30">
        <f t="shared" si="53"/>
        <v>28.172571428571427</v>
      </c>
      <c r="W258" s="25">
        <v>92</v>
      </c>
      <c r="X258" s="31">
        <f t="shared" si="43"/>
        <v>250.24</v>
      </c>
      <c r="Y258" s="25">
        <v>184</v>
      </c>
      <c r="Z258" s="25">
        <v>12</v>
      </c>
      <c r="AA258" s="25">
        <v>78</v>
      </c>
      <c r="AB258" s="37">
        <v>1</v>
      </c>
      <c r="AC258" s="30">
        <f t="shared" si="54"/>
        <v>200</v>
      </c>
      <c r="AD258" s="31">
        <f t="shared" si="44"/>
        <v>3</v>
      </c>
      <c r="AE258" s="31">
        <f t="shared" si="45"/>
        <v>8</v>
      </c>
      <c r="AF258" s="31" t="str">
        <f t="shared" si="46"/>
        <v/>
      </c>
      <c r="AG258" s="31" t="str">
        <f t="shared" si="47"/>
        <v/>
      </c>
      <c r="AH258" s="31" t="str">
        <f t="shared" si="48"/>
        <v/>
      </c>
      <c r="AI258" s="31" t="str">
        <f t="shared" si="49"/>
        <v/>
      </c>
      <c r="AJ258" s="25">
        <v>11</v>
      </c>
      <c r="AK258" s="25">
        <v>0</v>
      </c>
      <c r="AL258" s="25">
        <v>0</v>
      </c>
      <c r="AM258" s="23" t="s">
        <v>207</v>
      </c>
      <c r="AN258" s="23" t="s">
        <v>92</v>
      </c>
      <c r="AO258" s="25">
        <v>415</v>
      </c>
      <c r="AR258" s="32" t="str">
        <f t="shared" si="50"/>
        <v>2 doors</v>
      </c>
      <c r="AT258" s="23" t="s">
        <v>270</v>
      </c>
      <c r="AU258" s="23" t="str">
        <f t="shared" si="52"/>
        <v>CC</v>
      </c>
      <c r="AV258" s="34">
        <f t="shared" si="51"/>
        <v>5140</v>
      </c>
      <c r="AW258" s="23">
        <v>51</v>
      </c>
      <c r="AX258" s="23">
        <v>40</v>
      </c>
      <c r="AY258" s="23">
        <v>0</v>
      </c>
    </row>
    <row r="259" spans="1:51">
      <c r="A259" s="25">
        <v>415</v>
      </c>
      <c r="B259" s="23" t="s">
        <v>125</v>
      </c>
      <c r="D259" s="23">
        <v>2</v>
      </c>
      <c r="E259" s="25" t="s">
        <v>46</v>
      </c>
      <c r="F259" s="25" t="s">
        <v>46</v>
      </c>
      <c r="G259" s="23" t="s">
        <v>27</v>
      </c>
      <c r="H259" s="23" t="s">
        <v>180</v>
      </c>
      <c r="I259" s="25">
        <v>1992</v>
      </c>
      <c r="J259" s="35">
        <v>30</v>
      </c>
      <c r="K259" s="35">
        <v>40</v>
      </c>
      <c r="L259" s="35">
        <v>20</v>
      </c>
      <c r="M259" s="25">
        <v>10</v>
      </c>
      <c r="N259" s="25">
        <v>10</v>
      </c>
      <c r="R259" s="30">
        <f t="shared" si="42"/>
        <v>20</v>
      </c>
      <c r="S259" s="37">
        <v>1</v>
      </c>
      <c r="T259" s="30">
        <f t="shared" si="55"/>
        <v>19.940571428571428</v>
      </c>
      <c r="U259" s="37">
        <v>1</v>
      </c>
      <c r="V259" s="30">
        <f t="shared" si="53"/>
        <v>28.172571428571427</v>
      </c>
      <c r="W259" s="25">
        <v>92</v>
      </c>
      <c r="X259" s="31">
        <f t="shared" si="43"/>
        <v>250.24</v>
      </c>
      <c r="Y259" s="25">
        <v>184</v>
      </c>
      <c r="Z259" s="25">
        <v>12</v>
      </c>
      <c r="AA259" s="25">
        <v>78</v>
      </c>
      <c r="AB259" s="37">
        <v>1</v>
      </c>
      <c r="AC259" s="30">
        <f t="shared" si="54"/>
        <v>200</v>
      </c>
      <c r="AD259" s="31">
        <f t="shared" si="44"/>
        <v>3</v>
      </c>
      <c r="AE259" s="31">
        <f t="shared" si="45"/>
        <v>8</v>
      </c>
      <c r="AF259" s="31" t="str">
        <f t="shared" si="46"/>
        <v/>
      </c>
      <c r="AG259" s="31" t="str">
        <f t="shared" si="47"/>
        <v/>
      </c>
      <c r="AH259" s="31" t="str">
        <f t="shared" si="48"/>
        <v/>
      </c>
      <c r="AI259" s="31" t="str">
        <f t="shared" si="49"/>
        <v/>
      </c>
      <c r="AJ259" s="25">
        <v>11</v>
      </c>
      <c r="AK259" s="25">
        <v>0</v>
      </c>
      <c r="AL259" s="25">
        <v>0</v>
      </c>
      <c r="AM259" s="23" t="s">
        <v>207</v>
      </c>
      <c r="AN259" s="23" t="s">
        <v>92</v>
      </c>
      <c r="AO259" s="25">
        <v>415</v>
      </c>
      <c r="AR259" s="32" t="str">
        <f t="shared" si="50"/>
        <v>2 doors</v>
      </c>
      <c r="AT259" s="23" t="s">
        <v>270</v>
      </c>
      <c r="AU259" s="23" t="str">
        <f t="shared" ref="AU259:AU447" si="56">IF(ISNUMBER(SEARCH("CC", E259)), "CC", "Hungary")</f>
        <v>Hungary</v>
      </c>
      <c r="AV259" s="34">
        <f t="shared" si="51"/>
        <v>5140.01</v>
      </c>
      <c r="AW259" s="23">
        <v>51</v>
      </c>
      <c r="AX259" s="23">
        <v>40</v>
      </c>
      <c r="AY259" s="23">
        <v>1</v>
      </c>
    </row>
    <row r="260" spans="1:51">
      <c r="A260" s="25">
        <v>415</v>
      </c>
      <c r="B260" s="23" t="s">
        <v>89</v>
      </c>
      <c r="C260" s="23" t="s">
        <v>129</v>
      </c>
      <c r="D260" s="23">
        <v>3</v>
      </c>
      <c r="E260" s="25" t="s">
        <v>30</v>
      </c>
      <c r="F260" s="25" t="s">
        <v>297</v>
      </c>
      <c r="G260" s="23" t="s">
        <v>27</v>
      </c>
      <c r="H260" s="23" t="s">
        <v>181</v>
      </c>
      <c r="I260" s="25">
        <v>1999</v>
      </c>
      <c r="J260" s="35">
        <v>30</v>
      </c>
      <c r="K260" s="35">
        <v>40</v>
      </c>
      <c r="L260" s="35">
        <v>20</v>
      </c>
      <c r="M260" s="25">
        <v>10</v>
      </c>
      <c r="N260" s="25">
        <v>10</v>
      </c>
      <c r="O260" s="25">
        <v>6</v>
      </c>
      <c r="R260" s="30">
        <f t="shared" si="42"/>
        <v>26</v>
      </c>
      <c r="S260" s="37">
        <v>1</v>
      </c>
      <c r="T260" s="30">
        <f t="shared" si="55"/>
        <v>21.797142857142859</v>
      </c>
      <c r="U260" s="37">
        <v>1</v>
      </c>
      <c r="V260" s="30">
        <f t="shared" si="53"/>
        <v>31.610476190476195</v>
      </c>
      <c r="W260" s="25">
        <v>81</v>
      </c>
      <c r="X260" s="31">
        <f t="shared" si="43"/>
        <v>278.8</v>
      </c>
      <c r="Y260" s="25">
        <v>205</v>
      </c>
      <c r="Z260" s="25">
        <v>12</v>
      </c>
      <c r="AA260" s="25">
        <v>101</v>
      </c>
      <c r="AB260" s="37">
        <v>1</v>
      </c>
      <c r="AC260" s="30">
        <f t="shared" si="54"/>
        <v>200</v>
      </c>
      <c r="AD260" s="31">
        <f t="shared" si="44"/>
        <v>3</v>
      </c>
      <c r="AE260" s="31">
        <f t="shared" si="45"/>
        <v>8</v>
      </c>
      <c r="AF260" s="31" t="str">
        <f t="shared" si="46"/>
        <v/>
      </c>
      <c r="AG260" s="31" t="str">
        <f t="shared" si="47"/>
        <v/>
      </c>
      <c r="AH260" s="31" t="str">
        <f t="shared" si="48"/>
        <v/>
      </c>
      <c r="AI260" s="31" t="str">
        <f t="shared" si="49"/>
        <v/>
      </c>
      <c r="AJ260" s="25">
        <v>11</v>
      </c>
      <c r="AK260" s="25">
        <v>0</v>
      </c>
      <c r="AL260" s="25">
        <v>0</v>
      </c>
      <c r="AM260" s="23" t="s">
        <v>207</v>
      </c>
      <c r="AN260" s="23" t="s">
        <v>92</v>
      </c>
      <c r="AO260" s="25">
        <v>415</v>
      </c>
      <c r="AP260" s="28" t="s">
        <v>209</v>
      </c>
      <c r="AR260" s="32" t="str">
        <f t="shared" si="50"/>
        <v>3 doors</v>
      </c>
      <c r="AT260" s="23" t="s">
        <v>32</v>
      </c>
      <c r="AU260" s="23" t="str">
        <f t="shared" si="56"/>
        <v>CC</v>
      </c>
      <c r="AV260" s="34">
        <f t="shared" si="51"/>
        <v>5160</v>
      </c>
      <c r="AW260" s="23">
        <v>51</v>
      </c>
      <c r="AX260" s="23">
        <v>60</v>
      </c>
      <c r="AY260" s="23">
        <v>0</v>
      </c>
    </row>
    <row r="261" spans="1:51">
      <c r="A261" s="25">
        <v>415</v>
      </c>
      <c r="B261" s="23" t="s">
        <v>89</v>
      </c>
      <c r="C261" s="23" t="s">
        <v>129</v>
      </c>
      <c r="D261" s="23">
        <v>3</v>
      </c>
      <c r="E261" s="25" t="s">
        <v>212</v>
      </c>
      <c r="F261" s="25" t="s">
        <v>212</v>
      </c>
      <c r="G261" s="23" t="s">
        <v>27</v>
      </c>
      <c r="H261" s="23" t="s">
        <v>181</v>
      </c>
      <c r="I261" s="25">
        <v>1999</v>
      </c>
      <c r="J261" s="35">
        <v>30</v>
      </c>
      <c r="K261" s="35">
        <v>40</v>
      </c>
      <c r="L261" s="35">
        <v>20</v>
      </c>
      <c r="M261" s="25">
        <v>10</v>
      </c>
      <c r="N261" s="25">
        <v>10</v>
      </c>
      <c r="O261" s="25">
        <v>6</v>
      </c>
      <c r="R261" s="30">
        <f t="shared" si="42"/>
        <v>26</v>
      </c>
      <c r="S261" s="37">
        <v>1</v>
      </c>
      <c r="T261" s="30">
        <f t="shared" si="55"/>
        <v>21.797142857142859</v>
      </c>
      <c r="U261" s="37">
        <v>1</v>
      </c>
      <c r="V261" s="30">
        <f t="shared" si="53"/>
        <v>31.610476190476195</v>
      </c>
      <c r="W261" s="25">
        <v>81</v>
      </c>
      <c r="X261" s="31">
        <f t="shared" si="43"/>
        <v>278.8</v>
      </c>
      <c r="Y261" s="25">
        <v>205</v>
      </c>
      <c r="Z261" s="25">
        <v>12</v>
      </c>
      <c r="AA261" s="25">
        <v>101</v>
      </c>
      <c r="AB261" s="37">
        <v>1</v>
      </c>
      <c r="AC261" s="30">
        <f t="shared" si="54"/>
        <v>200</v>
      </c>
      <c r="AD261" s="31">
        <f t="shared" si="44"/>
        <v>3</v>
      </c>
      <c r="AE261" s="31">
        <f t="shared" si="45"/>
        <v>8</v>
      </c>
      <c r="AF261" s="31" t="str">
        <f t="shared" si="46"/>
        <v/>
      </c>
      <c r="AG261" s="31" t="str">
        <f t="shared" si="47"/>
        <v/>
      </c>
      <c r="AH261" s="31" t="str">
        <f t="shared" si="48"/>
        <v/>
      </c>
      <c r="AI261" s="31" t="str">
        <f t="shared" si="49"/>
        <v/>
      </c>
      <c r="AJ261" s="25">
        <v>11</v>
      </c>
      <c r="AK261" s="25">
        <v>0</v>
      </c>
      <c r="AL261" s="25">
        <v>0</v>
      </c>
      <c r="AM261" s="23" t="s">
        <v>207</v>
      </c>
      <c r="AN261" s="23" t="s">
        <v>92</v>
      </c>
      <c r="AO261" s="25">
        <v>415</v>
      </c>
      <c r="AP261" s="28" t="s">
        <v>209</v>
      </c>
      <c r="AR261" s="32" t="str">
        <f t="shared" si="50"/>
        <v>3 doors</v>
      </c>
      <c r="AT261" s="23" t="s">
        <v>32</v>
      </c>
      <c r="AU261" s="23" t="str">
        <f t="shared" si="56"/>
        <v>Hungary</v>
      </c>
      <c r="AV261" s="34">
        <f t="shared" si="51"/>
        <v>5160.01</v>
      </c>
      <c r="AW261" s="23">
        <v>51</v>
      </c>
      <c r="AX261" s="23">
        <v>60</v>
      </c>
      <c r="AY261" s="23">
        <v>1</v>
      </c>
    </row>
    <row r="262" spans="1:51">
      <c r="A262" s="25">
        <v>435</v>
      </c>
      <c r="B262" s="23" t="s">
        <v>89</v>
      </c>
      <c r="C262" s="23" t="s">
        <v>128</v>
      </c>
      <c r="D262" s="23">
        <v>4</v>
      </c>
      <c r="E262" s="25" t="s">
        <v>30</v>
      </c>
      <c r="F262" s="25" t="s">
        <v>295</v>
      </c>
      <c r="G262" s="23" t="s">
        <v>27</v>
      </c>
      <c r="H262" s="23" t="s">
        <v>185</v>
      </c>
      <c r="I262" s="25">
        <v>1985</v>
      </c>
      <c r="J262" s="35">
        <v>30</v>
      </c>
      <c r="K262" s="35">
        <v>40</v>
      </c>
      <c r="L262" s="35">
        <v>20</v>
      </c>
      <c r="M262" s="25">
        <v>10</v>
      </c>
      <c r="N262" s="25">
        <v>10</v>
      </c>
      <c r="O262" s="25">
        <v>10</v>
      </c>
      <c r="P262" s="25">
        <v>8</v>
      </c>
      <c r="R262" s="30">
        <f t="shared" si="42"/>
        <v>38</v>
      </c>
      <c r="S262" s="37">
        <v>1.2</v>
      </c>
      <c r="T262" s="30">
        <f t="shared" si="55"/>
        <v>27.271542857142858</v>
      </c>
      <c r="U262" s="37">
        <v>1.1000000000000001</v>
      </c>
      <c r="V262" s="30">
        <f t="shared" si="53"/>
        <v>33.46011428571429</v>
      </c>
      <c r="W262" s="25">
        <v>71</v>
      </c>
      <c r="X262" s="31">
        <f t="shared" si="43"/>
        <v>250.24</v>
      </c>
      <c r="Y262" s="25">
        <v>184</v>
      </c>
      <c r="Z262" s="25">
        <v>15</v>
      </c>
      <c r="AA262" s="25">
        <v>177</v>
      </c>
      <c r="AB262" s="37">
        <v>0.8</v>
      </c>
      <c r="AC262" s="30">
        <f t="shared" si="54"/>
        <v>160</v>
      </c>
      <c r="AD262" s="31">
        <f t="shared" si="44"/>
        <v>2</v>
      </c>
      <c r="AE262" s="31">
        <f t="shared" si="45"/>
        <v>8</v>
      </c>
      <c r="AF262" s="31">
        <f t="shared" si="46"/>
        <v>7</v>
      </c>
      <c r="AG262" s="31" t="str">
        <f t="shared" si="47"/>
        <v/>
      </c>
      <c r="AH262" s="31" t="str">
        <f t="shared" si="48"/>
        <v/>
      </c>
      <c r="AI262" s="31" t="str">
        <f t="shared" si="49"/>
        <v/>
      </c>
      <c r="AJ262" s="25">
        <v>10</v>
      </c>
      <c r="AK262" s="25">
        <v>7</v>
      </c>
      <c r="AL262" s="25">
        <v>0</v>
      </c>
      <c r="AM262" s="23" t="s">
        <v>207</v>
      </c>
      <c r="AN262" s="23" t="s">
        <v>92</v>
      </c>
      <c r="AO262" s="25">
        <v>435</v>
      </c>
      <c r="AP262" s="28" t="s">
        <v>210</v>
      </c>
      <c r="AR262" s="32" t="str">
        <f t="shared" si="50"/>
        <v>4 doors</v>
      </c>
      <c r="AT262" s="23" t="s">
        <v>32</v>
      </c>
      <c r="AU262" s="23" t="str">
        <f t="shared" si="56"/>
        <v>CC</v>
      </c>
      <c r="AV262" s="34">
        <f t="shared" si="51"/>
        <v>5200</v>
      </c>
      <c r="AW262" s="23">
        <v>52</v>
      </c>
      <c r="AX262" s="23">
        <v>0</v>
      </c>
      <c r="AY262" s="23">
        <v>0</v>
      </c>
    </row>
    <row r="263" spans="1:51">
      <c r="A263" s="25">
        <v>435</v>
      </c>
      <c r="B263" s="23" t="s">
        <v>89</v>
      </c>
      <c r="D263" s="23">
        <v>4</v>
      </c>
      <c r="E263" s="25" t="s">
        <v>30</v>
      </c>
      <c r="F263" s="25" t="s">
        <v>295</v>
      </c>
      <c r="G263" s="23" t="s">
        <v>27</v>
      </c>
      <c r="H263" s="23" t="s">
        <v>186</v>
      </c>
      <c r="I263" s="25">
        <v>1994</v>
      </c>
      <c r="J263" s="35">
        <v>30</v>
      </c>
      <c r="K263" s="35">
        <v>40</v>
      </c>
      <c r="L263" s="35">
        <v>20</v>
      </c>
      <c r="M263" s="25">
        <v>10</v>
      </c>
      <c r="N263" s="25">
        <v>10</v>
      </c>
      <c r="O263" s="25">
        <v>10</v>
      </c>
      <c r="P263" s="25">
        <v>6</v>
      </c>
      <c r="R263" s="30">
        <f t="shared" si="42"/>
        <v>36</v>
      </c>
      <c r="S263" s="37">
        <v>1</v>
      </c>
      <c r="T263" s="30">
        <f t="shared" si="55"/>
        <v>22.991428571428575</v>
      </c>
      <c r="U263" s="37">
        <v>1</v>
      </c>
      <c r="V263" s="30">
        <f t="shared" si="53"/>
        <v>31.044761904761909</v>
      </c>
      <c r="W263" s="25">
        <v>72</v>
      </c>
      <c r="X263" s="31">
        <f t="shared" si="43"/>
        <v>258.40000000000003</v>
      </c>
      <c r="Y263" s="25">
        <v>190</v>
      </c>
      <c r="Z263" s="25">
        <v>15</v>
      </c>
      <c r="AA263" s="25">
        <v>170</v>
      </c>
      <c r="AB263" s="37">
        <v>1</v>
      </c>
      <c r="AC263" s="30">
        <f t="shared" si="54"/>
        <v>200</v>
      </c>
      <c r="AD263" s="31">
        <f t="shared" si="44"/>
        <v>2</v>
      </c>
      <c r="AE263" s="31">
        <f t="shared" si="45"/>
        <v>8</v>
      </c>
      <c r="AF263" s="31">
        <f t="shared" si="46"/>
        <v>7</v>
      </c>
      <c r="AG263" s="31" t="str">
        <f t="shared" si="47"/>
        <v/>
      </c>
      <c r="AH263" s="31" t="str">
        <f t="shared" si="48"/>
        <v/>
      </c>
      <c r="AI263" s="31" t="str">
        <f t="shared" si="49"/>
        <v/>
      </c>
      <c r="AJ263" s="25">
        <v>10</v>
      </c>
      <c r="AK263" s="25">
        <v>7</v>
      </c>
      <c r="AL263" s="25">
        <v>0</v>
      </c>
      <c r="AM263" s="23" t="s">
        <v>207</v>
      </c>
      <c r="AN263" s="23" t="s">
        <v>92</v>
      </c>
      <c r="AO263" s="25">
        <v>435</v>
      </c>
      <c r="AR263" s="32" t="str">
        <f t="shared" si="50"/>
        <v>4 doors</v>
      </c>
      <c r="AT263" s="23" t="s">
        <v>32</v>
      </c>
      <c r="AU263" s="23" t="str">
        <f t="shared" si="56"/>
        <v>CC</v>
      </c>
      <c r="AV263" s="34">
        <f t="shared" si="51"/>
        <v>5220</v>
      </c>
      <c r="AW263" s="23">
        <v>52</v>
      </c>
      <c r="AX263" s="23">
        <v>20</v>
      </c>
      <c r="AY263" s="23">
        <v>0</v>
      </c>
    </row>
    <row r="264" spans="1:51">
      <c r="A264" s="25">
        <v>435</v>
      </c>
      <c r="B264" s="23" t="s">
        <v>89</v>
      </c>
      <c r="D264" s="23">
        <v>4</v>
      </c>
      <c r="E264" s="25" t="s">
        <v>85</v>
      </c>
      <c r="F264" s="25" t="s">
        <v>85</v>
      </c>
      <c r="G264" s="23" t="s">
        <v>27</v>
      </c>
      <c r="H264" s="23" t="s">
        <v>186</v>
      </c>
      <c r="I264" s="25">
        <v>1994</v>
      </c>
      <c r="J264" s="35">
        <v>30</v>
      </c>
      <c r="K264" s="35">
        <v>40</v>
      </c>
      <c r="L264" s="35">
        <v>20</v>
      </c>
      <c r="M264" s="25">
        <v>10</v>
      </c>
      <c r="N264" s="25">
        <v>10</v>
      </c>
      <c r="O264" s="25">
        <v>10</v>
      </c>
      <c r="P264" s="25">
        <v>6</v>
      </c>
      <c r="R264" s="30">
        <f t="shared" si="42"/>
        <v>36</v>
      </c>
      <c r="S264" s="37">
        <v>1</v>
      </c>
      <c r="T264" s="30">
        <f t="shared" si="55"/>
        <v>22.991428571428575</v>
      </c>
      <c r="U264" s="37">
        <v>1</v>
      </c>
      <c r="V264" s="30">
        <f t="shared" si="53"/>
        <v>31.044761904761909</v>
      </c>
      <c r="W264" s="25">
        <v>72</v>
      </c>
      <c r="X264" s="31">
        <f t="shared" si="43"/>
        <v>258.40000000000003</v>
      </c>
      <c r="Y264" s="25">
        <v>190</v>
      </c>
      <c r="Z264" s="25">
        <v>15</v>
      </c>
      <c r="AA264" s="25">
        <v>170</v>
      </c>
      <c r="AB264" s="37">
        <v>1</v>
      </c>
      <c r="AC264" s="30">
        <f t="shared" si="54"/>
        <v>200</v>
      </c>
      <c r="AD264" s="31">
        <f t="shared" si="44"/>
        <v>2</v>
      </c>
      <c r="AE264" s="31">
        <f t="shared" si="45"/>
        <v>8</v>
      </c>
      <c r="AF264" s="31">
        <f t="shared" si="46"/>
        <v>7</v>
      </c>
      <c r="AG264" s="31" t="str">
        <f t="shared" si="47"/>
        <v/>
      </c>
      <c r="AH264" s="31" t="str">
        <f t="shared" si="48"/>
        <v/>
      </c>
      <c r="AI264" s="31" t="str">
        <f t="shared" si="49"/>
        <v/>
      </c>
      <c r="AJ264" s="25">
        <v>10</v>
      </c>
      <c r="AK264" s="25">
        <v>7</v>
      </c>
      <c r="AL264" s="25">
        <v>0</v>
      </c>
      <c r="AM264" s="23" t="s">
        <v>207</v>
      </c>
      <c r="AN264" s="23" t="s">
        <v>92</v>
      </c>
      <c r="AO264" s="25">
        <v>435</v>
      </c>
      <c r="AR264" s="32" t="str">
        <f t="shared" si="50"/>
        <v>4 doors</v>
      </c>
      <c r="AT264" s="23" t="s">
        <v>32</v>
      </c>
      <c r="AU264" s="23" t="str">
        <f t="shared" si="56"/>
        <v>Hungary</v>
      </c>
      <c r="AV264" s="34">
        <f t="shared" si="51"/>
        <v>5220.01</v>
      </c>
      <c r="AW264" s="23">
        <v>52</v>
      </c>
      <c r="AX264" s="23">
        <v>20</v>
      </c>
      <c r="AY264" s="23">
        <v>1</v>
      </c>
    </row>
    <row r="265" spans="1:51">
      <c r="A265" s="25">
        <v>435</v>
      </c>
      <c r="B265" s="23" t="s">
        <v>125</v>
      </c>
      <c r="D265" s="23">
        <v>3</v>
      </c>
      <c r="E265" s="25" t="s">
        <v>30</v>
      </c>
      <c r="F265" s="25" t="s">
        <v>302</v>
      </c>
      <c r="G265" s="23" t="s">
        <v>27</v>
      </c>
      <c r="H265" s="23" t="s">
        <v>187</v>
      </c>
      <c r="I265" s="25">
        <v>1995</v>
      </c>
      <c r="J265" s="35">
        <v>30</v>
      </c>
      <c r="K265" s="35">
        <v>40</v>
      </c>
      <c r="L265" s="35">
        <v>20</v>
      </c>
      <c r="M265" s="25">
        <v>10</v>
      </c>
      <c r="N265" s="25">
        <v>10</v>
      </c>
      <c r="O265" s="25">
        <v>10</v>
      </c>
      <c r="R265" s="30">
        <f t="shared" si="42"/>
        <v>30</v>
      </c>
      <c r="S265" s="37">
        <v>1</v>
      </c>
      <c r="T265" s="30">
        <f t="shared" si="55"/>
        <v>22.562857142857144</v>
      </c>
      <c r="U265" s="37">
        <v>1</v>
      </c>
      <c r="V265" s="30">
        <f t="shared" si="53"/>
        <v>30.382857142857144</v>
      </c>
      <c r="W265" s="25">
        <v>90</v>
      </c>
      <c r="X265" s="31">
        <f t="shared" si="43"/>
        <v>258.40000000000003</v>
      </c>
      <c r="Y265" s="25">
        <v>190</v>
      </c>
      <c r="Z265" s="25">
        <v>15</v>
      </c>
      <c r="AA265" s="25">
        <v>135</v>
      </c>
      <c r="AB265" s="37">
        <v>1</v>
      </c>
      <c r="AC265" s="30">
        <f t="shared" si="54"/>
        <v>200</v>
      </c>
      <c r="AD265" s="31">
        <f t="shared" si="44"/>
        <v>2</v>
      </c>
      <c r="AE265" s="31">
        <f t="shared" si="45"/>
        <v>8</v>
      </c>
      <c r="AF265" s="31">
        <f t="shared" si="46"/>
        <v>7</v>
      </c>
      <c r="AG265" s="31" t="str">
        <f t="shared" si="47"/>
        <v/>
      </c>
      <c r="AH265" s="31" t="str">
        <f t="shared" si="48"/>
        <v/>
      </c>
      <c r="AI265" s="31" t="str">
        <f t="shared" si="49"/>
        <v/>
      </c>
      <c r="AJ265" s="25">
        <v>10</v>
      </c>
      <c r="AK265" s="25">
        <v>7</v>
      </c>
      <c r="AL265" s="25">
        <v>0</v>
      </c>
      <c r="AM265" s="23" t="s">
        <v>207</v>
      </c>
      <c r="AN265" s="23" t="s">
        <v>92</v>
      </c>
      <c r="AO265" s="25">
        <v>435</v>
      </c>
      <c r="AR265" s="32" t="str">
        <f t="shared" si="50"/>
        <v>3 doors</v>
      </c>
      <c r="AT265" s="23" t="s">
        <v>270</v>
      </c>
      <c r="AU265" s="23" t="str">
        <f t="shared" si="56"/>
        <v>CC</v>
      </c>
      <c r="AV265" s="34">
        <f t="shared" si="51"/>
        <v>5240</v>
      </c>
      <c r="AW265" s="23">
        <v>52</v>
      </c>
      <c r="AX265" s="23">
        <v>40</v>
      </c>
      <c r="AY265" s="23">
        <v>0</v>
      </c>
    </row>
    <row r="266" spans="1:51">
      <c r="A266" s="25">
        <v>435</v>
      </c>
      <c r="B266" s="23" t="s">
        <v>125</v>
      </c>
      <c r="D266" s="23">
        <v>3</v>
      </c>
      <c r="E266" s="25" t="s">
        <v>46</v>
      </c>
      <c r="F266" s="25" t="s">
        <v>46</v>
      </c>
      <c r="G266" s="23" t="s">
        <v>27</v>
      </c>
      <c r="H266" s="23" t="s">
        <v>187</v>
      </c>
      <c r="I266" s="25">
        <v>1992</v>
      </c>
      <c r="J266" s="35">
        <v>30</v>
      </c>
      <c r="K266" s="35">
        <v>40</v>
      </c>
      <c r="L266" s="35">
        <v>20</v>
      </c>
      <c r="M266" s="25">
        <v>10</v>
      </c>
      <c r="N266" s="25">
        <v>10</v>
      </c>
      <c r="O266" s="25">
        <v>10</v>
      </c>
      <c r="R266" s="30">
        <f t="shared" si="42"/>
        <v>30</v>
      </c>
      <c r="S266" s="37">
        <v>1</v>
      </c>
      <c r="T266" s="30">
        <f t="shared" si="55"/>
        <v>22.562857142857144</v>
      </c>
      <c r="U266" s="37">
        <v>1</v>
      </c>
      <c r="V266" s="30">
        <f t="shared" si="53"/>
        <v>30.382857142857144</v>
      </c>
      <c r="W266" s="25">
        <v>90</v>
      </c>
      <c r="X266" s="31">
        <f t="shared" si="43"/>
        <v>258.40000000000003</v>
      </c>
      <c r="Y266" s="25">
        <v>190</v>
      </c>
      <c r="Z266" s="25">
        <v>15</v>
      </c>
      <c r="AA266" s="25">
        <v>135</v>
      </c>
      <c r="AB266" s="37">
        <v>1</v>
      </c>
      <c r="AC266" s="30">
        <f t="shared" si="54"/>
        <v>200</v>
      </c>
      <c r="AD266" s="31">
        <f t="shared" si="44"/>
        <v>2</v>
      </c>
      <c r="AE266" s="31">
        <f t="shared" si="45"/>
        <v>8</v>
      </c>
      <c r="AF266" s="31">
        <f t="shared" si="46"/>
        <v>7</v>
      </c>
      <c r="AG266" s="31" t="str">
        <f t="shared" si="47"/>
        <v/>
      </c>
      <c r="AH266" s="31" t="str">
        <f t="shared" si="48"/>
        <v/>
      </c>
      <c r="AI266" s="31" t="str">
        <f t="shared" si="49"/>
        <v/>
      </c>
      <c r="AJ266" s="25">
        <v>10</v>
      </c>
      <c r="AK266" s="25">
        <v>7</v>
      </c>
      <c r="AL266" s="25">
        <v>0</v>
      </c>
      <c r="AM266" s="23" t="s">
        <v>207</v>
      </c>
      <c r="AN266" s="23" t="s">
        <v>92</v>
      </c>
      <c r="AO266" s="25">
        <v>435</v>
      </c>
      <c r="AR266" s="32" t="str">
        <f t="shared" si="50"/>
        <v>3 doors</v>
      </c>
      <c r="AT266" s="23" t="s">
        <v>270</v>
      </c>
      <c r="AU266" s="23" t="str">
        <f t="shared" si="56"/>
        <v>Hungary</v>
      </c>
      <c r="AV266" s="34">
        <f t="shared" si="51"/>
        <v>5240.01</v>
      </c>
      <c r="AW266" s="23">
        <v>52</v>
      </c>
      <c r="AX266" s="23">
        <v>40</v>
      </c>
      <c r="AY266" s="23">
        <v>1</v>
      </c>
    </row>
    <row r="267" spans="1:51">
      <c r="A267" s="25">
        <v>435</v>
      </c>
      <c r="B267" s="23" t="s">
        <v>89</v>
      </c>
      <c r="C267" s="23" t="s">
        <v>129</v>
      </c>
      <c r="D267" s="23">
        <v>4</v>
      </c>
      <c r="E267" s="25" t="s">
        <v>30</v>
      </c>
      <c r="F267" s="25" t="s">
        <v>297</v>
      </c>
      <c r="G267" s="23" t="s">
        <v>27</v>
      </c>
      <c r="H267" s="23" t="s">
        <v>188</v>
      </c>
      <c r="I267" s="25">
        <v>1999</v>
      </c>
      <c r="J267" s="35">
        <v>30</v>
      </c>
      <c r="K267" s="35">
        <v>40</v>
      </c>
      <c r="L267" s="35">
        <v>20</v>
      </c>
      <c r="M267" s="25">
        <v>10</v>
      </c>
      <c r="N267" s="25">
        <v>10</v>
      </c>
      <c r="O267" s="25">
        <v>10</v>
      </c>
      <c r="P267" s="25">
        <v>6</v>
      </c>
      <c r="R267" s="30">
        <f t="shared" si="42"/>
        <v>36</v>
      </c>
      <c r="S267" s="37">
        <v>1</v>
      </c>
      <c r="T267" s="30">
        <f t="shared" si="55"/>
        <v>24.011428571428574</v>
      </c>
      <c r="U267" s="37">
        <v>1</v>
      </c>
      <c r="V267" s="30">
        <f t="shared" si="53"/>
        <v>33.084761904761905</v>
      </c>
      <c r="W267" s="25">
        <v>81</v>
      </c>
      <c r="X267" s="31">
        <f t="shared" si="43"/>
        <v>278.8</v>
      </c>
      <c r="Y267" s="25">
        <v>205</v>
      </c>
      <c r="Z267" s="25">
        <v>15</v>
      </c>
      <c r="AA267" s="25">
        <v>170</v>
      </c>
      <c r="AB267" s="37">
        <v>1</v>
      </c>
      <c r="AC267" s="30">
        <f t="shared" si="54"/>
        <v>200</v>
      </c>
      <c r="AD267" s="31">
        <f t="shared" si="44"/>
        <v>2</v>
      </c>
      <c r="AE267" s="31">
        <f t="shared" si="45"/>
        <v>8</v>
      </c>
      <c r="AF267" s="31">
        <f t="shared" si="46"/>
        <v>7</v>
      </c>
      <c r="AG267" s="31" t="str">
        <f t="shared" si="47"/>
        <v/>
      </c>
      <c r="AH267" s="31" t="str">
        <f t="shared" si="48"/>
        <v/>
      </c>
      <c r="AI267" s="31" t="str">
        <f t="shared" si="49"/>
        <v/>
      </c>
      <c r="AJ267" s="25">
        <v>10</v>
      </c>
      <c r="AK267" s="25">
        <v>7</v>
      </c>
      <c r="AL267" s="25">
        <v>0</v>
      </c>
      <c r="AM267" s="23" t="s">
        <v>207</v>
      </c>
      <c r="AN267" s="23" t="s">
        <v>92</v>
      </c>
      <c r="AO267" s="25">
        <v>435</v>
      </c>
      <c r="AP267" s="28" t="s">
        <v>209</v>
      </c>
      <c r="AR267" s="32" t="str">
        <f t="shared" si="50"/>
        <v>4 doors</v>
      </c>
      <c r="AT267" s="23" t="s">
        <v>32</v>
      </c>
      <c r="AU267" s="23" t="str">
        <f t="shared" si="56"/>
        <v>CC</v>
      </c>
      <c r="AV267" s="34">
        <f t="shared" si="51"/>
        <v>5260</v>
      </c>
      <c r="AW267" s="23">
        <v>52</v>
      </c>
      <c r="AX267" s="23">
        <v>60</v>
      </c>
      <c r="AY267" s="23">
        <v>0</v>
      </c>
    </row>
    <row r="268" spans="1:51">
      <c r="A268" s="25">
        <v>435</v>
      </c>
      <c r="B268" s="23" t="s">
        <v>89</v>
      </c>
      <c r="C268" s="23" t="s">
        <v>129</v>
      </c>
      <c r="D268" s="23">
        <v>4</v>
      </c>
      <c r="E268" s="25" t="s">
        <v>212</v>
      </c>
      <c r="F268" s="25" t="s">
        <v>212</v>
      </c>
      <c r="G268" s="23" t="s">
        <v>27</v>
      </c>
      <c r="H268" s="23" t="s">
        <v>188</v>
      </c>
      <c r="I268" s="25">
        <v>1999</v>
      </c>
      <c r="J268" s="35">
        <v>30</v>
      </c>
      <c r="K268" s="35">
        <v>40</v>
      </c>
      <c r="L268" s="35">
        <v>20</v>
      </c>
      <c r="M268" s="25">
        <v>10</v>
      </c>
      <c r="N268" s="25">
        <v>10</v>
      </c>
      <c r="O268" s="25">
        <v>10</v>
      </c>
      <c r="P268" s="25">
        <v>6</v>
      </c>
      <c r="R268" s="30">
        <f t="shared" si="42"/>
        <v>36</v>
      </c>
      <c r="S268" s="37">
        <v>1</v>
      </c>
      <c r="T268" s="30">
        <f t="shared" si="55"/>
        <v>24.011428571428574</v>
      </c>
      <c r="U268" s="37">
        <v>1</v>
      </c>
      <c r="V268" s="30">
        <f t="shared" si="53"/>
        <v>33.084761904761905</v>
      </c>
      <c r="W268" s="25">
        <v>81</v>
      </c>
      <c r="X268" s="31">
        <f t="shared" si="43"/>
        <v>278.8</v>
      </c>
      <c r="Y268" s="25">
        <v>205</v>
      </c>
      <c r="Z268" s="25">
        <v>15</v>
      </c>
      <c r="AA268" s="25">
        <v>170</v>
      </c>
      <c r="AB268" s="37">
        <v>1</v>
      </c>
      <c r="AC268" s="30">
        <f t="shared" si="54"/>
        <v>200</v>
      </c>
      <c r="AD268" s="31">
        <f t="shared" si="44"/>
        <v>2</v>
      </c>
      <c r="AE268" s="31">
        <f t="shared" si="45"/>
        <v>8</v>
      </c>
      <c r="AF268" s="31">
        <f t="shared" si="46"/>
        <v>7</v>
      </c>
      <c r="AG268" s="31" t="str">
        <f t="shared" si="47"/>
        <v/>
      </c>
      <c r="AH268" s="31" t="str">
        <f t="shared" si="48"/>
        <v/>
      </c>
      <c r="AI268" s="31" t="str">
        <f t="shared" si="49"/>
        <v/>
      </c>
      <c r="AJ268" s="25">
        <v>10</v>
      </c>
      <c r="AK268" s="25">
        <v>7</v>
      </c>
      <c r="AL268" s="25">
        <v>0</v>
      </c>
      <c r="AM268" s="23" t="s">
        <v>207</v>
      </c>
      <c r="AN268" s="23" t="s">
        <v>92</v>
      </c>
      <c r="AO268" s="25">
        <v>435</v>
      </c>
      <c r="AP268" s="28" t="s">
        <v>209</v>
      </c>
      <c r="AR268" s="32" t="str">
        <f t="shared" si="50"/>
        <v>4 doors</v>
      </c>
      <c r="AT268" s="23" t="s">
        <v>32</v>
      </c>
      <c r="AU268" s="23" t="str">
        <f t="shared" si="56"/>
        <v>Hungary</v>
      </c>
      <c r="AV268" s="34">
        <f t="shared" si="51"/>
        <v>5260.01</v>
      </c>
      <c r="AW268" s="23">
        <v>52</v>
      </c>
      <c r="AX268" s="23">
        <v>60</v>
      </c>
      <c r="AY268" s="23">
        <v>1</v>
      </c>
    </row>
    <row r="269" spans="1:51">
      <c r="A269" s="25">
        <v>411</v>
      </c>
      <c r="D269" s="23">
        <v>3</v>
      </c>
      <c r="E269" s="25" t="s">
        <v>30</v>
      </c>
      <c r="F269" s="25" t="s">
        <v>301</v>
      </c>
      <c r="G269" s="23" t="s">
        <v>27</v>
      </c>
      <c r="H269" s="23" t="s">
        <v>175</v>
      </c>
      <c r="I269" s="25">
        <v>1993</v>
      </c>
      <c r="J269" s="35">
        <v>30</v>
      </c>
      <c r="K269" s="35">
        <v>40</v>
      </c>
      <c r="L269" s="35">
        <v>20</v>
      </c>
      <c r="M269" s="25">
        <v>14</v>
      </c>
      <c r="N269" s="25">
        <v>14</v>
      </c>
      <c r="O269" s="25">
        <v>7</v>
      </c>
      <c r="R269" s="30">
        <f t="shared" si="42"/>
        <v>35</v>
      </c>
      <c r="S269" s="37">
        <v>1</v>
      </c>
      <c r="T269" s="30">
        <f t="shared" si="55"/>
        <v>19.672000000000001</v>
      </c>
      <c r="U269" s="37">
        <v>1</v>
      </c>
      <c r="V269" s="30">
        <f t="shared" si="53"/>
        <v>28.510666666666669</v>
      </c>
      <c r="W269" s="25">
        <v>80</v>
      </c>
      <c r="X269" s="31">
        <f t="shared" si="43"/>
        <v>243.44000000000003</v>
      </c>
      <c r="Y269" s="25">
        <v>179</v>
      </c>
      <c r="Z269" s="25">
        <v>10</v>
      </c>
      <c r="AA269" s="25">
        <v>100</v>
      </c>
      <c r="AB269" s="37">
        <v>1</v>
      </c>
      <c r="AC269" s="30">
        <f t="shared" si="54"/>
        <v>200</v>
      </c>
      <c r="AD269" s="31">
        <f t="shared" si="44"/>
        <v>2</v>
      </c>
      <c r="AE269" s="31">
        <f t="shared" si="45"/>
        <v>8</v>
      </c>
      <c r="AF269" s="31" t="str">
        <f t="shared" si="46"/>
        <v/>
      </c>
      <c r="AG269" s="31" t="str">
        <f t="shared" si="47"/>
        <v/>
      </c>
      <c r="AH269" s="31" t="str">
        <f t="shared" si="48"/>
        <v/>
      </c>
      <c r="AI269" s="31" t="str">
        <f t="shared" si="49"/>
        <v/>
      </c>
      <c r="AJ269" s="25">
        <v>10</v>
      </c>
      <c r="AK269" s="25">
        <v>0</v>
      </c>
      <c r="AL269" s="25">
        <v>0</v>
      </c>
      <c r="AM269" s="23" t="s">
        <v>207</v>
      </c>
      <c r="AN269" s="23" t="s">
        <v>92</v>
      </c>
      <c r="AO269" s="25">
        <v>411</v>
      </c>
      <c r="AR269" s="32" t="str">
        <f t="shared" si="50"/>
        <v>3 doors</v>
      </c>
      <c r="AT269" s="23" t="s">
        <v>32</v>
      </c>
      <c r="AU269" s="23" t="str">
        <f t="shared" si="56"/>
        <v>CC</v>
      </c>
      <c r="AV269" s="34">
        <f t="shared" si="51"/>
        <v>5300</v>
      </c>
      <c r="AW269" s="23">
        <v>53</v>
      </c>
      <c r="AX269" s="23">
        <v>0</v>
      </c>
      <c r="AY269" s="23">
        <v>0</v>
      </c>
    </row>
    <row r="270" spans="1:51">
      <c r="A270" s="25">
        <v>412</v>
      </c>
      <c r="B270" s="23" t="s">
        <v>89</v>
      </c>
      <c r="D270" s="23">
        <v>3</v>
      </c>
      <c r="E270" s="25" t="s">
        <v>30</v>
      </c>
      <c r="F270" s="25" t="s">
        <v>320</v>
      </c>
      <c r="G270" s="23" t="s">
        <v>27</v>
      </c>
      <c r="H270" s="23" t="s">
        <v>176</v>
      </c>
      <c r="I270" s="25">
        <v>1996</v>
      </c>
      <c r="J270" s="35">
        <v>30</v>
      </c>
      <c r="K270" s="35">
        <v>40</v>
      </c>
      <c r="L270" s="35">
        <v>20</v>
      </c>
      <c r="M270" s="25">
        <v>14</v>
      </c>
      <c r="N270" s="25">
        <v>14</v>
      </c>
      <c r="O270" s="25">
        <v>7</v>
      </c>
      <c r="R270" s="30">
        <f t="shared" si="42"/>
        <v>35</v>
      </c>
      <c r="S270" s="37">
        <v>1</v>
      </c>
      <c r="T270" s="30">
        <f t="shared" si="55"/>
        <v>18.880000000000003</v>
      </c>
      <c r="U270" s="37">
        <v>1</v>
      </c>
      <c r="V270" s="30">
        <f t="shared" si="53"/>
        <v>26.033333333333339</v>
      </c>
      <c r="W270" s="25">
        <v>72</v>
      </c>
      <c r="X270" s="31">
        <f t="shared" si="43"/>
        <v>217.60000000000002</v>
      </c>
      <c r="Y270" s="25">
        <v>160</v>
      </c>
      <c r="Z270" s="25">
        <v>11</v>
      </c>
      <c r="AA270" s="25">
        <v>101</v>
      </c>
      <c r="AB270" s="37">
        <v>1</v>
      </c>
      <c r="AC270" s="30">
        <f t="shared" si="54"/>
        <v>200</v>
      </c>
      <c r="AD270" s="31">
        <f t="shared" si="44"/>
        <v>3</v>
      </c>
      <c r="AE270" s="31">
        <f t="shared" si="45"/>
        <v>8</v>
      </c>
      <c r="AF270" s="31" t="str">
        <f t="shared" si="46"/>
        <v/>
      </c>
      <c r="AG270" s="31" t="str">
        <f t="shared" si="47"/>
        <v/>
      </c>
      <c r="AH270" s="31" t="str">
        <f t="shared" si="48"/>
        <v/>
      </c>
      <c r="AI270" s="31" t="str">
        <f t="shared" si="49"/>
        <v/>
      </c>
      <c r="AJ270" s="25">
        <v>11</v>
      </c>
      <c r="AK270" s="25">
        <v>0</v>
      </c>
      <c r="AL270" s="25">
        <v>0</v>
      </c>
      <c r="AM270" s="23" t="s">
        <v>207</v>
      </c>
      <c r="AN270" s="23" t="s">
        <v>92</v>
      </c>
      <c r="AO270" s="25">
        <v>412</v>
      </c>
      <c r="AR270" s="32" t="str">
        <f t="shared" si="50"/>
        <v>3 doors</v>
      </c>
      <c r="AT270" s="23" t="s">
        <v>32</v>
      </c>
      <c r="AU270" s="23" t="str">
        <f t="shared" si="56"/>
        <v>CC</v>
      </c>
      <c r="AV270" s="34">
        <f t="shared" si="51"/>
        <v>5320</v>
      </c>
      <c r="AW270" s="23">
        <v>53</v>
      </c>
      <c r="AX270" s="23">
        <v>20</v>
      </c>
      <c r="AY270" s="23">
        <v>0</v>
      </c>
    </row>
    <row r="271" spans="1:51">
      <c r="A271" s="25">
        <v>412</v>
      </c>
      <c r="B271" s="23" t="s">
        <v>89</v>
      </c>
      <c r="D271" s="23">
        <v>3</v>
      </c>
      <c r="E271" s="25" t="s">
        <v>42</v>
      </c>
      <c r="F271" s="25" t="s">
        <v>295</v>
      </c>
      <c r="G271" s="23" t="s">
        <v>27</v>
      </c>
      <c r="H271" s="23" t="s">
        <v>176</v>
      </c>
      <c r="I271" s="25">
        <v>2008</v>
      </c>
      <c r="J271" s="35">
        <v>30</v>
      </c>
      <c r="K271" s="35">
        <v>40</v>
      </c>
      <c r="L271" s="35">
        <v>20</v>
      </c>
      <c r="M271" s="25">
        <v>14</v>
      </c>
      <c r="N271" s="25">
        <v>14</v>
      </c>
      <c r="O271" s="25">
        <v>7</v>
      </c>
      <c r="R271" s="30">
        <f t="shared" si="42"/>
        <v>35</v>
      </c>
      <c r="S271" s="37">
        <v>1</v>
      </c>
      <c r="T271" s="30">
        <f t="shared" si="55"/>
        <v>18.880000000000003</v>
      </c>
      <c r="U271" s="37">
        <v>1</v>
      </c>
      <c r="V271" s="30">
        <f t="shared" si="53"/>
        <v>26.033333333333339</v>
      </c>
      <c r="W271" s="25">
        <v>72</v>
      </c>
      <c r="X271" s="31">
        <f t="shared" si="43"/>
        <v>217.60000000000002</v>
      </c>
      <c r="Y271" s="25">
        <v>160</v>
      </c>
      <c r="Z271" s="25">
        <v>11</v>
      </c>
      <c r="AA271" s="25">
        <v>101</v>
      </c>
      <c r="AB271" s="37">
        <v>1</v>
      </c>
      <c r="AC271" s="30">
        <f t="shared" si="54"/>
        <v>200</v>
      </c>
      <c r="AD271" s="31">
        <f t="shared" si="44"/>
        <v>3</v>
      </c>
      <c r="AE271" s="31">
        <f t="shared" si="45"/>
        <v>8</v>
      </c>
      <c r="AF271" s="31" t="str">
        <f t="shared" si="46"/>
        <v/>
      </c>
      <c r="AG271" s="31" t="str">
        <f t="shared" si="47"/>
        <v/>
      </c>
      <c r="AH271" s="31" t="str">
        <f t="shared" si="48"/>
        <v/>
      </c>
      <c r="AI271" s="31" t="str">
        <f t="shared" si="49"/>
        <v/>
      </c>
      <c r="AJ271" s="25">
        <v>11</v>
      </c>
      <c r="AK271" s="25">
        <v>0</v>
      </c>
      <c r="AL271" s="25">
        <v>0</v>
      </c>
      <c r="AM271" s="23" t="s">
        <v>207</v>
      </c>
      <c r="AN271" s="23" t="s">
        <v>92</v>
      </c>
      <c r="AO271" s="25">
        <v>412</v>
      </c>
      <c r="AR271" s="32" t="str">
        <f t="shared" si="50"/>
        <v>3 doors</v>
      </c>
      <c r="AT271" s="23" t="s">
        <v>32</v>
      </c>
      <c r="AU271" s="23" t="str">
        <f t="shared" si="56"/>
        <v>CC</v>
      </c>
      <c r="AV271" s="34">
        <f t="shared" si="51"/>
        <v>5320.01</v>
      </c>
      <c r="AW271" s="23">
        <v>53</v>
      </c>
      <c r="AX271" s="23">
        <v>20</v>
      </c>
      <c r="AY271" s="23">
        <v>1</v>
      </c>
    </row>
    <row r="272" spans="1:51">
      <c r="A272" s="25">
        <v>412</v>
      </c>
      <c r="B272" s="23" t="s">
        <v>89</v>
      </c>
      <c r="D272" s="23">
        <v>3</v>
      </c>
      <c r="E272" s="25" t="s">
        <v>43</v>
      </c>
      <c r="F272" s="25" t="s">
        <v>301</v>
      </c>
      <c r="G272" s="23" t="s">
        <v>27</v>
      </c>
      <c r="H272" s="23" t="s">
        <v>176</v>
      </c>
      <c r="I272" s="25">
        <v>2012</v>
      </c>
      <c r="J272" s="35">
        <v>30</v>
      </c>
      <c r="K272" s="35">
        <v>40</v>
      </c>
      <c r="L272" s="35">
        <v>20</v>
      </c>
      <c r="M272" s="25">
        <v>14</v>
      </c>
      <c r="N272" s="25">
        <v>14</v>
      </c>
      <c r="O272" s="25">
        <v>7</v>
      </c>
      <c r="R272" s="30">
        <f t="shared" si="42"/>
        <v>35</v>
      </c>
      <c r="S272" s="37">
        <v>1</v>
      </c>
      <c r="T272" s="30">
        <f t="shared" si="55"/>
        <v>18.880000000000003</v>
      </c>
      <c r="U272" s="37">
        <v>1</v>
      </c>
      <c r="V272" s="30">
        <f t="shared" si="53"/>
        <v>26.033333333333339</v>
      </c>
      <c r="W272" s="25">
        <v>72</v>
      </c>
      <c r="X272" s="31">
        <f t="shared" si="43"/>
        <v>217.60000000000002</v>
      </c>
      <c r="Y272" s="25">
        <v>160</v>
      </c>
      <c r="Z272" s="25">
        <v>11</v>
      </c>
      <c r="AA272" s="25">
        <v>101</v>
      </c>
      <c r="AB272" s="37">
        <v>1</v>
      </c>
      <c r="AC272" s="30">
        <f t="shared" si="54"/>
        <v>200</v>
      </c>
      <c r="AD272" s="31">
        <f t="shared" si="44"/>
        <v>3</v>
      </c>
      <c r="AE272" s="31">
        <f t="shared" si="45"/>
        <v>8</v>
      </c>
      <c r="AF272" s="31" t="str">
        <f t="shared" si="46"/>
        <v/>
      </c>
      <c r="AG272" s="31" t="str">
        <f t="shared" si="47"/>
        <v/>
      </c>
      <c r="AH272" s="31" t="str">
        <f t="shared" si="48"/>
        <v/>
      </c>
      <c r="AI272" s="31" t="str">
        <f t="shared" si="49"/>
        <v/>
      </c>
      <c r="AJ272" s="25">
        <v>11</v>
      </c>
      <c r="AK272" s="25">
        <v>0</v>
      </c>
      <c r="AL272" s="25">
        <v>0</v>
      </c>
      <c r="AM272" s="23" t="s">
        <v>207</v>
      </c>
      <c r="AN272" s="23" t="s">
        <v>92</v>
      </c>
      <c r="AO272" s="25">
        <v>412</v>
      </c>
      <c r="AR272" s="32" t="str">
        <f t="shared" si="50"/>
        <v>3 doors</v>
      </c>
      <c r="AT272" s="23" t="s">
        <v>32</v>
      </c>
      <c r="AU272" s="23" t="str">
        <f t="shared" si="56"/>
        <v>CC</v>
      </c>
      <c r="AV272" s="34">
        <f t="shared" si="51"/>
        <v>5320.02</v>
      </c>
      <c r="AW272" s="23">
        <v>53</v>
      </c>
      <c r="AX272" s="23">
        <v>20</v>
      </c>
      <c r="AY272" s="23">
        <v>2</v>
      </c>
    </row>
    <row r="273" spans="1:51">
      <c r="A273" s="25">
        <v>412</v>
      </c>
      <c r="B273" s="23" t="s">
        <v>125</v>
      </c>
      <c r="D273" s="23">
        <v>2</v>
      </c>
      <c r="E273" s="25" t="s">
        <v>30</v>
      </c>
      <c r="F273" s="25" t="s">
        <v>305</v>
      </c>
      <c r="G273" s="23" t="s">
        <v>27</v>
      </c>
      <c r="H273" s="23" t="s">
        <v>177</v>
      </c>
      <c r="I273" s="25">
        <v>1996</v>
      </c>
      <c r="J273" s="35">
        <v>30</v>
      </c>
      <c r="K273" s="35">
        <v>40</v>
      </c>
      <c r="L273" s="35">
        <v>20</v>
      </c>
      <c r="M273" s="25">
        <v>14</v>
      </c>
      <c r="N273" s="25">
        <v>14</v>
      </c>
      <c r="R273" s="30">
        <f t="shared" si="42"/>
        <v>28</v>
      </c>
      <c r="S273" s="37">
        <v>1</v>
      </c>
      <c r="T273" s="30">
        <f t="shared" si="55"/>
        <v>18.516000000000002</v>
      </c>
      <c r="U273" s="37">
        <v>1</v>
      </c>
      <c r="V273" s="30">
        <f t="shared" si="53"/>
        <v>25.598666666666666</v>
      </c>
      <c r="W273" s="25">
        <v>100</v>
      </c>
      <c r="X273" s="31">
        <f t="shared" si="43"/>
        <v>220.32000000000002</v>
      </c>
      <c r="Y273" s="25">
        <v>162</v>
      </c>
      <c r="Z273" s="25">
        <v>11</v>
      </c>
      <c r="AA273" s="25">
        <v>70</v>
      </c>
      <c r="AB273" s="37">
        <v>1</v>
      </c>
      <c r="AC273" s="30">
        <f t="shared" si="54"/>
        <v>200</v>
      </c>
      <c r="AD273" s="31">
        <f t="shared" si="44"/>
        <v>3</v>
      </c>
      <c r="AE273" s="31">
        <f t="shared" si="45"/>
        <v>8</v>
      </c>
      <c r="AF273" s="31" t="str">
        <f t="shared" si="46"/>
        <v/>
      </c>
      <c r="AG273" s="31" t="str">
        <f t="shared" si="47"/>
        <v/>
      </c>
      <c r="AH273" s="31" t="str">
        <f t="shared" si="48"/>
        <v/>
      </c>
      <c r="AI273" s="31" t="str">
        <f t="shared" si="49"/>
        <v/>
      </c>
      <c r="AJ273" s="25">
        <v>11</v>
      </c>
      <c r="AK273" s="25">
        <v>0</v>
      </c>
      <c r="AL273" s="25">
        <v>0</v>
      </c>
      <c r="AM273" s="23" t="s">
        <v>207</v>
      </c>
      <c r="AN273" s="23" t="s">
        <v>92</v>
      </c>
      <c r="AO273" s="25">
        <v>412</v>
      </c>
      <c r="AR273" s="32" t="str">
        <f t="shared" si="50"/>
        <v>2 doors</v>
      </c>
      <c r="AT273" s="23" t="s">
        <v>270</v>
      </c>
      <c r="AU273" s="23" t="str">
        <f t="shared" si="56"/>
        <v>CC</v>
      </c>
      <c r="AV273" s="34">
        <f t="shared" si="51"/>
        <v>5340</v>
      </c>
      <c r="AW273" s="23">
        <v>53</v>
      </c>
      <c r="AX273" s="23">
        <v>40</v>
      </c>
      <c r="AY273" s="23">
        <v>0</v>
      </c>
    </row>
    <row r="274" spans="1:51">
      <c r="A274" s="25">
        <v>412</v>
      </c>
      <c r="B274" s="23" t="s">
        <v>125</v>
      </c>
      <c r="D274" s="23">
        <v>2</v>
      </c>
      <c r="E274" s="25" t="s">
        <v>42</v>
      </c>
      <c r="F274" s="25" t="s">
        <v>302</v>
      </c>
      <c r="G274" s="23" t="s">
        <v>27</v>
      </c>
      <c r="H274" s="23" t="s">
        <v>177</v>
      </c>
      <c r="I274" s="25">
        <v>1996</v>
      </c>
      <c r="J274" s="35">
        <v>30</v>
      </c>
      <c r="K274" s="35">
        <v>40</v>
      </c>
      <c r="L274" s="35">
        <v>20</v>
      </c>
      <c r="M274" s="25">
        <v>14</v>
      </c>
      <c r="N274" s="25">
        <v>14</v>
      </c>
      <c r="R274" s="30">
        <f t="shared" si="42"/>
        <v>28</v>
      </c>
      <c r="S274" s="37">
        <v>1</v>
      </c>
      <c r="T274" s="30">
        <f t="shared" si="55"/>
        <v>18.516000000000002</v>
      </c>
      <c r="U274" s="37">
        <v>1</v>
      </c>
      <c r="V274" s="30">
        <f t="shared" si="53"/>
        <v>25.598666666666666</v>
      </c>
      <c r="W274" s="25">
        <v>100</v>
      </c>
      <c r="X274" s="31">
        <f t="shared" si="43"/>
        <v>220.32000000000002</v>
      </c>
      <c r="Y274" s="25">
        <v>162</v>
      </c>
      <c r="Z274" s="25">
        <v>11</v>
      </c>
      <c r="AA274" s="25">
        <v>70</v>
      </c>
      <c r="AB274" s="37">
        <v>1</v>
      </c>
      <c r="AC274" s="30">
        <f t="shared" si="54"/>
        <v>200</v>
      </c>
      <c r="AD274" s="31">
        <f t="shared" si="44"/>
        <v>3</v>
      </c>
      <c r="AE274" s="31">
        <f t="shared" si="45"/>
        <v>8</v>
      </c>
      <c r="AF274" s="31" t="str">
        <f t="shared" si="46"/>
        <v/>
      </c>
      <c r="AG274" s="31" t="str">
        <f t="shared" si="47"/>
        <v/>
      </c>
      <c r="AH274" s="31" t="str">
        <f t="shared" si="48"/>
        <v/>
      </c>
      <c r="AI274" s="31" t="str">
        <f t="shared" si="49"/>
        <v/>
      </c>
      <c r="AJ274" s="25">
        <v>11</v>
      </c>
      <c r="AK274" s="25">
        <v>0</v>
      </c>
      <c r="AL274" s="25">
        <v>0</v>
      </c>
      <c r="AM274" s="23" t="s">
        <v>207</v>
      </c>
      <c r="AN274" s="23" t="s">
        <v>92</v>
      </c>
      <c r="AO274" s="25">
        <v>412</v>
      </c>
      <c r="AR274" s="32" t="str">
        <f t="shared" si="50"/>
        <v>2 doors</v>
      </c>
      <c r="AT274" s="23" t="s">
        <v>270</v>
      </c>
      <c r="AU274" s="23" t="str">
        <f t="shared" si="56"/>
        <v>CC</v>
      </c>
      <c r="AV274" s="34">
        <f t="shared" si="51"/>
        <v>5340.01</v>
      </c>
      <c r="AW274" s="23">
        <v>53</v>
      </c>
      <c r="AX274" s="23">
        <v>40</v>
      </c>
      <c r="AY274" s="23">
        <v>1</v>
      </c>
    </row>
    <row r="275" spans="1:51">
      <c r="A275" s="25">
        <v>417</v>
      </c>
      <c r="B275" s="23" t="s">
        <v>89</v>
      </c>
      <c r="D275" s="23">
        <v>4</v>
      </c>
      <c r="E275" s="25" t="s">
        <v>30</v>
      </c>
      <c r="F275" s="25" t="s">
        <v>297</v>
      </c>
      <c r="G275" s="23" t="s">
        <v>27</v>
      </c>
      <c r="H275" s="23" t="s">
        <v>183</v>
      </c>
      <c r="I275" s="25">
        <v>1994</v>
      </c>
      <c r="J275" s="35">
        <v>30</v>
      </c>
      <c r="K275" s="35">
        <v>40</v>
      </c>
      <c r="L275" s="35">
        <v>20</v>
      </c>
      <c r="M275" s="25">
        <v>14</v>
      </c>
      <c r="N275" s="25">
        <v>14</v>
      </c>
      <c r="O275" s="25">
        <v>14</v>
      </c>
      <c r="P275" s="25">
        <v>7</v>
      </c>
      <c r="R275" s="30">
        <f t="shared" si="42"/>
        <v>49</v>
      </c>
      <c r="S275" s="37">
        <v>1</v>
      </c>
      <c r="T275" s="30">
        <f t="shared" si="55"/>
        <v>23.988</v>
      </c>
      <c r="U275" s="37">
        <v>1</v>
      </c>
      <c r="V275" s="30">
        <f t="shared" si="53"/>
        <v>32.109333333333332</v>
      </c>
      <c r="W275" s="25">
        <v>72</v>
      </c>
      <c r="X275" s="31">
        <f t="shared" si="43"/>
        <v>259.76</v>
      </c>
      <c r="Y275" s="25">
        <v>191</v>
      </c>
      <c r="Z275" s="25">
        <v>15</v>
      </c>
      <c r="AA275" s="25">
        <v>170</v>
      </c>
      <c r="AB275" s="37">
        <v>1</v>
      </c>
      <c r="AC275" s="30">
        <f t="shared" si="54"/>
        <v>200</v>
      </c>
      <c r="AD275" s="31">
        <f t="shared" si="44"/>
        <v>2</v>
      </c>
      <c r="AE275" s="31">
        <f t="shared" si="45"/>
        <v>8</v>
      </c>
      <c r="AF275" s="31">
        <f t="shared" si="46"/>
        <v>7</v>
      </c>
      <c r="AG275" s="31" t="str">
        <f t="shared" si="47"/>
        <v/>
      </c>
      <c r="AH275" s="31" t="str">
        <f t="shared" si="48"/>
        <v/>
      </c>
      <c r="AI275" s="31" t="str">
        <f t="shared" si="49"/>
        <v/>
      </c>
      <c r="AJ275" s="25">
        <v>10</v>
      </c>
      <c r="AK275" s="25">
        <v>7</v>
      </c>
      <c r="AL275" s="25">
        <v>0</v>
      </c>
      <c r="AM275" s="23" t="s">
        <v>207</v>
      </c>
      <c r="AN275" s="23" t="s">
        <v>92</v>
      </c>
      <c r="AO275" s="25">
        <v>417</v>
      </c>
      <c r="AR275" s="32" t="str">
        <f t="shared" si="50"/>
        <v>4 doors</v>
      </c>
      <c r="AT275" s="23" t="s">
        <v>32</v>
      </c>
      <c r="AU275" s="23" t="str">
        <f t="shared" si="56"/>
        <v>CC</v>
      </c>
      <c r="AV275" s="34">
        <f t="shared" si="51"/>
        <v>5400</v>
      </c>
      <c r="AW275" s="23">
        <v>54</v>
      </c>
      <c r="AX275" s="23">
        <v>0</v>
      </c>
      <c r="AY275" s="23">
        <v>0</v>
      </c>
    </row>
    <row r="276" spans="1:51">
      <c r="A276" s="25">
        <v>417</v>
      </c>
      <c r="B276" s="23" t="s">
        <v>89</v>
      </c>
      <c r="D276" s="23">
        <v>4</v>
      </c>
      <c r="E276" s="25" t="s">
        <v>42</v>
      </c>
      <c r="F276" s="25" t="s">
        <v>320</v>
      </c>
      <c r="G276" s="23" t="s">
        <v>27</v>
      </c>
      <c r="H276" s="23" t="s">
        <v>183</v>
      </c>
      <c r="I276" s="25">
        <v>1998</v>
      </c>
      <c r="J276" s="35">
        <v>30</v>
      </c>
      <c r="K276" s="35">
        <v>40</v>
      </c>
      <c r="L276" s="35">
        <v>20</v>
      </c>
      <c r="M276" s="25">
        <v>14</v>
      </c>
      <c r="N276" s="25">
        <v>14</v>
      </c>
      <c r="O276" s="25">
        <v>14</v>
      </c>
      <c r="P276" s="25">
        <v>7</v>
      </c>
      <c r="R276" s="30">
        <f t="shared" si="42"/>
        <v>49</v>
      </c>
      <c r="S276" s="37">
        <v>1</v>
      </c>
      <c r="T276" s="30">
        <f t="shared" si="55"/>
        <v>23.988</v>
      </c>
      <c r="U276" s="37">
        <v>1</v>
      </c>
      <c r="V276" s="30">
        <f t="shared" si="53"/>
        <v>32.109333333333332</v>
      </c>
      <c r="W276" s="25">
        <v>72</v>
      </c>
      <c r="X276" s="31">
        <f t="shared" si="43"/>
        <v>259.76</v>
      </c>
      <c r="Y276" s="25">
        <v>191</v>
      </c>
      <c r="Z276" s="25">
        <v>15</v>
      </c>
      <c r="AA276" s="25">
        <v>170</v>
      </c>
      <c r="AB276" s="37">
        <v>1</v>
      </c>
      <c r="AC276" s="30">
        <f t="shared" si="54"/>
        <v>200</v>
      </c>
      <c r="AD276" s="31">
        <f t="shared" si="44"/>
        <v>2</v>
      </c>
      <c r="AE276" s="31">
        <f t="shared" si="45"/>
        <v>8</v>
      </c>
      <c r="AF276" s="31">
        <f t="shared" si="46"/>
        <v>7</v>
      </c>
      <c r="AG276" s="31" t="str">
        <f t="shared" si="47"/>
        <v/>
      </c>
      <c r="AH276" s="31" t="str">
        <f t="shared" si="48"/>
        <v/>
      </c>
      <c r="AI276" s="31" t="str">
        <f t="shared" si="49"/>
        <v/>
      </c>
      <c r="AJ276" s="25">
        <v>10</v>
      </c>
      <c r="AK276" s="25">
        <v>7</v>
      </c>
      <c r="AL276" s="25">
        <v>0</v>
      </c>
      <c r="AM276" s="23" t="s">
        <v>207</v>
      </c>
      <c r="AN276" s="23" t="s">
        <v>92</v>
      </c>
      <c r="AO276" s="25">
        <v>417</v>
      </c>
      <c r="AR276" s="32" t="str">
        <f t="shared" si="50"/>
        <v>4 doors</v>
      </c>
      <c r="AT276" s="23" t="s">
        <v>32</v>
      </c>
      <c r="AU276" s="23" t="str">
        <f t="shared" si="56"/>
        <v>CC</v>
      </c>
      <c r="AV276" s="34">
        <f t="shared" si="51"/>
        <v>5400.01</v>
      </c>
      <c r="AW276" s="23">
        <v>54</v>
      </c>
      <c r="AX276" s="23">
        <v>0</v>
      </c>
      <c r="AY276" s="23">
        <v>1</v>
      </c>
    </row>
    <row r="277" spans="1:51">
      <c r="A277" s="25">
        <v>417</v>
      </c>
      <c r="B277" s="23" t="s">
        <v>89</v>
      </c>
      <c r="D277" s="23">
        <v>4</v>
      </c>
      <c r="E277" s="25" t="s">
        <v>43</v>
      </c>
      <c r="F277" s="25" t="s">
        <v>301</v>
      </c>
      <c r="G277" s="23" t="s">
        <v>27</v>
      </c>
      <c r="H277" s="23" t="s">
        <v>183</v>
      </c>
      <c r="I277" s="25">
        <v>2012</v>
      </c>
      <c r="J277" s="35">
        <v>30</v>
      </c>
      <c r="K277" s="35">
        <v>40</v>
      </c>
      <c r="L277" s="35">
        <v>20</v>
      </c>
      <c r="M277" s="25">
        <v>14</v>
      </c>
      <c r="N277" s="25">
        <v>14</v>
      </c>
      <c r="O277" s="25">
        <v>14</v>
      </c>
      <c r="P277" s="25">
        <v>7</v>
      </c>
      <c r="R277" s="30">
        <f t="shared" si="42"/>
        <v>49</v>
      </c>
      <c r="S277" s="37">
        <v>1</v>
      </c>
      <c r="T277" s="30">
        <f t="shared" si="55"/>
        <v>23.988</v>
      </c>
      <c r="U277" s="37">
        <v>1</v>
      </c>
      <c r="V277" s="30">
        <f t="shared" si="53"/>
        <v>32.109333333333332</v>
      </c>
      <c r="W277" s="25">
        <v>72</v>
      </c>
      <c r="X277" s="31">
        <f t="shared" si="43"/>
        <v>259.76</v>
      </c>
      <c r="Y277" s="25">
        <v>191</v>
      </c>
      <c r="Z277" s="25">
        <v>15</v>
      </c>
      <c r="AA277" s="25">
        <v>170</v>
      </c>
      <c r="AB277" s="37">
        <v>1</v>
      </c>
      <c r="AC277" s="30">
        <f t="shared" si="54"/>
        <v>200</v>
      </c>
      <c r="AD277" s="31">
        <f t="shared" si="44"/>
        <v>2</v>
      </c>
      <c r="AE277" s="31">
        <f t="shared" si="45"/>
        <v>8</v>
      </c>
      <c r="AF277" s="31">
        <f t="shared" si="46"/>
        <v>7</v>
      </c>
      <c r="AG277" s="31" t="str">
        <f t="shared" si="47"/>
        <v/>
      </c>
      <c r="AH277" s="31" t="str">
        <f t="shared" si="48"/>
        <v/>
      </c>
      <c r="AI277" s="31" t="str">
        <f t="shared" si="49"/>
        <v/>
      </c>
      <c r="AJ277" s="25">
        <v>10</v>
      </c>
      <c r="AK277" s="25">
        <v>7</v>
      </c>
      <c r="AL277" s="25">
        <v>0</v>
      </c>
      <c r="AM277" s="23" t="s">
        <v>207</v>
      </c>
      <c r="AN277" s="23" t="s">
        <v>92</v>
      </c>
      <c r="AO277" s="25">
        <v>417</v>
      </c>
      <c r="AR277" s="32" t="str">
        <f t="shared" si="50"/>
        <v>4 doors</v>
      </c>
      <c r="AT277" s="23" t="s">
        <v>32</v>
      </c>
      <c r="AU277" s="23" t="str">
        <f t="shared" si="56"/>
        <v>CC</v>
      </c>
      <c r="AV277" s="34">
        <f t="shared" si="51"/>
        <v>5400.02</v>
      </c>
      <c r="AW277" s="23">
        <v>54</v>
      </c>
      <c r="AX277" s="23">
        <v>0</v>
      </c>
      <c r="AY277" s="23">
        <v>2</v>
      </c>
    </row>
    <row r="278" spans="1:51">
      <c r="A278" s="25">
        <v>417</v>
      </c>
      <c r="B278" s="23" t="s">
        <v>125</v>
      </c>
      <c r="D278" s="23">
        <v>3</v>
      </c>
      <c r="E278" s="25" t="s">
        <v>30</v>
      </c>
      <c r="F278" s="25" t="s">
        <v>305</v>
      </c>
      <c r="G278" s="23" t="s">
        <v>27</v>
      </c>
      <c r="H278" s="23" t="s">
        <v>184</v>
      </c>
      <c r="I278" s="25">
        <v>1995</v>
      </c>
      <c r="J278" s="35">
        <v>30</v>
      </c>
      <c r="K278" s="35">
        <v>40</v>
      </c>
      <c r="L278" s="35">
        <v>20</v>
      </c>
      <c r="M278" s="25">
        <v>14</v>
      </c>
      <c r="N278" s="25">
        <v>14</v>
      </c>
      <c r="O278" s="25">
        <v>14</v>
      </c>
      <c r="R278" s="30">
        <f t="shared" si="42"/>
        <v>42</v>
      </c>
      <c r="S278" s="37">
        <v>1</v>
      </c>
      <c r="T278" s="30">
        <f t="shared" si="55"/>
        <v>26.004000000000001</v>
      </c>
      <c r="U278" s="37">
        <v>1</v>
      </c>
      <c r="V278" s="30">
        <f t="shared" si="53"/>
        <v>36.334666666666671</v>
      </c>
      <c r="W278" s="25">
        <v>90</v>
      </c>
      <c r="X278" s="31">
        <f t="shared" si="43"/>
        <v>310.08000000000004</v>
      </c>
      <c r="Y278" s="25">
        <v>228</v>
      </c>
      <c r="Z278" s="25">
        <v>15</v>
      </c>
      <c r="AA278" s="25">
        <v>124</v>
      </c>
      <c r="AB278" s="37">
        <v>1</v>
      </c>
      <c r="AC278" s="30">
        <f t="shared" si="54"/>
        <v>200</v>
      </c>
      <c r="AD278" s="31">
        <f t="shared" si="44"/>
        <v>2</v>
      </c>
      <c r="AE278" s="31">
        <f t="shared" si="45"/>
        <v>8</v>
      </c>
      <c r="AF278" s="31">
        <f t="shared" si="46"/>
        <v>7</v>
      </c>
      <c r="AG278" s="31" t="str">
        <f t="shared" si="47"/>
        <v/>
      </c>
      <c r="AH278" s="31" t="str">
        <f t="shared" si="48"/>
        <v/>
      </c>
      <c r="AI278" s="31" t="str">
        <f t="shared" si="49"/>
        <v/>
      </c>
      <c r="AJ278" s="25">
        <v>10</v>
      </c>
      <c r="AK278" s="25">
        <v>7</v>
      </c>
      <c r="AL278" s="25">
        <v>0</v>
      </c>
      <c r="AM278" s="23" t="s">
        <v>207</v>
      </c>
      <c r="AN278" s="23" t="s">
        <v>92</v>
      </c>
      <c r="AO278" s="25">
        <v>417</v>
      </c>
      <c r="AR278" s="32" t="str">
        <f t="shared" si="50"/>
        <v>3 doors</v>
      </c>
      <c r="AT278" s="23" t="s">
        <v>270</v>
      </c>
      <c r="AU278" s="23" t="str">
        <f t="shared" si="56"/>
        <v>CC</v>
      </c>
      <c r="AV278" s="34">
        <f t="shared" si="51"/>
        <v>5420</v>
      </c>
      <c r="AW278" s="23">
        <v>54</v>
      </c>
      <c r="AX278" s="23">
        <v>20</v>
      </c>
      <c r="AY278" s="23">
        <v>0</v>
      </c>
    </row>
    <row r="279" spans="1:51">
      <c r="A279" s="25">
        <v>417</v>
      </c>
      <c r="B279" s="23" t="s">
        <v>125</v>
      </c>
      <c r="D279" s="23">
        <v>3</v>
      </c>
      <c r="E279" s="25" t="s">
        <v>42</v>
      </c>
      <c r="F279" s="25" t="s">
        <v>302</v>
      </c>
      <c r="G279" s="23" t="s">
        <v>27</v>
      </c>
      <c r="H279" s="23" t="s">
        <v>184</v>
      </c>
      <c r="I279" s="25">
        <v>2001</v>
      </c>
      <c r="J279" s="35">
        <v>30</v>
      </c>
      <c r="K279" s="35">
        <v>40</v>
      </c>
      <c r="L279" s="35">
        <v>20</v>
      </c>
      <c r="M279" s="25">
        <v>14</v>
      </c>
      <c r="N279" s="25">
        <v>14</v>
      </c>
      <c r="O279" s="25">
        <v>14</v>
      </c>
      <c r="R279" s="30">
        <f t="shared" si="42"/>
        <v>42</v>
      </c>
      <c r="S279" s="37">
        <v>1</v>
      </c>
      <c r="T279" s="30">
        <f t="shared" si="55"/>
        <v>26.004000000000001</v>
      </c>
      <c r="U279" s="37">
        <v>1</v>
      </c>
      <c r="V279" s="30">
        <f t="shared" si="53"/>
        <v>36.334666666666671</v>
      </c>
      <c r="W279" s="25">
        <v>90</v>
      </c>
      <c r="X279" s="31">
        <f t="shared" si="43"/>
        <v>310.08000000000004</v>
      </c>
      <c r="Y279" s="25">
        <v>228</v>
      </c>
      <c r="Z279" s="25">
        <v>15</v>
      </c>
      <c r="AA279" s="25">
        <v>124</v>
      </c>
      <c r="AB279" s="37">
        <v>1</v>
      </c>
      <c r="AC279" s="30">
        <f t="shared" si="54"/>
        <v>200</v>
      </c>
      <c r="AD279" s="31">
        <f t="shared" si="44"/>
        <v>2</v>
      </c>
      <c r="AE279" s="31">
        <f t="shared" si="45"/>
        <v>8</v>
      </c>
      <c r="AF279" s="31">
        <f t="shared" si="46"/>
        <v>7</v>
      </c>
      <c r="AG279" s="31" t="str">
        <f t="shared" si="47"/>
        <v/>
      </c>
      <c r="AH279" s="31" t="str">
        <f t="shared" si="48"/>
        <v/>
      </c>
      <c r="AI279" s="31" t="str">
        <f t="shared" si="49"/>
        <v/>
      </c>
      <c r="AJ279" s="25">
        <v>10</v>
      </c>
      <c r="AK279" s="25">
        <v>7</v>
      </c>
      <c r="AL279" s="25">
        <v>0</v>
      </c>
      <c r="AM279" s="23" t="s">
        <v>207</v>
      </c>
      <c r="AN279" s="23" t="s">
        <v>92</v>
      </c>
      <c r="AO279" s="25">
        <v>417</v>
      </c>
      <c r="AR279" s="32" t="str">
        <f t="shared" si="50"/>
        <v>3 doors</v>
      </c>
      <c r="AT279" s="23" t="s">
        <v>270</v>
      </c>
      <c r="AU279" s="23" t="str">
        <f t="shared" si="56"/>
        <v>CC</v>
      </c>
      <c r="AV279" s="34">
        <f t="shared" si="51"/>
        <v>5420.01</v>
      </c>
      <c r="AW279" s="23">
        <v>54</v>
      </c>
      <c r="AX279" s="23">
        <v>20</v>
      </c>
      <c r="AY279" s="23">
        <v>1</v>
      </c>
    </row>
    <row r="280" spans="1:51">
      <c r="A280" s="25" t="s">
        <v>111</v>
      </c>
      <c r="D280" s="23">
        <v>4</v>
      </c>
      <c r="E280" s="25" t="s">
        <v>30</v>
      </c>
      <c r="F280" s="25" t="s">
        <v>301</v>
      </c>
      <c r="G280" s="23" t="s">
        <v>27</v>
      </c>
      <c r="H280" s="23" t="s">
        <v>182</v>
      </c>
      <c r="I280" s="25">
        <v>2020</v>
      </c>
      <c r="J280" s="35">
        <v>30</v>
      </c>
      <c r="K280" s="35">
        <v>40</v>
      </c>
      <c r="L280" s="35">
        <v>20</v>
      </c>
      <c r="M280" s="25">
        <v>14</v>
      </c>
      <c r="N280" s="25">
        <v>14</v>
      </c>
      <c r="O280" s="25">
        <v>14</v>
      </c>
      <c r="P280" s="25">
        <v>14</v>
      </c>
      <c r="R280" s="30">
        <f t="shared" si="42"/>
        <v>56</v>
      </c>
      <c r="S280" s="37">
        <v>1.2</v>
      </c>
      <c r="T280" s="30">
        <f t="shared" si="55"/>
        <v>40.814399999999999</v>
      </c>
      <c r="U280" s="37">
        <v>1.1000000000000001</v>
      </c>
      <c r="V280" s="30">
        <f t="shared" si="53"/>
        <v>54.439733333333344</v>
      </c>
      <c r="W280" s="25">
        <v>78</v>
      </c>
      <c r="X280" s="31">
        <f t="shared" si="43"/>
        <v>420.24</v>
      </c>
      <c r="Y280" s="25">
        <v>309</v>
      </c>
      <c r="Z280" s="25">
        <v>18</v>
      </c>
      <c r="AA280" s="25">
        <v>250</v>
      </c>
      <c r="AB280" s="37">
        <v>0.8</v>
      </c>
      <c r="AC280" s="30">
        <f t="shared" si="54"/>
        <v>160</v>
      </c>
      <c r="AD280" s="31">
        <f t="shared" si="44"/>
        <v>2</v>
      </c>
      <c r="AE280" s="31">
        <f t="shared" si="45"/>
        <v>8</v>
      </c>
      <c r="AF280" s="31">
        <f t="shared" si="46"/>
        <v>6</v>
      </c>
      <c r="AG280" s="31" t="str">
        <f t="shared" si="47"/>
        <v/>
      </c>
      <c r="AH280" s="31">
        <f t="shared" si="48"/>
        <v>7</v>
      </c>
      <c r="AI280" s="31" t="str">
        <f t="shared" si="49"/>
        <v/>
      </c>
      <c r="AJ280" s="25">
        <v>10</v>
      </c>
      <c r="AK280" s="25">
        <v>6</v>
      </c>
      <c r="AL280" s="25">
        <v>7</v>
      </c>
      <c r="AM280" s="23" t="s">
        <v>207</v>
      </c>
      <c r="AN280" s="23" t="s">
        <v>92</v>
      </c>
      <c r="AO280" s="25" t="s">
        <v>111</v>
      </c>
      <c r="AR280" s="32" t="str">
        <f t="shared" si="50"/>
        <v>4 doors</v>
      </c>
      <c r="AT280" s="23" t="s">
        <v>32</v>
      </c>
      <c r="AU280" s="23" t="str">
        <f t="shared" si="56"/>
        <v>CC</v>
      </c>
      <c r="AV280" s="34">
        <f t="shared" si="51"/>
        <v>5900</v>
      </c>
      <c r="AW280" s="23">
        <v>59</v>
      </c>
      <c r="AX280" s="23">
        <v>0</v>
      </c>
      <c r="AY280" s="23">
        <v>0</v>
      </c>
    </row>
    <row r="281" spans="1:51">
      <c r="A281" s="25" t="s">
        <v>119</v>
      </c>
      <c r="D281" s="23">
        <v>2</v>
      </c>
      <c r="E281" s="25" t="s">
        <v>30</v>
      </c>
      <c r="F281" s="25" t="s">
        <v>308</v>
      </c>
      <c r="G281" s="23" t="s">
        <v>27</v>
      </c>
      <c r="H281" s="23" t="s">
        <v>202</v>
      </c>
      <c r="I281" s="25">
        <v>1992</v>
      </c>
      <c r="J281" s="35">
        <v>30</v>
      </c>
      <c r="K281" s="35">
        <v>40</v>
      </c>
      <c r="L281" s="35">
        <v>20</v>
      </c>
      <c r="M281" s="25">
        <v>5</v>
      </c>
      <c r="N281" s="25">
        <v>5</v>
      </c>
      <c r="R281" s="30">
        <f t="shared" si="42"/>
        <v>10</v>
      </c>
      <c r="S281" s="37">
        <v>1.2</v>
      </c>
      <c r="T281" s="30">
        <f t="shared" si="55"/>
        <v>27.233142857142859</v>
      </c>
      <c r="U281" s="37">
        <v>1.1000000000000001</v>
      </c>
      <c r="V281" s="30">
        <f t="shared" si="53"/>
        <v>37.760380952380956</v>
      </c>
      <c r="W281" s="25">
        <v>130</v>
      </c>
      <c r="X281" s="31">
        <f t="shared" si="43"/>
        <v>319.60000000000002</v>
      </c>
      <c r="Y281" s="25">
        <v>235</v>
      </c>
      <c r="Z281" s="25">
        <v>12</v>
      </c>
      <c r="AA281" s="25">
        <v>68</v>
      </c>
      <c r="AB281" s="37">
        <v>0.8</v>
      </c>
      <c r="AC281" s="30">
        <f t="shared" si="54"/>
        <v>120</v>
      </c>
      <c r="AD281" s="31">
        <f t="shared" si="44"/>
        <v>3</v>
      </c>
      <c r="AE281" s="31">
        <f t="shared" si="45"/>
        <v>8</v>
      </c>
      <c r="AF281" s="31" t="str">
        <f t="shared" si="46"/>
        <v/>
      </c>
      <c r="AG281" s="31" t="str">
        <f t="shared" si="47"/>
        <v/>
      </c>
      <c r="AH281" s="31" t="str">
        <f t="shared" si="48"/>
        <v/>
      </c>
      <c r="AI281" s="31" t="str">
        <f t="shared" si="49"/>
        <v/>
      </c>
      <c r="AJ281" s="25">
        <v>11</v>
      </c>
      <c r="AK281" s="25">
        <v>0</v>
      </c>
      <c r="AL281" s="25">
        <v>0</v>
      </c>
      <c r="AM281" s="23" t="s">
        <v>208</v>
      </c>
      <c r="AN281" s="23" t="s">
        <v>92</v>
      </c>
      <c r="AO281" s="25" t="s">
        <v>119</v>
      </c>
      <c r="AR281" s="32" t="str">
        <f t="shared" si="50"/>
        <v>2 doors</v>
      </c>
      <c r="AT281" s="23" t="s">
        <v>47</v>
      </c>
      <c r="AU281" s="23" t="str">
        <f t="shared" si="56"/>
        <v>CC</v>
      </c>
      <c r="AV281" s="34">
        <f t="shared" si="51"/>
        <v>7000</v>
      </c>
      <c r="AW281" s="23">
        <v>70</v>
      </c>
      <c r="AX281" s="23">
        <v>0</v>
      </c>
      <c r="AY281" s="23">
        <v>0</v>
      </c>
    </row>
    <row r="282" spans="1:51">
      <c r="A282" s="25" t="s">
        <v>119</v>
      </c>
      <c r="D282" s="23">
        <v>2</v>
      </c>
      <c r="E282" s="25" t="s">
        <v>42</v>
      </c>
      <c r="F282" s="25" t="s">
        <v>304</v>
      </c>
      <c r="G282" s="23" t="s">
        <v>27</v>
      </c>
      <c r="H282" s="23" t="s">
        <v>202</v>
      </c>
      <c r="I282" s="25">
        <v>1992</v>
      </c>
      <c r="J282" s="35">
        <v>30</v>
      </c>
      <c r="K282" s="35">
        <v>40</v>
      </c>
      <c r="L282" s="35">
        <v>20</v>
      </c>
      <c r="M282" s="25">
        <v>5</v>
      </c>
      <c r="N282" s="25">
        <v>5</v>
      </c>
      <c r="R282" s="30">
        <f t="shared" si="42"/>
        <v>10</v>
      </c>
      <c r="S282" s="37">
        <v>1.2</v>
      </c>
      <c r="T282" s="30">
        <f t="shared" si="55"/>
        <v>27.233142857142859</v>
      </c>
      <c r="U282" s="37">
        <v>1.1000000000000001</v>
      </c>
      <c r="V282" s="30">
        <f t="shared" si="53"/>
        <v>37.760380952380956</v>
      </c>
      <c r="W282" s="25">
        <v>130</v>
      </c>
      <c r="X282" s="31">
        <f t="shared" si="43"/>
        <v>319.60000000000002</v>
      </c>
      <c r="Y282" s="25">
        <v>235</v>
      </c>
      <c r="Z282" s="25">
        <v>12</v>
      </c>
      <c r="AA282" s="25">
        <v>68</v>
      </c>
      <c r="AB282" s="37">
        <v>0.8</v>
      </c>
      <c r="AC282" s="30">
        <f t="shared" si="54"/>
        <v>120</v>
      </c>
      <c r="AD282" s="31">
        <f t="shared" si="44"/>
        <v>3</v>
      </c>
      <c r="AE282" s="31">
        <f t="shared" si="45"/>
        <v>8</v>
      </c>
      <c r="AF282" s="31" t="str">
        <f t="shared" si="46"/>
        <v/>
      </c>
      <c r="AG282" s="31" t="str">
        <f t="shared" si="47"/>
        <v/>
      </c>
      <c r="AH282" s="31" t="str">
        <f t="shared" si="48"/>
        <v/>
      </c>
      <c r="AI282" s="31" t="str">
        <f t="shared" si="49"/>
        <v/>
      </c>
      <c r="AJ282" s="25">
        <v>11</v>
      </c>
      <c r="AK282" s="25">
        <v>0</v>
      </c>
      <c r="AL282" s="25">
        <v>0</v>
      </c>
      <c r="AM282" s="23" t="s">
        <v>208</v>
      </c>
      <c r="AN282" s="23" t="s">
        <v>92</v>
      </c>
      <c r="AO282" s="25" t="s">
        <v>119</v>
      </c>
      <c r="AR282" s="32" t="str">
        <f t="shared" si="50"/>
        <v>2 doors</v>
      </c>
      <c r="AT282" s="23" t="s">
        <v>47</v>
      </c>
      <c r="AU282" s="23" t="str">
        <f t="shared" si="56"/>
        <v>CC</v>
      </c>
      <c r="AV282" s="34">
        <f t="shared" si="51"/>
        <v>7000.01</v>
      </c>
      <c r="AW282" s="23">
        <v>70</v>
      </c>
      <c r="AX282" s="23">
        <v>0</v>
      </c>
      <c r="AY282" s="23">
        <v>1</v>
      </c>
    </row>
    <row r="283" spans="1:51">
      <c r="A283" s="25" t="s">
        <v>119</v>
      </c>
      <c r="D283" s="23">
        <v>2</v>
      </c>
      <c r="E283" s="25" t="s">
        <v>214</v>
      </c>
      <c r="F283" s="25" t="s">
        <v>46</v>
      </c>
      <c r="G283" s="23" t="s">
        <v>27</v>
      </c>
      <c r="H283" s="23" t="s">
        <v>202</v>
      </c>
      <c r="I283" s="25">
        <v>1992</v>
      </c>
      <c r="J283" s="35">
        <v>30</v>
      </c>
      <c r="K283" s="35">
        <v>40</v>
      </c>
      <c r="L283" s="35">
        <v>20</v>
      </c>
      <c r="M283" s="25">
        <v>5</v>
      </c>
      <c r="N283" s="25">
        <v>5</v>
      </c>
      <c r="R283" s="30">
        <f t="shared" si="42"/>
        <v>10</v>
      </c>
      <c r="S283" s="37">
        <v>1.2</v>
      </c>
      <c r="T283" s="30">
        <f t="shared" si="55"/>
        <v>27.233142857142859</v>
      </c>
      <c r="U283" s="37">
        <v>1.1000000000000001</v>
      </c>
      <c r="V283" s="30">
        <f t="shared" si="53"/>
        <v>37.760380952380956</v>
      </c>
      <c r="W283" s="25">
        <v>130</v>
      </c>
      <c r="X283" s="31">
        <f t="shared" si="43"/>
        <v>319.60000000000002</v>
      </c>
      <c r="Y283" s="25">
        <v>235</v>
      </c>
      <c r="Z283" s="25">
        <v>12</v>
      </c>
      <c r="AA283" s="25">
        <v>68</v>
      </c>
      <c r="AB283" s="37">
        <v>0.8</v>
      </c>
      <c r="AC283" s="30">
        <f t="shared" si="54"/>
        <v>120</v>
      </c>
      <c r="AD283" s="31">
        <f t="shared" si="44"/>
        <v>3</v>
      </c>
      <c r="AE283" s="31">
        <f t="shared" si="45"/>
        <v>8</v>
      </c>
      <c r="AF283" s="31" t="str">
        <f t="shared" si="46"/>
        <v/>
      </c>
      <c r="AG283" s="31" t="str">
        <f t="shared" si="47"/>
        <v/>
      </c>
      <c r="AH283" s="31" t="str">
        <f t="shared" si="48"/>
        <v/>
      </c>
      <c r="AI283" s="31" t="str">
        <f t="shared" si="49"/>
        <v/>
      </c>
      <c r="AJ283" s="25">
        <v>11</v>
      </c>
      <c r="AK283" s="25">
        <v>0</v>
      </c>
      <c r="AL283" s="25">
        <v>0</v>
      </c>
      <c r="AM283" s="23" t="s">
        <v>208</v>
      </c>
      <c r="AN283" s="23" t="s">
        <v>92</v>
      </c>
      <c r="AO283" s="25" t="s">
        <v>119</v>
      </c>
      <c r="AR283" s="32" t="str">
        <f t="shared" si="50"/>
        <v>2 doors</v>
      </c>
      <c r="AT283" s="23" t="s">
        <v>47</v>
      </c>
      <c r="AU283" s="23" t="str">
        <f t="shared" si="56"/>
        <v>Hungary</v>
      </c>
      <c r="AV283" s="34">
        <f t="shared" si="51"/>
        <v>7000.02</v>
      </c>
      <c r="AW283" s="23">
        <v>70</v>
      </c>
      <c r="AX283" s="23">
        <v>0</v>
      </c>
      <c r="AY283" s="23">
        <v>2</v>
      </c>
    </row>
    <row r="284" spans="1:51">
      <c r="A284" s="25" t="s">
        <v>119</v>
      </c>
      <c r="D284" s="23">
        <v>2</v>
      </c>
      <c r="E284" s="25" t="s">
        <v>215</v>
      </c>
      <c r="F284" s="25" t="s">
        <v>46</v>
      </c>
      <c r="G284" s="23" t="s">
        <v>27</v>
      </c>
      <c r="H284" s="23" t="s">
        <v>202</v>
      </c>
      <c r="I284" s="25">
        <v>1992</v>
      </c>
      <c r="J284" s="35">
        <v>30</v>
      </c>
      <c r="K284" s="35">
        <v>40</v>
      </c>
      <c r="L284" s="35">
        <v>20</v>
      </c>
      <c r="M284" s="25">
        <v>5</v>
      </c>
      <c r="N284" s="25">
        <v>5</v>
      </c>
      <c r="R284" s="30">
        <f t="shared" si="42"/>
        <v>10</v>
      </c>
      <c r="S284" s="37">
        <v>1.2</v>
      </c>
      <c r="T284" s="30">
        <f t="shared" si="55"/>
        <v>27.233142857142859</v>
      </c>
      <c r="U284" s="37">
        <v>1.1000000000000001</v>
      </c>
      <c r="V284" s="30">
        <f t="shared" si="53"/>
        <v>37.760380952380956</v>
      </c>
      <c r="W284" s="25">
        <v>130</v>
      </c>
      <c r="X284" s="31">
        <f t="shared" si="43"/>
        <v>319.60000000000002</v>
      </c>
      <c r="Y284" s="25">
        <v>235</v>
      </c>
      <c r="Z284" s="25">
        <v>12</v>
      </c>
      <c r="AA284" s="25">
        <v>68</v>
      </c>
      <c r="AB284" s="37">
        <v>0.8</v>
      </c>
      <c r="AC284" s="30">
        <f t="shared" si="54"/>
        <v>120</v>
      </c>
      <c r="AD284" s="31">
        <f t="shared" si="44"/>
        <v>3</v>
      </c>
      <c r="AE284" s="31">
        <f t="shared" si="45"/>
        <v>8</v>
      </c>
      <c r="AF284" s="31" t="str">
        <f t="shared" si="46"/>
        <v/>
      </c>
      <c r="AG284" s="31" t="str">
        <f t="shared" si="47"/>
        <v/>
      </c>
      <c r="AH284" s="31" t="str">
        <f t="shared" si="48"/>
        <v/>
      </c>
      <c r="AI284" s="31" t="str">
        <f t="shared" si="49"/>
        <v/>
      </c>
      <c r="AJ284" s="25">
        <v>11</v>
      </c>
      <c r="AK284" s="25">
        <v>0</v>
      </c>
      <c r="AL284" s="25">
        <v>0</v>
      </c>
      <c r="AM284" s="23" t="s">
        <v>208</v>
      </c>
      <c r="AN284" s="23" t="s">
        <v>92</v>
      </c>
      <c r="AO284" s="25" t="s">
        <v>119</v>
      </c>
      <c r="AR284" s="32" t="str">
        <f t="shared" si="50"/>
        <v>2 doors</v>
      </c>
      <c r="AT284" s="23" t="s">
        <v>47</v>
      </c>
      <c r="AU284" s="23" t="str">
        <f t="shared" si="56"/>
        <v>Hungary</v>
      </c>
      <c r="AV284" s="34">
        <f t="shared" si="51"/>
        <v>7000.03</v>
      </c>
      <c r="AW284" s="23">
        <v>70</v>
      </c>
      <c r="AX284" s="23">
        <v>0</v>
      </c>
      <c r="AY284" s="23">
        <v>3</v>
      </c>
    </row>
    <row r="285" spans="1:51">
      <c r="A285" s="25" t="s">
        <v>112</v>
      </c>
      <c r="D285" s="23">
        <v>2</v>
      </c>
      <c r="E285" s="25" t="s">
        <v>30</v>
      </c>
      <c r="F285" s="25" t="s">
        <v>302</v>
      </c>
      <c r="G285" s="23" t="s">
        <v>27</v>
      </c>
      <c r="H285" s="23" t="s">
        <v>193</v>
      </c>
      <c r="I285" s="25">
        <v>1998</v>
      </c>
      <c r="J285" s="35">
        <v>30</v>
      </c>
      <c r="K285" s="35">
        <v>40</v>
      </c>
      <c r="L285" s="35">
        <v>20</v>
      </c>
      <c r="M285" s="25">
        <v>4</v>
      </c>
      <c r="N285" s="25">
        <v>4</v>
      </c>
      <c r="R285" s="30">
        <f t="shared" si="42"/>
        <v>8</v>
      </c>
      <c r="S285" s="37">
        <v>1.2</v>
      </c>
      <c r="T285" s="30">
        <f t="shared" si="55"/>
        <v>15.085714285714285</v>
      </c>
      <c r="U285" s="37">
        <v>1.1000000000000001</v>
      </c>
      <c r="V285" s="30">
        <f t="shared" si="53"/>
        <v>20.289238095238101</v>
      </c>
      <c r="W285" s="25">
        <v>117</v>
      </c>
      <c r="X285" s="31">
        <f t="shared" si="43"/>
        <v>170</v>
      </c>
      <c r="Y285" s="25">
        <v>125</v>
      </c>
      <c r="Z285" s="25">
        <v>7</v>
      </c>
      <c r="AA285" s="25">
        <v>26</v>
      </c>
      <c r="AB285" s="37">
        <v>0.8</v>
      </c>
      <c r="AC285" s="30">
        <f t="shared" si="54"/>
        <v>80</v>
      </c>
      <c r="AD285" s="31">
        <f t="shared" si="44"/>
        <v>8</v>
      </c>
      <c r="AE285" s="31" t="str">
        <f t="shared" si="45"/>
        <v/>
      </c>
      <c r="AF285" s="31" t="str">
        <f t="shared" si="46"/>
        <v/>
      </c>
      <c r="AG285" s="31" t="str">
        <f t="shared" si="47"/>
        <v/>
      </c>
      <c r="AH285" s="31" t="str">
        <f t="shared" si="48"/>
        <v/>
      </c>
      <c r="AI285" s="31" t="str">
        <f t="shared" si="49"/>
        <v/>
      </c>
      <c r="AJ285" s="25">
        <v>8</v>
      </c>
      <c r="AK285" s="25">
        <v>0</v>
      </c>
      <c r="AL285" s="25">
        <v>0</v>
      </c>
      <c r="AM285" s="23" t="s">
        <v>208</v>
      </c>
      <c r="AN285" s="23" t="s">
        <v>92</v>
      </c>
      <c r="AO285" s="25" t="s">
        <v>112</v>
      </c>
      <c r="AR285" s="32" t="str">
        <f t="shared" si="50"/>
        <v>2 doors</v>
      </c>
      <c r="AT285" s="23" t="s">
        <v>48</v>
      </c>
      <c r="AU285" s="23" t="str">
        <f t="shared" si="56"/>
        <v>CC</v>
      </c>
      <c r="AV285" s="34">
        <f t="shared" si="51"/>
        <v>7040</v>
      </c>
      <c r="AW285" s="23">
        <v>70</v>
      </c>
      <c r="AX285" s="23">
        <v>40</v>
      </c>
      <c r="AY285" s="23">
        <v>0</v>
      </c>
    </row>
    <row r="286" spans="1:51">
      <c r="A286" s="25" t="s">
        <v>112</v>
      </c>
      <c r="D286" s="23">
        <v>2</v>
      </c>
      <c r="E286" s="25" t="s">
        <v>211</v>
      </c>
      <c r="F286" s="25" t="s">
        <v>211</v>
      </c>
      <c r="G286" s="23" t="s">
        <v>27</v>
      </c>
      <c r="H286" s="23" t="s">
        <v>193</v>
      </c>
      <c r="I286" s="25">
        <v>1998</v>
      </c>
      <c r="J286" s="35">
        <v>30</v>
      </c>
      <c r="K286" s="35">
        <v>40</v>
      </c>
      <c r="L286" s="35">
        <v>20</v>
      </c>
      <c r="M286" s="25">
        <v>4</v>
      </c>
      <c r="N286" s="25">
        <v>4</v>
      </c>
      <c r="R286" s="30">
        <f t="shared" si="42"/>
        <v>8</v>
      </c>
      <c r="S286" s="37">
        <v>1.2</v>
      </c>
      <c r="T286" s="30">
        <f t="shared" si="55"/>
        <v>15.085714285714285</v>
      </c>
      <c r="U286" s="37">
        <v>1.1000000000000001</v>
      </c>
      <c r="V286" s="30">
        <f t="shared" si="53"/>
        <v>20.289238095238101</v>
      </c>
      <c r="W286" s="25">
        <v>117</v>
      </c>
      <c r="X286" s="31">
        <f t="shared" si="43"/>
        <v>170</v>
      </c>
      <c r="Y286" s="25">
        <v>125</v>
      </c>
      <c r="Z286" s="25">
        <v>7</v>
      </c>
      <c r="AA286" s="25">
        <v>26</v>
      </c>
      <c r="AB286" s="37">
        <v>0.8</v>
      </c>
      <c r="AC286" s="30">
        <f t="shared" si="54"/>
        <v>80</v>
      </c>
      <c r="AD286" s="31">
        <f t="shared" si="44"/>
        <v>8</v>
      </c>
      <c r="AE286" s="31" t="str">
        <f t="shared" si="45"/>
        <v/>
      </c>
      <c r="AF286" s="31" t="str">
        <f t="shared" si="46"/>
        <v/>
      </c>
      <c r="AG286" s="31" t="str">
        <f t="shared" si="47"/>
        <v/>
      </c>
      <c r="AH286" s="31" t="str">
        <f t="shared" si="48"/>
        <v/>
      </c>
      <c r="AI286" s="31" t="str">
        <f t="shared" si="49"/>
        <v/>
      </c>
      <c r="AJ286" s="25">
        <v>8</v>
      </c>
      <c r="AK286" s="25">
        <v>0</v>
      </c>
      <c r="AL286" s="25">
        <v>0</v>
      </c>
      <c r="AM286" s="23" t="s">
        <v>208</v>
      </c>
      <c r="AN286" s="23" t="s">
        <v>92</v>
      </c>
      <c r="AO286" s="25" t="s">
        <v>112</v>
      </c>
      <c r="AR286" s="32" t="str">
        <f t="shared" si="50"/>
        <v>2 doors</v>
      </c>
      <c r="AT286" s="23" t="s">
        <v>48</v>
      </c>
      <c r="AU286" s="23" t="str">
        <f t="shared" si="56"/>
        <v>Hungary</v>
      </c>
      <c r="AV286" s="34">
        <f t="shared" si="51"/>
        <v>7040.01</v>
      </c>
      <c r="AW286" s="23">
        <v>70</v>
      </c>
      <c r="AX286" s="23">
        <v>40</v>
      </c>
      <c r="AY286" s="23">
        <v>1</v>
      </c>
    </row>
    <row r="287" spans="1:51">
      <c r="A287" s="25" t="s">
        <v>118</v>
      </c>
      <c r="D287" s="23">
        <v>2</v>
      </c>
      <c r="E287" s="25" t="s">
        <v>30</v>
      </c>
      <c r="F287" s="25" t="s">
        <v>302</v>
      </c>
      <c r="G287" s="23" t="s">
        <v>27</v>
      </c>
      <c r="H287" s="23" t="s">
        <v>200</v>
      </c>
      <c r="I287" s="25">
        <v>1993</v>
      </c>
      <c r="J287" s="35">
        <v>30</v>
      </c>
      <c r="K287" s="35">
        <v>40</v>
      </c>
      <c r="L287" s="35">
        <v>20</v>
      </c>
      <c r="M287" s="25">
        <v>14</v>
      </c>
      <c r="N287" s="25">
        <v>12</v>
      </c>
      <c r="R287" s="30">
        <f t="shared" si="42"/>
        <v>26</v>
      </c>
      <c r="S287" s="37">
        <v>1</v>
      </c>
      <c r="T287" s="30">
        <f t="shared" si="55"/>
        <v>23.361142857142859</v>
      </c>
      <c r="U287" s="37">
        <v>1</v>
      </c>
      <c r="V287" s="30">
        <f t="shared" si="53"/>
        <v>34.591809523809523</v>
      </c>
      <c r="W287" s="25">
        <v>112</v>
      </c>
      <c r="X287" s="31">
        <f t="shared" si="43"/>
        <v>310.08000000000004</v>
      </c>
      <c r="Y287" s="25">
        <v>228</v>
      </c>
      <c r="Z287" s="25">
        <v>12</v>
      </c>
      <c r="AA287" s="25">
        <v>79</v>
      </c>
      <c r="AB287" s="37">
        <v>1</v>
      </c>
      <c r="AC287" s="30">
        <f t="shared" si="54"/>
        <v>185</v>
      </c>
      <c r="AD287" s="31">
        <f t="shared" si="44"/>
        <v>3</v>
      </c>
      <c r="AE287" s="31">
        <f t="shared" si="45"/>
        <v>8</v>
      </c>
      <c r="AF287" s="31" t="str">
        <f t="shared" si="46"/>
        <v/>
      </c>
      <c r="AG287" s="31" t="str">
        <f t="shared" si="47"/>
        <v/>
      </c>
      <c r="AH287" s="31" t="str">
        <f t="shared" si="48"/>
        <v/>
      </c>
      <c r="AI287" s="31" t="str">
        <f t="shared" si="49"/>
        <v/>
      </c>
      <c r="AJ287" s="25">
        <v>11</v>
      </c>
      <c r="AK287" s="25">
        <v>0</v>
      </c>
      <c r="AL287" s="25">
        <v>0</v>
      </c>
      <c r="AM287" s="23" t="s">
        <v>208</v>
      </c>
      <c r="AN287" s="23" t="s">
        <v>92</v>
      </c>
      <c r="AO287" s="25" t="s">
        <v>118</v>
      </c>
      <c r="AR287" s="32" t="str">
        <f t="shared" si="50"/>
        <v>2 doors</v>
      </c>
      <c r="AT287" s="23" t="s">
        <v>33</v>
      </c>
      <c r="AU287" s="23" t="str">
        <f t="shared" si="56"/>
        <v>CC</v>
      </c>
      <c r="AV287" s="34">
        <f t="shared" si="51"/>
        <v>7100</v>
      </c>
      <c r="AW287" s="23">
        <v>71</v>
      </c>
      <c r="AX287" s="23">
        <v>0</v>
      </c>
      <c r="AY287" s="23">
        <v>0</v>
      </c>
    </row>
    <row r="288" spans="1:51">
      <c r="A288" s="25" t="s">
        <v>118</v>
      </c>
      <c r="D288" s="23">
        <v>2</v>
      </c>
      <c r="E288" s="25" t="s">
        <v>42</v>
      </c>
      <c r="F288" s="25" t="s">
        <v>302</v>
      </c>
      <c r="G288" s="23" t="s">
        <v>27</v>
      </c>
      <c r="H288" s="23" t="s">
        <v>200</v>
      </c>
      <c r="I288" s="25">
        <v>1993</v>
      </c>
      <c r="J288" s="35">
        <v>30</v>
      </c>
      <c r="K288" s="35">
        <v>40</v>
      </c>
      <c r="L288" s="35">
        <v>20</v>
      </c>
      <c r="M288" s="25">
        <v>14</v>
      </c>
      <c r="N288" s="25">
        <v>12</v>
      </c>
      <c r="R288" s="30">
        <f t="shared" si="42"/>
        <v>26</v>
      </c>
      <c r="S288" s="37">
        <v>1</v>
      </c>
      <c r="T288" s="30">
        <f t="shared" si="55"/>
        <v>23.361142857142859</v>
      </c>
      <c r="U288" s="37">
        <v>1</v>
      </c>
      <c r="V288" s="30">
        <f t="shared" ref="V288:V351" si="57">U288*IF(G288="petrol", ((Z288+(AA288/15)+X288)/10*1.5)+(R288/14), IF(G288="diesel", ((Z288+(AA288/15)+X288)/10)+(R288/14), IF(OR(G288="cng", G288="hybrid"), ((Z288+(AA288/15)+X288)/10*0.8)+(R288/14), IF(OR(G288="hydrogen", G288="electric"), ((Z288+(AA288/15)+X288)/10*0.5)+(R288/14), 0))))</f>
        <v>34.591809523809523</v>
      </c>
      <c r="W288" s="25">
        <v>112</v>
      </c>
      <c r="X288" s="31">
        <f t="shared" si="43"/>
        <v>310.08000000000004</v>
      </c>
      <c r="Y288" s="25">
        <v>228</v>
      </c>
      <c r="Z288" s="25">
        <v>12</v>
      </c>
      <c r="AA288" s="25">
        <v>79</v>
      </c>
      <c r="AB288" s="37">
        <v>1</v>
      </c>
      <c r="AC288" s="30">
        <f t="shared" ref="AC288:AC332" si="58">AB288*IF(AT288="Regional", 185, IF(AT288="Intercity", 150, IF(AT288="Tourist", 100, 200)))</f>
        <v>185</v>
      </c>
      <c r="AD288" s="31">
        <f t="shared" si="44"/>
        <v>3</v>
      </c>
      <c r="AE288" s="31">
        <f t="shared" si="45"/>
        <v>8</v>
      </c>
      <c r="AF288" s="31" t="str">
        <f t="shared" si="46"/>
        <v/>
      </c>
      <c r="AG288" s="31" t="str">
        <f t="shared" si="47"/>
        <v/>
      </c>
      <c r="AH288" s="31" t="str">
        <f t="shared" si="48"/>
        <v/>
      </c>
      <c r="AI288" s="31" t="str">
        <f t="shared" si="49"/>
        <v/>
      </c>
      <c r="AJ288" s="25">
        <v>11</v>
      </c>
      <c r="AK288" s="25">
        <v>0</v>
      </c>
      <c r="AL288" s="25">
        <v>0</v>
      </c>
      <c r="AM288" s="23" t="s">
        <v>208</v>
      </c>
      <c r="AN288" s="23" t="s">
        <v>92</v>
      </c>
      <c r="AO288" s="25" t="s">
        <v>118</v>
      </c>
      <c r="AR288" s="32" t="str">
        <f t="shared" si="50"/>
        <v>2 doors</v>
      </c>
      <c r="AT288" s="23" t="s">
        <v>33</v>
      </c>
      <c r="AU288" s="23" t="str">
        <f t="shared" si="56"/>
        <v>CC</v>
      </c>
      <c r="AV288" s="34">
        <f t="shared" si="51"/>
        <v>7100.01</v>
      </c>
      <c r="AW288" s="23">
        <v>71</v>
      </c>
      <c r="AX288" s="23">
        <v>0</v>
      </c>
      <c r="AY288" s="23">
        <v>1</v>
      </c>
    </row>
    <row r="289" spans="1:51">
      <c r="A289" s="25" t="s">
        <v>118</v>
      </c>
      <c r="D289" s="23">
        <v>2</v>
      </c>
      <c r="E289" s="25" t="s">
        <v>46</v>
      </c>
      <c r="F289" s="25" t="s">
        <v>46</v>
      </c>
      <c r="G289" s="23" t="s">
        <v>27</v>
      </c>
      <c r="H289" s="23" t="s">
        <v>200</v>
      </c>
      <c r="I289" s="25">
        <v>1993</v>
      </c>
      <c r="J289" s="35">
        <v>30</v>
      </c>
      <c r="K289" s="35">
        <v>40</v>
      </c>
      <c r="L289" s="35">
        <v>20</v>
      </c>
      <c r="M289" s="25">
        <v>14</v>
      </c>
      <c r="N289" s="25">
        <v>12</v>
      </c>
      <c r="R289" s="30">
        <f t="shared" si="42"/>
        <v>26</v>
      </c>
      <c r="S289" s="37">
        <v>1</v>
      </c>
      <c r="T289" s="30">
        <f t="shared" si="55"/>
        <v>23.361142857142859</v>
      </c>
      <c r="U289" s="37">
        <v>1</v>
      </c>
      <c r="V289" s="30">
        <f t="shared" si="57"/>
        <v>34.591809523809523</v>
      </c>
      <c r="W289" s="25">
        <v>112</v>
      </c>
      <c r="X289" s="31">
        <f t="shared" si="43"/>
        <v>310.08000000000004</v>
      </c>
      <c r="Y289" s="25">
        <v>228</v>
      </c>
      <c r="Z289" s="25">
        <v>12</v>
      </c>
      <c r="AA289" s="25">
        <v>79</v>
      </c>
      <c r="AB289" s="37">
        <v>1</v>
      </c>
      <c r="AC289" s="30">
        <f t="shared" si="58"/>
        <v>185</v>
      </c>
      <c r="AD289" s="31">
        <f t="shared" si="44"/>
        <v>3</v>
      </c>
      <c r="AE289" s="31">
        <f t="shared" si="45"/>
        <v>8</v>
      </c>
      <c r="AF289" s="31" t="str">
        <f t="shared" si="46"/>
        <v/>
      </c>
      <c r="AG289" s="31" t="str">
        <f t="shared" si="47"/>
        <v/>
      </c>
      <c r="AH289" s="31" t="str">
        <f t="shared" si="48"/>
        <v/>
      </c>
      <c r="AI289" s="31" t="str">
        <f t="shared" si="49"/>
        <v/>
      </c>
      <c r="AJ289" s="25">
        <v>11</v>
      </c>
      <c r="AK289" s="25">
        <v>0</v>
      </c>
      <c r="AL289" s="25">
        <v>0</v>
      </c>
      <c r="AM289" s="23" t="s">
        <v>208</v>
      </c>
      <c r="AN289" s="23" t="s">
        <v>92</v>
      </c>
      <c r="AO289" s="25" t="s">
        <v>118</v>
      </c>
      <c r="AR289" s="32" t="str">
        <f t="shared" si="50"/>
        <v>2 doors</v>
      </c>
      <c r="AT289" s="23" t="s">
        <v>33</v>
      </c>
      <c r="AU289" s="23" t="str">
        <f t="shared" si="56"/>
        <v>Hungary</v>
      </c>
      <c r="AV289" s="34">
        <f t="shared" si="51"/>
        <v>7100.02</v>
      </c>
      <c r="AW289" s="23">
        <v>71</v>
      </c>
      <c r="AX289" s="23">
        <v>0</v>
      </c>
      <c r="AY289" s="23">
        <v>2</v>
      </c>
    </row>
    <row r="290" spans="1:51">
      <c r="A290" s="25" t="s">
        <v>118</v>
      </c>
      <c r="C290" s="23" t="s">
        <v>130</v>
      </c>
      <c r="D290" s="23">
        <v>2</v>
      </c>
      <c r="E290" s="25" t="s">
        <v>30</v>
      </c>
      <c r="F290" s="25" t="s">
        <v>302</v>
      </c>
      <c r="G290" s="23" t="s">
        <v>27</v>
      </c>
      <c r="H290" s="23" t="s">
        <v>201</v>
      </c>
      <c r="I290" s="25">
        <v>1993</v>
      </c>
      <c r="J290" s="35">
        <v>30</v>
      </c>
      <c r="K290" s="35">
        <v>40</v>
      </c>
      <c r="L290" s="35">
        <v>20</v>
      </c>
      <c r="M290" s="25">
        <v>14</v>
      </c>
      <c r="N290" s="25">
        <v>12</v>
      </c>
      <c r="R290" s="30">
        <f t="shared" si="42"/>
        <v>26</v>
      </c>
      <c r="S290" s="37">
        <v>1.2</v>
      </c>
      <c r="T290" s="30">
        <f t="shared" si="55"/>
        <v>28.033371428571431</v>
      </c>
      <c r="U290" s="37">
        <v>1.1000000000000001</v>
      </c>
      <c r="V290" s="30">
        <f t="shared" si="57"/>
        <v>38.050990476190478</v>
      </c>
      <c r="W290" s="25">
        <v>112</v>
      </c>
      <c r="X290" s="31">
        <f t="shared" si="43"/>
        <v>310.08000000000004</v>
      </c>
      <c r="Y290" s="25">
        <v>228</v>
      </c>
      <c r="Z290" s="25">
        <v>12</v>
      </c>
      <c r="AA290" s="25">
        <v>79</v>
      </c>
      <c r="AB290" s="37">
        <v>0.8</v>
      </c>
      <c r="AC290" s="30">
        <f t="shared" si="58"/>
        <v>148</v>
      </c>
      <c r="AD290" s="31">
        <f t="shared" si="44"/>
        <v>3</v>
      </c>
      <c r="AE290" s="31">
        <f t="shared" si="45"/>
        <v>8</v>
      </c>
      <c r="AF290" s="31" t="str">
        <f t="shared" si="46"/>
        <v/>
      </c>
      <c r="AG290" s="31" t="str">
        <f t="shared" si="47"/>
        <v/>
      </c>
      <c r="AH290" s="31" t="str">
        <f t="shared" si="48"/>
        <v/>
      </c>
      <c r="AI290" s="31" t="str">
        <f t="shared" si="49"/>
        <v/>
      </c>
      <c r="AJ290" s="25">
        <v>11</v>
      </c>
      <c r="AK290" s="25">
        <v>0</v>
      </c>
      <c r="AL290" s="25">
        <v>0</v>
      </c>
      <c r="AM290" s="23" t="s">
        <v>208</v>
      </c>
      <c r="AN290" s="23" t="s">
        <v>92</v>
      </c>
      <c r="AO290" s="25" t="s">
        <v>118</v>
      </c>
      <c r="AR290" s="32" t="str">
        <f t="shared" si="50"/>
        <v>2 doors</v>
      </c>
      <c r="AT290" s="23" t="s">
        <v>33</v>
      </c>
      <c r="AU290" s="23" t="str">
        <f t="shared" si="56"/>
        <v>CC</v>
      </c>
      <c r="AV290" s="34">
        <f t="shared" si="51"/>
        <v>7130</v>
      </c>
      <c r="AW290" s="23">
        <v>71</v>
      </c>
      <c r="AX290" s="23">
        <v>30</v>
      </c>
      <c r="AY290" s="23">
        <v>0</v>
      </c>
    </row>
    <row r="291" spans="1:51">
      <c r="A291" s="25" t="s">
        <v>118</v>
      </c>
      <c r="C291" s="23" t="s">
        <v>130</v>
      </c>
      <c r="D291" s="23">
        <v>2</v>
      </c>
      <c r="E291" s="25" t="s">
        <v>42</v>
      </c>
      <c r="F291" s="25" t="s">
        <v>302</v>
      </c>
      <c r="G291" s="23" t="s">
        <v>27</v>
      </c>
      <c r="H291" s="23" t="s">
        <v>201</v>
      </c>
      <c r="I291" s="25">
        <v>1993</v>
      </c>
      <c r="J291" s="35">
        <v>30</v>
      </c>
      <c r="K291" s="35">
        <v>40</v>
      </c>
      <c r="L291" s="35">
        <v>20</v>
      </c>
      <c r="M291" s="25">
        <v>14</v>
      </c>
      <c r="N291" s="25">
        <v>12</v>
      </c>
      <c r="R291" s="30">
        <f t="shared" si="42"/>
        <v>26</v>
      </c>
      <c r="S291" s="37">
        <v>1.2</v>
      </c>
      <c r="T291" s="30">
        <f t="shared" si="55"/>
        <v>28.033371428571431</v>
      </c>
      <c r="U291" s="37">
        <v>1.1000000000000001</v>
      </c>
      <c r="V291" s="30">
        <f t="shared" si="57"/>
        <v>38.050990476190478</v>
      </c>
      <c r="W291" s="25">
        <v>112</v>
      </c>
      <c r="X291" s="31">
        <f t="shared" si="43"/>
        <v>310.08000000000004</v>
      </c>
      <c r="Y291" s="25">
        <v>228</v>
      </c>
      <c r="Z291" s="25">
        <v>12</v>
      </c>
      <c r="AA291" s="25">
        <v>79</v>
      </c>
      <c r="AB291" s="37">
        <v>0.8</v>
      </c>
      <c r="AC291" s="30">
        <f t="shared" si="58"/>
        <v>148</v>
      </c>
      <c r="AD291" s="31">
        <f t="shared" si="44"/>
        <v>3</v>
      </c>
      <c r="AE291" s="31">
        <f t="shared" si="45"/>
        <v>8</v>
      </c>
      <c r="AF291" s="31" t="str">
        <f t="shared" si="46"/>
        <v/>
      </c>
      <c r="AG291" s="31" t="str">
        <f t="shared" si="47"/>
        <v/>
      </c>
      <c r="AH291" s="31" t="str">
        <f t="shared" si="48"/>
        <v/>
      </c>
      <c r="AI291" s="31" t="str">
        <f t="shared" si="49"/>
        <v/>
      </c>
      <c r="AJ291" s="25">
        <v>11</v>
      </c>
      <c r="AK291" s="25">
        <v>0</v>
      </c>
      <c r="AL291" s="25">
        <v>0</v>
      </c>
      <c r="AM291" s="23" t="s">
        <v>208</v>
      </c>
      <c r="AN291" s="23" t="s">
        <v>92</v>
      </c>
      <c r="AO291" s="25" t="s">
        <v>118</v>
      </c>
      <c r="AR291" s="32" t="str">
        <f t="shared" si="50"/>
        <v>2 doors</v>
      </c>
      <c r="AT291" s="23" t="s">
        <v>33</v>
      </c>
      <c r="AU291" s="23" t="str">
        <f t="shared" si="56"/>
        <v>CC</v>
      </c>
      <c r="AV291" s="34">
        <f t="shared" si="51"/>
        <v>7130.01</v>
      </c>
      <c r="AW291" s="23">
        <v>71</v>
      </c>
      <c r="AX291" s="23">
        <v>30</v>
      </c>
      <c r="AY291" s="23">
        <v>1</v>
      </c>
    </row>
    <row r="292" spans="1:51">
      <c r="A292" s="25" t="s">
        <v>118</v>
      </c>
      <c r="C292" s="23" t="s">
        <v>130</v>
      </c>
      <c r="D292" s="23">
        <v>2</v>
      </c>
      <c r="E292" s="25" t="s">
        <v>46</v>
      </c>
      <c r="F292" s="25" t="s">
        <v>46</v>
      </c>
      <c r="G292" s="23" t="s">
        <v>27</v>
      </c>
      <c r="H292" s="23" t="s">
        <v>201</v>
      </c>
      <c r="I292" s="25">
        <v>1993</v>
      </c>
      <c r="J292" s="35">
        <v>30</v>
      </c>
      <c r="K292" s="35">
        <v>40</v>
      </c>
      <c r="L292" s="35">
        <v>20</v>
      </c>
      <c r="M292" s="25">
        <v>14</v>
      </c>
      <c r="N292" s="25">
        <v>12</v>
      </c>
      <c r="R292" s="30">
        <f t="shared" si="42"/>
        <v>26</v>
      </c>
      <c r="S292" s="37">
        <v>1.2</v>
      </c>
      <c r="T292" s="30">
        <f t="shared" si="55"/>
        <v>28.033371428571431</v>
      </c>
      <c r="U292" s="37">
        <v>1.1000000000000001</v>
      </c>
      <c r="V292" s="30">
        <f t="shared" si="57"/>
        <v>38.050990476190478</v>
      </c>
      <c r="W292" s="25">
        <v>112</v>
      </c>
      <c r="X292" s="31">
        <f t="shared" si="43"/>
        <v>310.08000000000004</v>
      </c>
      <c r="Y292" s="25">
        <v>228</v>
      </c>
      <c r="Z292" s="25">
        <v>12</v>
      </c>
      <c r="AA292" s="25">
        <v>79</v>
      </c>
      <c r="AB292" s="37">
        <v>0.8</v>
      </c>
      <c r="AC292" s="30">
        <f t="shared" si="58"/>
        <v>148</v>
      </c>
      <c r="AD292" s="31">
        <f t="shared" si="44"/>
        <v>3</v>
      </c>
      <c r="AE292" s="31">
        <f t="shared" si="45"/>
        <v>8</v>
      </c>
      <c r="AF292" s="31" t="str">
        <f t="shared" si="46"/>
        <v/>
      </c>
      <c r="AG292" s="31" t="str">
        <f t="shared" si="47"/>
        <v/>
      </c>
      <c r="AH292" s="31" t="str">
        <f t="shared" si="48"/>
        <v/>
      </c>
      <c r="AI292" s="31" t="str">
        <f t="shared" si="49"/>
        <v/>
      </c>
      <c r="AJ292" s="25">
        <v>11</v>
      </c>
      <c r="AK292" s="25">
        <v>0</v>
      </c>
      <c r="AL292" s="25">
        <v>0</v>
      </c>
      <c r="AM292" s="23" t="s">
        <v>208</v>
      </c>
      <c r="AN292" s="23" t="s">
        <v>92</v>
      </c>
      <c r="AO292" s="25" t="s">
        <v>118</v>
      </c>
      <c r="AR292" s="32" t="str">
        <f t="shared" si="50"/>
        <v>2 doors</v>
      </c>
      <c r="AT292" s="23" t="s">
        <v>33</v>
      </c>
      <c r="AU292" s="23" t="str">
        <f t="shared" si="56"/>
        <v>Hungary</v>
      </c>
      <c r="AV292" s="34">
        <f t="shared" si="51"/>
        <v>7130.02</v>
      </c>
      <c r="AW292" s="23">
        <v>71</v>
      </c>
      <c r="AX292" s="23">
        <v>30</v>
      </c>
      <c r="AY292" s="23">
        <v>2</v>
      </c>
    </row>
    <row r="293" spans="1:51">
      <c r="A293" s="25" t="s">
        <v>115</v>
      </c>
      <c r="D293" s="23">
        <v>2</v>
      </c>
      <c r="E293" s="25" t="s">
        <v>30</v>
      </c>
      <c r="F293" s="25" t="s">
        <v>302</v>
      </c>
      <c r="G293" s="23" t="s">
        <v>27</v>
      </c>
      <c r="H293" s="23" t="s">
        <v>197</v>
      </c>
      <c r="I293" s="25">
        <v>2001</v>
      </c>
      <c r="J293" s="35">
        <v>30</v>
      </c>
      <c r="K293" s="35">
        <v>40</v>
      </c>
      <c r="L293" s="35">
        <v>20</v>
      </c>
      <c r="M293" s="25">
        <v>14</v>
      </c>
      <c r="N293" s="25">
        <v>14</v>
      </c>
      <c r="R293" s="30">
        <f t="shared" si="42"/>
        <v>28</v>
      </c>
      <c r="S293" s="37">
        <v>1.2</v>
      </c>
      <c r="T293" s="30">
        <f t="shared" si="55"/>
        <v>22.219200000000001</v>
      </c>
      <c r="U293" s="37">
        <v>1.1000000000000001</v>
      </c>
      <c r="V293" s="30">
        <f t="shared" si="57"/>
        <v>28.18053333333334</v>
      </c>
      <c r="W293" s="25">
        <v>98</v>
      </c>
      <c r="X293" s="31">
        <f t="shared" si="43"/>
        <v>220.32000000000002</v>
      </c>
      <c r="Y293" s="25">
        <v>162</v>
      </c>
      <c r="Z293" s="25">
        <v>11</v>
      </c>
      <c r="AA293" s="25">
        <v>73</v>
      </c>
      <c r="AB293" s="37">
        <v>0.8</v>
      </c>
      <c r="AC293" s="30">
        <f t="shared" si="58"/>
        <v>148</v>
      </c>
      <c r="AD293" s="31">
        <f t="shared" si="44"/>
        <v>3</v>
      </c>
      <c r="AE293" s="31">
        <f t="shared" si="45"/>
        <v>8</v>
      </c>
      <c r="AF293" s="31" t="str">
        <f t="shared" si="46"/>
        <v/>
      </c>
      <c r="AG293" s="31" t="str">
        <f t="shared" si="47"/>
        <v/>
      </c>
      <c r="AH293" s="31" t="str">
        <f t="shared" si="48"/>
        <v/>
      </c>
      <c r="AI293" s="31" t="str">
        <f t="shared" si="49"/>
        <v/>
      </c>
      <c r="AJ293" s="25">
        <v>11</v>
      </c>
      <c r="AK293" s="25">
        <v>0</v>
      </c>
      <c r="AL293" s="25">
        <v>0</v>
      </c>
      <c r="AM293" s="23" t="s">
        <v>208</v>
      </c>
      <c r="AN293" s="23" t="s">
        <v>92</v>
      </c>
      <c r="AO293" s="25" t="s">
        <v>118</v>
      </c>
      <c r="AP293" s="28" t="s">
        <v>209</v>
      </c>
      <c r="AR293" s="32" t="str">
        <f t="shared" si="50"/>
        <v>2 doors</v>
      </c>
      <c r="AT293" s="23" t="s">
        <v>33</v>
      </c>
      <c r="AU293" s="23" t="str">
        <f t="shared" si="56"/>
        <v>CC</v>
      </c>
      <c r="AV293" s="34">
        <f t="shared" si="51"/>
        <v>7150</v>
      </c>
      <c r="AW293" s="23">
        <v>71</v>
      </c>
      <c r="AX293" s="23">
        <v>50</v>
      </c>
      <c r="AY293" s="23">
        <v>0</v>
      </c>
    </row>
    <row r="294" spans="1:51">
      <c r="A294" s="25" t="s">
        <v>115</v>
      </c>
      <c r="D294" s="23">
        <v>2</v>
      </c>
      <c r="E294" s="25" t="s">
        <v>46</v>
      </c>
      <c r="F294" s="25" t="s">
        <v>46</v>
      </c>
      <c r="G294" s="23" t="s">
        <v>27</v>
      </c>
      <c r="H294" s="23" t="s">
        <v>197</v>
      </c>
      <c r="I294" s="25">
        <v>2001</v>
      </c>
      <c r="J294" s="35">
        <v>30</v>
      </c>
      <c r="K294" s="35">
        <v>40</v>
      </c>
      <c r="L294" s="35">
        <v>20</v>
      </c>
      <c r="M294" s="25">
        <v>14</v>
      </c>
      <c r="N294" s="25">
        <v>14</v>
      </c>
      <c r="R294" s="30">
        <f t="shared" si="42"/>
        <v>28</v>
      </c>
      <c r="S294" s="37">
        <v>1.2</v>
      </c>
      <c r="T294" s="30">
        <f t="shared" si="55"/>
        <v>22.219200000000001</v>
      </c>
      <c r="U294" s="37">
        <v>1.1000000000000001</v>
      </c>
      <c r="V294" s="30">
        <f t="shared" si="57"/>
        <v>28.18053333333334</v>
      </c>
      <c r="W294" s="25">
        <v>98</v>
      </c>
      <c r="X294" s="31">
        <f t="shared" si="43"/>
        <v>220.32000000000002</v>
      </c>
      <c r="Y294" s="25">
        <v>162</v>
      </c>
      <c r="Z294" s="25">
        <v>11</v>
      </c>
      <c r="AA294" s="25">
        <v>73</v>
      </c>
      <c r="AB294" s="37">
        <v>0.8</v>
      </c>
      <c r="AC294" s="30">
        <f t="shared" si="58"/>
        <v>148</v>
      </c>
      <c r="AD294" s="31">
        <f t="shared" si="44"/>
        <v>3</v>
      </c>
      <c r="AE294" s="31">
        <f t="shared" si="45"/>
        <v>8</v>
      </c>
      <c r="AF294" s="31" t="str">
        <f t="shared" si="46"/>
        <v/>
      </c>
      <c r="AG294" s="31" t="str">
        <f t="shared" si="47"/>
        <v/>
      </c>
      <c r="AH294" s="31" t="str">
        <f t="shared" si="48"/>
        <v/>
      </c>
      <c r="AI294" s="31" t="str">
        <f t="shared" si="49"/>
        <v/>
      </c>
      <c r="AJ294" s="25">
        <v>11</v>
      </c>
      <c r="AK294" s="25">
        <v>0</v>
      </c>
      <c r="AL294" s="25">
        <v>0</v>
      </c>
      <c r="AM294" s="23" t="s">
        <v>208</v>
      </c>
      <c r="AN294" s="23" t="s">
        <v>92</v>
      </c>
      <c r="AO294" s="25" t="s">
        <v>118</v>
      </c>
      <c r="AP294" s="28" t="s">
        <v>209</v>
      </c>
      <c r="AR294" s="32" t="str">
        <f t="shared" si="50"/>
        <v>2 doors</v>
      </c>
      <c r="AT294" s="23" t="s">
        <v>33</v>
      </c>
      <c r="AU294" s="23" t="str">
        <f t="shared" si="56"/>
        <v>Hungary</v>
      </c>
      <c r="AV294" s="34">
        <f t="shared" si="51"/>
        <v>7150.01</v>
      </c>
      <c r="AW294" s="23">
        <v>71</v>
      </c>
      <c r="AX294" s="23">
        <v>50</v>
      </c>
      <c r="AY294" s="23">
        <v>1</v>
      </c>
    </row>
    <row r="295" spans="1:51">
      <c r="A295" s="25" t="s">
        <v>117</v>
      </c>
      <c r="D295" s="23">
        <v>3</v>
      </c>
      <c r="E295" s="25" t="s">
        <v>30</v>
      </c>
      <c r="F295" s="25" t="s">
        <v>302</v>
      </c>
      <c r="G295" s="23" t="s">
        <v>27</v>
      </c>
      <c r="H295" s="23" t="s">
        <v>199</v>
      </c>
      <c r="I295" s="25">
        <v>2006</v>
      </c>
      <c r="J295" s="35">
        <v>30</v>
      </c>
      <c r="K295" s="35">
        <v>40</v>
      </c>
      <c r="L295" s="35">
        <v>20</v>
      </c>
      <c r="M295" s="25">
        <v>14</v>
      </c>
      <c r="N295" s="25">
        <v>14</v>
      </c>
      <c r="O295" s="25">
        <v>7</v>
      </c>
      <c r="R295" s="30">
        <f t="shared" si="42"/>
        <v>35</v>
      </c>
      <c r="S295" s="37">
        <v>1.2</v>
      </c>
      <c r="T295" s="30">
        <f t="shared" ref="T295:T358" si="59">S295*IF(OR(G295="diesel", G295="petrol"), ((Z295+(X295/10))/2)+(R295/14), IF(OR(G295="cng", G295="hybrid"), ((Z295+(X295/10))/2*1.2)+(R295/14), IF(OR(G295="hydrogen", G295="electric"), ((Z295+(X295/10))/2*1.5)+(R295/14), 0)))</f>
        <v>32.832000000000001</v>
      </c>
      <c r="U295" s="37">
        <v>1.1000000000000001</v>
      </c>
      <c r="V295" s="30">
        <f t="shared" si="57"/>
        <v>45.510666666666673</v>
      </c>
      <c r="W295" s="25">
        <v>104</v>
      </c>
      <c r="X295" s="31">
        <f t="shared" si="43"/>
        <v>367.20000000000005</v>
      </c>
      <c r="Y295" s="25">
        <v>270</v>
      </c>
      <c r="Z295" s="25">
        <v>13</v>
      </c>
      <c r="AA295" s="25">
        <v>128</v>
      </c>
      <c r="AB295" s="37">
        <v>0.8</v>
      </c>
      <c r="AC295" s="30">
        <f t="shared" si="58"/>
        <v>148</v>
      </c>
      <c r="AD295" s="31">
        <f t="shared" si="44"/>
        <v>5</v>
      </c>
      <c r="AE295" s="31">
        <f t="shared" si="45"/>
        <v>8</v>
      </c>
      <c r="AF295" s="31" t="str">
        <f t="shared" si="46"/>
        <v/>
      </c>
      <c r="AG295" s="31" t="str">
        <f t="shared" si="47"/>
        <v/>
      </c>
      <c r="AH295" s="31" t="str">
        <f t="shared" si="48"/>
        <v/>
      </c>
      <c r="AI295" s="31" t="str">
        <f t="shared" si="49"/>
        <v/>
      </c>
      <c r="AJ295" s="25">
        <v>13</v>
      </c>
      <c r="AK295" s="25">
        <v>0</v>
      </c>
      <c r="AL295" s="25">
        <v>0</v>
      </c>
      <c r="AM295" s="23" t="s">
        <v>208</v>
      </c>
      <c r="AN295" s="23" t="s">
        <v>92</v>
      </c>
      <c r="AO295" s="25" t="s">
        <v>227</v>
      </c>
      <c r="AP295" s="28" t="s">
        <v>209</v>
      </c>
      <c r="AR295" s="32" t="str">
        <f t="shared" si="50"/>
        <v>3 doors</v>
      </c>
      <c r="AT295" s="23" t="s">
        <v>33</v>
      </c>
      <c r="AU295" s="23" t="str">
        <f t="shared" si="56"/>
        <v>CC</v>
      </c>
      <c r="AV295" s="34">
        <f t="shared" si="51"/>
        <v>7170</v>
      </c>
      <c r="AW295" s="23">
        <v>71</v>
      </c>
      <c r="AX295" s="23">
        <v>70</v>
      </c>
      <c r="AY295" s="23">
        <v>0</v>
      </c>
    </row>
    <row r="296" spans="1:51">
      <c r="A296" s="25" t="s">
        <v>117</v>
      </c>
      <c r="D296" s="23">
        <v>3</v>
      </c>
      <c r="E296" s="25" t="s">
        <v>46</v>
      </c>
      <c r="F296" s="25" t="s">
        <v>46</v>
      </c>
      <c r="G296" s="23" t="s">
        <v>27</v>
      </c>
      <c r="H296" s="23" t="s">
        <v>199</v>
      </c>
      <c r="I296" s="25">
        <v>2006</v>
      </c>
      <c r="J296" s="35">
        <v>30</v>
      </c>
      <c r="K296" s="35">
        <v>40</v>
      </c>
      <c r="L296" s="35">
        <v>20</v>
      </c>
      <c r="M296" s="25">
        <v>14</v>
      </c>
      <c r="N296" s="25">
        <v>14</v>
      </c>
      <c r="O296" s="25">
        <v>7</v>
      </c>
      <c r="R296" s="30">
        <f t="shared" si="42"/>
        <v>35</v>
      </c>
      <c r="S296" s="37">
        <v>1.2</v>
      </c>
      <c r="T296" s="30">
        <f t="shared" si="59"/>
        <v>32.832000000000001</v>
      </c>
      <c r="U296" s="37">
        <v>1.1000000000000001</v>
      </c>
      <c r="V296" s="30">
        <f t="shared" si="57"/>
        <v>45.510666666666673</v>
      </c>
      <c r="W296" s="25">
        <v>104</v>
      </c>
      <c r="X296" s="31">
        <f t="shared" si="43"/>
        <v>367.20000000000005</v>
      </c>
      <c r="Y296" s="25">
        <v>270</v>
      </c>
      <c r="Z296" s="25">
        <v>13</v>
      </c>
      <c r="AA296" s="25">
        <v>128</v>
      </c>
      <c r="AB296" s="37">
        <v>0.8</v>
      </c>
      <c r="AC296" s="30">
        <f t="shared" si="58"/>
        <v>148</v>
      </c>
      <c r="AD296" s="31">
        <f t="shared" si="44"/>
        <v>5</v>
      </c>
      <c r="AE296" s="31">
        <f t="shared" si="45"/>
        <v>8</v>
      </c>
      <c r="AF296" s="31" t="str">
        <f t="shared" si="46"/>
        <v/>
      </c>
      <c r="AG296" s="31" t="str">
        <f t="shared" si="47"/>
        <v/>
      </c>
      <c r="AH296" s="31" t="str">
        <f t="shared" si="48"/>
        <v/>
      </c>
      <c r="AI296" s="31" t="str">
        <f t="shared" si="49"/>
        <v/>
      </c>
      <c r="AJ296" s="25">
        <v>13</v>
      </c>
      <c r="AK296" s="25">
        <v>0</v>
      </c>
      <c r="AL296" s="25">
        <v>0</v>
      </c>
      <c r="AM296" s="23" t="s">
        <v>208</v>
      </c>
      <c r="AN296" s="23" t="s">
        <v>92</v>
      </c>
      <c r="AO296" s="25" t="s">
        <v>227</v>
      </c>
      <c r="AP296" s="28" t="s">
        <v>209</v>
      </c>
      <c r="AR296" s="32" t="str">
        <f t="shared" si="50"/>
        <v>3 doors</v>
      </c>
      <c r="AT296" s="23" t="s">
        <v>33</v>
      </c>
      <c r="AU296" s="23" t="str">
        <f t="shared" si="56"/>
        <v>Hungary</v>
      </c>
      <c r="AV296" s="34">
        <f t="shared" si="51"/>
        <v>7170.01</v>
      </c>
      <c r="AW296" s="23">
        <v>71</v>
      </c>
      <c r="AX296" s="23">
        <v>70</v>
      </c>
      <c r="AY296" s="23">
        <v>1</v>
      </c>
    </row>
    <row r="297" spans="1:51">
      <c r="A297" s="25" t="s">
        <v>116</v>
      </c>
      <c r="D297" s="23">
        <v>3</v>
      </c>
      <c r="E297" s="25" t="s">
        <v>30</v>
      </c>
      <c r="F297" s="25" t="s">
        <v>302</v>
      </c>
      <c r="G297" s="23" t="s">
        <v>27</v>
      </c>
      <c r="H297" s="23" t="s">
        <v>198</v>
      </c>
      <c r="I297" s="25">
        <v>1997</v>
      </c>
      <c r="J297" s="35">
        <v>30</v>
      </c>
      <c r="K297" s="35">
        <v>40</v>
      </c>
      <c r="L297" s="35">
        <v>20</v>
      </c>
      <c r="M297" s="25">
        <v>12</v>
      </c>
      <c r="N297" s="25">
        <v>12</v>
      </c>
      <c r="O297" s="25">
        <v>12</v>
      </c>
      <c r="R297" s="30">
        <f t="shared" si="42"/>
        <v>36</v>
      </c>
      <c r="S297" s="37">
        <v>1.2</v>
      </c>
      <c r="T297" s="30">
        <f t="shared" si="59"/>
        <v>34.933714285714288</v>
      </c>
      <c r="U297" s="37">
        <v>1.1000000000000001</v>
      </c>
      <c r="V297" s="30">
        <f t="shared" si="57"/>
        <v>47.429904761904766</v>
      </c>
      <c r="W297" s="25">
        <v>94</v>
      </c>
      <c r="X297" s="31">
        <f t="shared" si="43"/>
        <v>380.8</v>
      </c>
      <c r="Y297" s="25">
        <v>280</v>
      </c>
      <c r="Z297" s="25">
        <v>15</v>
      </c>
      <c r="AA297" s="25">
        <v>145</v>
      </c>
      <c r="AB297" s="37">
        <v>0.8</v>
      </c>
      <c r="AC297" s="30">
        <f t="shared" si="58"/>
        <v>148</v>
      </c>
      <c r="AD297" s="31">
        <f t="shared" si="44"/>
        <v>2</v>
      </c>
      <c r="AE297" s="31">
        <f t="shared" si="45"/>
        <v>8</v>
      </c>
      <c r="AF297" s="31">
        <f t="shared" si="46"/>
        <v>7</v>
      </c>
      <c r="AG297" s="31" t="str">
        <f t="shared" si="47"/>
        <v/>
      </c>
      <c r="AH297" s="31" t="str">
        <f t="shared" si="48"/>
        <v/>
      </c>
      <c r="AI297" s="31" t="str">
        <f t="shared" si="49"/>
        <v/>
      </c>
      <c r="AJ297" s="25">
        <v>10</v>
      </c>
      <c r="AK297" s="25">
        <v>7</v>
      </c>
      <c r="AL297" s="25">
        <v>0</v>
      </c>
      <c r="AM297" s="23" t="s">
        <v>208</v>
      </c>
      <c r="AN297" s="23" t="s">
        <v>92</v>
      </c>
      <c r="AO297" s="25" t="s">
        <v>116</v>
      </c>
      <c r="AR297" s="32" t="str">
        <f t="shared" si="50"/>
        <v>3 doors</v>
      </c>
      <c r="AT297" s="23" t="s">
        <v>33</v>
      </c>
      <c r="AU297" s="23" t="str">
        <f t="shared" si="56"/>
        <v>CC</v>
      </c>
      <c r="AV297" s="34">
        <f t="shared" si="51"/>
        <v>7180</v>
      </c>
      <c r="AW297" s="23">
        <v>71</v>
      </c>
      <c r="AX297" s="23">
        <v>80</v>
      </c>
      <c r="AY297" s="23">
        <v>0</v>
      </c>
    </row>
    <row r="298" spans="1:51">
      <c r="A298" s="25" t="s">
        <v>116</v>
      </c>
      <c r="D298" s="23">
        <v>3</v>
      </c>
      <c r="E298" s="25" t="s">
        <v>46</v>
      </c>
      <c r="F298" s="25" t="s">
        <v>46</v>
      </c>
      <c r="G298" s="23" t="s">
        <v>27</v>
      </c>
      <c r="H298" s="23" t="s">
        <v>198</v>
      </c>
      <c r="I298" s="25">
        <v>1997</v>
      </c>
      <c r="J298" s="35">
        <v>30</v>
      </c>
      <c r="K298" s="35">
        <v>40</v>
      </c>
      <c r="L298" s="35">
        <v>20</v>
      </c>
      <c r="M298" s="25">
        <v>12</v>
      </c>
      <c r="N298" s="25">
        <v>12</v>
      </c>
      <c r="O298" s="25">
        <v>12</v>
      </c>
      <c r="R298" s="30">
        <f t="shared" si="42"/>
        <v>36</v>
      </c>
      <c r="S298" s="37">
        <v>1.2</v>
      </c>
      <c r="T298" s="30">
        <f t="shared" si="59"/>
        <v>34.933714285714288</v>
      </c>
      <c r="U298" s="37">
        <v>1.1000000000000001</v>
      </c>
      <c r="V298" s="30">
        <f t="shared" si="57"/>
        <v>47.429904761904766</v>
      </c>
      <c r="W298" s="25">
        <v>94</v>
      </c>
      <c r="X298" s="31">
        <f t="shared" si="43"/>
        <v>380.8</v>
      </c>
      <c r="Y298" s="25">
        <v>280</v>
      </c>
      <c r="Z298" s="25">
        <v>15</v>
      </c>
      <c r="AA298" s="25">
        <v>145</v>
      </c>
      <c r="AB298" s="37">
        <v>0.8</v>
      </c>
      <c r="AC298" s="30">
        <f t="shared" si="58"/>
        <v>148</v>
      </c>
      <c r="AD298" s="31">
        <f t="shared" si="44"/>
        <v>2</v>
      </c>
      <c r="AE298" s="31">
        <f t="shared" si="45"/>
        <v>8</v>
      </c>
      <c r="AF298" s="31">
        <f t="shared" si="46"/>
        <v>7</v>
      </c>
      <c r="AG298" s="31" t="str">
        <f t="shared" si="47"/>
        <v/>
      </c>
      <c r="AH298" s="31" t="str">
        <f t="shared" si="48"/>
        <v/>
      </c>
      <c r="AI298" s="31" t="str">
        <f t="shared" si="49"/>
        <v/>
      </c>
      <c r="AJ298" s="25">
        <v>10</v>
      </c>
      <c r="AK298" s="25">
        <v>7</v>
      </c>
      <c r="AL298" s="25">
        <v>0</v>
      </c>
      <c r="AM298" s="23" t="s">
        <v>208</v>
      </c>
      <c r="AN298" s="23" t="s">
        <v>92</v>
      </c>
      <c r="AO298" s="25" t="s">
        <v>116</v>
      </c>
      <c r="AR298" s="32" t="str">
        <f t="shared" si="50"/>
        <v>3 doors</v>
      </c>
      <c r="AT298" s="23" t="s">
        <v>33</v>
      </c>
      <c r="AU298" s="23" t="str">
        <f t="shared" si="56"/>
        <v>Hungary</v>
      </c>
      <c r="AV298" s="34">
        <f t="shared" si="51"/>
        <v>7180.01</v>
      </c>
      <c r="AW298" s="23">
        <v>71</v>
      </c>
      <c r="AX298" s="23">
        <v>80</v>
      </c>
      <c r="AY298" s="23">
        <v>1</v>
      </c>
    </row>
    <row r="299" spans="1:51">
      <c r="A299" s="25" t="s">
        <v>113</v>
      </c>
      <c r="D299" s="23">
        <v>2</v>
      </c>
      <c r="E299" s="25" t="s">
        <v>30</v>
      </c>
      <c r="F299" s="25" t="s">
        <v>302</v>
      </c>
      <c r="G299" s="23" t="s">
        <v>27</v>
      </c>
      <c r="H299" s="23" t="s">
        <v>194</v>
      </c>
      <c r="I299" s="25">
        <v>1997</v>
      </c>
      <c r="J299" s="35">
        <v>30</v>
      </c>
      <c r="K299" s="35">
        <v>40</v>
      </c>
      <c r="L299" s="35">
        <v>20</v>
      </c>
      <c r="M299" s="25">
        <v>7</v>
      </c>
      <c r="N299" s="25">
        <v>14</v>
      </c>
      <c r="R299" s="30">
        <f t="shared" si="42"/>
        <v>21</v>
      </c>
      <c r="S299" s="37">
        <v>1.2</v>
      </c>
      <c r="T299" s="30">
        <f t="shared" si="59"/>
        <v>15.3024</v>
      </c>
      <c r="U299" s="37">
        <v>1.1000000000000001</v>
      </c>
      <c r="V299" s="30">
        <f t="shared" si="57"/>
        <v>19.738400000000006</v>
      </c>
      <c r="W299" s="25">
        <v>70</v>
      </c>
      <c r="X299" s="31">
        <f t="shared" si="43"/>
        <v>155.04000000000002</v>
      </c>
      <c r="Y299" s="25">
        <v>114</v>
      </c>
      <c r="Z299" s="25">
        <v>7</v>
      </c>
      <c r="AA299" s="25">
        <v>36</v>
      </c>
      <c r="AB299" s="37">
        <v>0.8</v>
      </c>
      <c r="AC299" s="30">
        <f t="shared" si="58"/>
        <v>148</v>
      </c>
      <c r="AD299" s="31">
        <f t="shared" si="44"/>
        <v>8</v>
      </c>
      <c r="AE299" s="31" t="str">
        <f t="shared" si="45"/>
        <v/>
      </c>
      <c r="AF299" s="31" t="str">
        <f t="shared" si="46"/>
        <v/>
      </c>
      <c r="AG299" s="31" t="str">
        <f t="shared" si="47"/>
        <v/>
      </c>
      <c r="AH299" s="31" t="str">
        <f t="shared" si="48"/>
        <v/>
      </c>
      <c r="AI299" s="31" t="str">
        <f t="shared" si="49"/>
        <v/>
      </c>
      <c r="AJ299" s="25">
        <v>8</v>
      </c>
      <c r="AK299" s="25">
        <v>0</v>
      </c>
      <c r="AL299" s="25">
        <v>0</v>
      </c>
      <c r="AM299" s="23" t="s">
        <v>208</v>
      </c>
      <c r="AN299" s="23" t="s">
        <v>92</v>
      </c>
      <c r="AO299" s="25" t="s">
        <v>113</v>
      </c>
      <c r="AR299" s="32" t="str">
        <f t="shared" si="50"/>
        <v>2 doors</v>
      </c>
      <c r="AT299" s="23" t="s">
        <v>33</v>
      </c>
      <c r="AU299" s="23" t="str">
        <f t="shared" si="56"/>
        <v>CC</v>
      </c>
      <c r="AV299" s="34">
        <f t="shared" si="51"/>
        <v>7200</v>
      </c>
      <c r="AW299" s="23">
        <v>72</v>
      </c>
      <c r="AX299" s="23">
        <v>0</v>
      </c>
      <c r="AY299" s="23">
        <v>0</v>
      </c>
    </row>
    <row r="300" spans="1:51">
      <c r="A300" s="25" t="s">
        <v>113</v>
      </c>
      <c r="C300" s="23" t="s">
        <v>129</v>
      </c>
      <c r="D300" s="23">
        <v>2</v>
      </c>
      <c r="E300" s="25" t="s">
        <v>30</v>
      </c>
      <c r="F300" s="25" t="s">
        <v>302</v>
      </c>
      <c r="G300" s="23" t="s">
        <v>27</v>
      </c>
      <c r="H300" s="23" t="s">
        <v>195</v>
      </c>
      <c r="I300" s="25">
        <v>2000</v>
      </c>
      <c r="J300" s="35">
        <v>30</v>
      </c>
      <c r="K300" s="35">
        <v>40</v>
      </c>
      <c r="L300" s="35">
        <v>20</v>
      </c>
      <c r="M300" s="25">
        <v>7</v>
      </c>
      <c r="N300" s="25">
        <v>14</v>
      </c>
      <c r="R300" s="30">
        <f t="shared" si="42"/>
        <v>21</v>
      </c>
      <c r="S300" s="37">
        <v>1.2</v>
      </c>
      <c r="T300" s="30">
        <f t="shared" si="59"/>
        <v>16.2</v>
      </c>
      <c r="U300" s="37">
        <v>1.1000000000000001</v>
      </c>
      <c r="V300" s="30">
        <f t="shared" si="57"/>
        <v>21.384000000000004</v>
      </c>
      <c r="W300" s="25">
        <v>70</v>
      </c>
      <c r="X300" s="31">
        <f t="shared" si="43"/>
        <v>170</v>
      </c>
      <c r="Y300" s="25">
        <v>125</v>
      </c>
      <c r="Z300" s="25">
        <v>7</v>
      </c>
      <c r="AA300" s="25">
        <v>36</v>
      </c>
      <c r="AB300" s="37">
        <v>0.8</v>
      </c>
      <c r="AC300" s="30">
        <f t="shared" si="58"/>
        <v>148</v>
      </c>
      <c r="AD300" s="31">
        <f t="shared" si="44"/>
        <v>8</v>
      </c>
      <c r="AE300" s="31" t="str">
        <f t="shared" si="45"/>
        <v/>
      </c>
      <c r="AF300" s="31" t="str">
        <f t="shared" si="46"/>
        <v/>
      </c>
      <c r="AG300" s="31" t="str">
        <f t="shared" si="47"/>
        <v/>
      </c>
      <c r="AH300" s="31" t="str">
        <f t="shared" si="48"/>
        <v/>
      </c>
      <c r="AI300" s="31" t="str">
        <f t="shared" si="49"/>
        <v/>
      </c>
      <c r="AJ300" s="25">
        <v>8</v>
      </c>
      <c r="AK300" s="25">
        <v>0</v>
      </c>
      <c r="AL300" s="25">
        <v>0</v>
      </c>
      <c r="AM300" s="23" t="s">
        <v>208</v>
      </c>
      <c r="AN300" s="23" t="s">
        <v>92</v>
      </c>
      <c r="AO300" s="25" t="s">
        <v>113</v>
      </c>
      <c r="AP300" s="28" t="s">
        <v>209</v>
      </c>
      <c r="AR300" s="32" t="str">
        <f t="shared" si="50"/>
        <v>2 doors</v>
      </c>
      <c r="AT300" s="23" t="s">
        <v>33</v>
      </c>
      <c r="AU300" s="23" t="str">
        <f t="shared" si="56"/>
        <v>CC</v>
      </c>
      <c r="AV300" s="34">
        <f t="shared" si="51"/>
        <v>7220</v>
      </c>
      <c r="AW300" s="23">
        <v>72</v>
      </c>
      <c r="AX300" s="23">
        <v>20</v>
      </c>
      <c r="AY300" s="23">
        <v>0</v>
      </c>
    </row>
    <row r="301" spans="1:51">
      <c r="A301" s="25" t="s">
        <v>113</v>
      </c>
      <c r="C301" s="23" t="s">
        <v>129</v>
      </c>
      <c r="D301" s="23">
        <v>2</v>
      </c>
      <c r="E301" s="25" t="s">
        <v>46</v>
      </c>
      <c r="F301" s="25" t="s">
        <v>46</v>
      </c>
      <c r="G301" s="23" t="s">
        <v>27</v>
      </c>
      <c r="H301" s="23" t="s">
        <v>195</v>
      </c>
      <c r="I301" s="25">
        <v>2000</v>
      </c>
      <c r="J301" s="35">
        <v>30</v>
      </c>
      <c r="K301" s="35">
        <v>40</v>
      </c>
      <c r="L301" s="35">
        <v>20</v>
      </c>
      <c r="M301" s="25">
        <v>7</v>
      </c>
      <c r="N301" s="25">
        <v>14</v>
      </c>
      <c r="R301" s="30">
        <f t="shared" si="42"/>
        <v>21</v>
      </c>
      <c r="S301" s="37">
        <v>1.2</v>
      </c>
      <c r="T301" s="30">
        <f t="shared" si="59"/>
        <v>16.2</v>
      </c>
      <c r="U301" s="37">
        <v>1.1000000000000001</v>
      </c>
      <c r="V301" s="30">
        <f t="shared" si="57"/>
        <v>21.384000000000004</v>
      </c>
      <c r="W301" s="25">
        <v>70</v>
      </c>
      <c r="X301" s="31">
        <f t="shared" si="43"/>
        <v>170</v>
      </c>
      <c r="Y301" s="25">
        <v>125</v>
      </c>
      <c r="Z301" s="25">
        <v>7</v>
      </c>
      <c r="AA301" s="25">
        <v>36</v>
      </c>
      <c r="AB301" s="37">
        <v>0.8</v>
      </c>
      <c r="AC301" s="30">
        <f t="shared" si="58"/>
        <v>148</v>
      </c>
      <c r="AD301" s="31">
        <f t="shared" si="44"/>
        <v>8</v>
      </c>
      <c r="AE301" s="31" t="str">
        <f t="shared" si="45"/>
        <v/>
      </c>
      <c r="AF301" s="31" t="str">
        <f t="shared" si="46"/>
        <v/>
      </c>
      <c r="AG301" s="31" t="str">
        <f t="shared" si="47"/>
        <v/>
      </c>
      <c r="AH301" s="31" t="str">
        <f t="shared" si="48"/>
        <v/>
      </c>
      <c r="AI301" s="31" t="str">
        <f t="shared" si="49"/>
        <v/>
      </c>
      <c r="AJ301" s="25">
        <v>8</v>
      </c>
      <c r="AK301" s="25">
        <v>0</v>
      </c>
      <c r="AL301" s="25">
        <v>0</v>
      </c>
      <c r="AM301" s="23" t="s">
        <v>208</v>
      </c>
      <c r="AN301" s="23" t="s">
        <v>92</v>
      </c>
      <c r="AO301" s="25" t="s">
        <v>113</v>
      </c>
      <c r="AP301" s="28" t="s">
        <v>209</v>
      </c>
      <c r="AR301" s="32" t="str">
        <f t="shared" si="50"/>
        <v>2 doors</v>
      </c>
      <c r="AT301" s="23" t="s">
        <v>33</v>
      </c>
      <c r="AU301" s="23" t="str">
        <f t="shared" si="56"/>
        <v>Hungary</v>
      </c>
      <c r="AV301" s="34">
        <f t="shared" si="51"/>
        <v>7220.01</v>
      </c>
      <c r="AW301" s="23">
        <v>72</v>
      </c>
      <c r="AX301" s="23">
        <v>20</v>
      </c>
      <c r="AY301" s="23">
        <v>1</v>
      </c>
    </row>
    <row r="302" spans="1:51">
      <c r="A302" s="25" t="s">
        <v>114</v>
      </c>
      <c r="D302" s="23">
        <v>3</v>
      </c>
      <c r="E302" s="25" t="s">
        <v>30</v>
      </c>
      <c r="F302" s="25" t="s">
        <v>305</v>
      </c>
      <c r="G302" s="23" t="s">
        <v>27</v>
      </c>
      <c r="H302" s="23" t="s">
        <v>196</v>
      </c>
      <c r="I302" s="25">
        <v>1999</v>
      </c>
      <c r="J302" s="35">
        <v>30</v>
      </c>
      <c r="K302" s="35">
        <v>40</v>
      </c>
      <c r="L302" s="35">
        <v>20</v>
      </c>
      <c r="M302" s="25">
        <v>6</v>
      </c>
      <c r="N302" s="25">
        <v>12</v>
      </c>
      <c r="O302" s="25">
        <v>6</v>
      </c>
      <c r="R302" s="30">
        <f t="shared" si="42"/>
        <v>24</v>
      </c>
      <c r="S302" s="37">
        <v>1</v>
      </c>
      <c r="T302" s="30">
        <f t="shared" si="59"/>
        <v>14.826285714285714</v>
      </c>
      <c r="U302" s="37">
        <v>1</v>
      </c>
      <c r="V302" s="30">
        <f t="shared" si="57"/>
        <v>21.144952380952382</v>
      </c>
      <c r="W302" s="25">
        <v>76</v>
      </c>
      <c r="X302" s="31">
        <f t="shared" si="43"/>
        <v>182.24</v>
      </c>
      <c r="Y302" s="25">
        <v>134</v>
      </c>
      <c r="Z302" s="25">
        <v>8</v>
      </c>
      <c r="AA302" s="25">
        <v>61</v>
      </c>
      <c r="AB302" s="37">
        <v>1</v>
      </c>
      <c r="AC302" s="30">
        <f t="shared" si="58"/>
        <v>185</v>
      </c>
      <c r="AD302" s="31">
        <f t="shared" si="44"/>
        <v>8</v>
      </c>
      <c r="AE302" s="31" t="str">
        <f t="shared" si="45"/>
        <v/>
      </c>
      <c r="AF302" s="31" t="str">
        <f t="shared" si="46"/>
        <v/>
      </c>
      <c r="AG302" s="31" t="str">
        <f t="shared" si="47"/>
        <v/>
      </c>
      <c r="AH302" s="31" t="str">
        <f t="shared" si="48"/>
        <v/>
      </c>
      <c r="AI302" s="31" t="str">
        <f t="shared" si="49"/>
        <v/>
      </c>
      <c r="AJ302" s="25">
        <v>8</v>
      </c>
      <c r="AK302" s="25">
        <v>0</v>
      </c>
      <c r="AL302" s="25">
        <v>0</v>
      </c>
      <c r="AM302" s="23" t="s">
        <v>208</v>
      </c>
      <c r="AN302" s="23" t="s">
        <v>92</v>
      </c>
      <c r="AO302" s="25" t="s">
        <v>114</v>
      </c>
      <c r="AR302" s="32" t="str">
        <f t="shared" si="50"/>
        <v>3 doors</v>
      </c>
      <c r="AS302" s="23" t="s">
        <v>247</v>
      </c>
      <c r="AT302" s="23" t="s">
        <v>33</v>
      </c>
      <c r="AU302" s="23" t="str">
        <f t="shared" si="56"/>
        <v>CC</v>
      </c>
      <c r="AV302" s="34">
        <f t="shared" si="51"/>
        <v>7240</v>
      </c>
      <c r="AW302" s="23">
        <v>72</v>
      </c>
      <c r="AX302" s="23">
        <v>40</v>
      </c>
      <c r="AY302" s="23">
        <v>0</v>
      </c>
    </row>
    <row r="303" spans="1:51">
      <c r="A303" s="25" t="s">
        <v>114</v>
      </c>
      <c r="D303" s="23">
        <v>3</v>
      </c>
      <c r="E303" s="25" t="s">
        <v>213</v>
      </c>
      <c r="F303" s="25" t="s">
        <v>213</v>
      </c>
      <c r="G303" s="23" t="s">
        <v>27</v>
      </c>
      <c r="H303" s="23" t="s">
        <v>196</v>
      </c>
      <c r="I303" s="25">
        <v>1999</v>
      </c>
      <c r="J303" s="35">
        <v>30</v>
      </c>
      <c r="K303" s="35">
        <v>40</v>
      </c>
      <c r="L303" s="35">
        <v>20</v>
      </c>
      <c r="M303" s="25">
        <v>6</v>
      </c>
      <c r="N303" s="25">
        <v>12</v>
      </c>
      <c r="O303" s="25">
        <v>6</v>
      </c>
      <c r="R303" s="30">
        <f t="shared" si="42"/>
        <v>24</v>
      </c>
      <c r="S303" s="37">
        <v>1</v>
      </c>
      <c r="T303" s="30">
        <f t="shared" si="59"/>
        <v>14.826285714285714</v>
      </c>
      <c r="U303" s="37">
        <v>1</v>
      </c>
      <c r="V303" s="30">
        <f t="shared" si="57"/>
        <v>21.144952380952382</v>
      </c>
      <c r="W303" s="25">
        <v>76</v>
      </c>
      <c r="X303" s="31">
        <f t="shared" si="43"/>
        <v>182.24</v>
      </c>
      <c r="Y303" s="25">
        <v>134</v>
      </c>
      <c r="Z303" s="25">
        <v>8</v>
      </c>
      <c r="AA303" s="25">
        <v>61</v>
      </c>
      <c r="AB303" s="37">
        <v>1</v>
      </c>
      <c r="AC303" s="30">
        <f t="shared" si="58"/>
        <v>185</v>
      </c>
      <c r="AD303" s="31">
        <f t="shared" si="44"/>
        <v>8</v>
      </c>
      <c r="AE303" s="31" t="str">
        <f t="shared" si="45"/>
        <v/>
      </c>
      <c r="AF303" s="31" t="str">
        <f t="shared" si="46"/>
        <v/>
      </c>
      <c r="AG303" s="31" t="str">
        <f t="shared" si="47"/>
        <v/>
      </c>
      <c r="AH303" s="31" t="str">
        <f t="shared" si="48"/>
        <v/>
      </c>
      <c r="AI303" s="31" t="str">
        <f t="shared" si="49"/>
        <v/>
      </c>
      <c r="AJ303" s="25">
        <v>8</v>
      </c>
      <c r="AK303" s="25">
        <v>0</v>
      </c>
      <c r="AL303" s="25">
        <v>0</v>
      </c>
      <c r="AM303" s="23" t="s">
        <v>208</v>
      </c>
      <c r="AN303" s="23" t="s">
        <v>92</v>
      </c>
      <c r="AO303" s="25" t="s">
        <v>114</v>
      </c>
      <c r="AR303" s="32" t="str">
        <f t="shared" si="50"/>
        <v>3 doors</v>
      </c>
      <c r="AS303" s="23" t="s">
        <v>247</v>
      </c>
      <c r="AT303" s="23" t="s">
        <v>33</v>
      </c>
      <c r="AU303" s="23" t="str">
        <f t="shared" si="56"/>
        <v>Hungary</v>
      </c>
      <c r="AV303" s="34">
        <f t="shared" si="51"/>
        <v>7240.01</v>
      </c>
      <c r="AW303" s="23">
        <v>72</v>
      </c>
      <c r="AX303" s="23">
        <v>40</v>
      </c>
      <c r="AY303" s="23">
        <v>1</v>
      </c>
    </row>
    <row r="304" spans="1:51">
      <c r="A304" s="25" t="s">
        <v>93</v>
      </c>
      <c r="D304" s="23">
        <v>2</v>
      </c>
      <c r="E304" s="25" t="s">
        <v>30</v>
      </c>
      <c r="F304" s="25" t="s">
        <v>308</v>
      </c>
      <c r="G304" s="23" t="s">
        <v>27</v>
      </c>
      <c r="H304" s="23" t="s">
        <v>203</v>
      </c>
      <c r="I304" s="25">
        <v>1993</v>
      </c>
      <c r="J304" s="35">
        <v>30</v>
      </c>
      <c r="K304" s="35">
        <v>40</v>
      </c>
      <c r="L304" s="35">
        <v>20</v>
      </c>
      <c r="M304" s="25">
        <v>4</v>
      </c>
      <c r="N304" s="25">
        <v>4</v>
      </c>
      <c r="R304" s="30">
        <f t="shared" si="42"/>
        <v>8</v>
      </c>
      <c r="S304" s="37">
        <v>1.2</v>
      </c>
      <c r="T304" s="30">
        <f t="shared" si="59"/>
        <v>32.476114285714289</v>
      </c>
      <c r="U304" s="37">
        <v>1.1000000000000001</v>
      </c>
      <c r="V304" s="30">
        <f t="shared" si="57"/>
        <v>46.392971428571428</v>
      </c>
      <c r="W304" s="25">
        <v>145</v>
      </c>
      <c r="X304" s="31">
        <f t="shared" si="43"/>
        <v>399.84000000000003</v>
      </c>
      <c r="Y304" s="25">
        <v>294</v>
      </c>
      <c r="Z304" s="25">
        <v>13</v>
      </c>
      <c r="AA304" s="25">
        <v>48</v>
      </c>
      <c r="AB304" s="37">
        <v>0.8</v>
      </c>
      <c r="AC304" s="30">
        <f t="shared" si="58"/>
        <v>120</v>
      </c>
      <c r="AD304" s="31">
        <f t="shared" si="44"/>
        <v>3</v>
      </c>
      <c r="AE304" s="31">
        <f t="shared" si="45"/>
        <v>8</v>
      </c>
      <c r="AF304" s="31" t="str">
        <f t="shared" si="46"/>
        <v/>
      </c>
      <c r="AG304" s="31" t="str">
        <f t="shared" si="47"/>
        <v/>
      </c>
      <c r="AH304" s="31" t="str">
        <f t="shared" si="48"/>
        <v/>
      </c>
      <c r="AI304" s="31" t="str">
        <f t="shared" si="49"/>
        <v/>
      </c>
      <c r="AJ304" s="25">
        <v>11</v>
      </c>
      <c r="AK304" s="25">
        <v>0</v>
      </c>
      <c r="AL304" s="25">
        <v>0</v>
      </c>
      <c r="AM304" s="23" t="s">
        <v>208</v>
      </c>
      <c r="AN304" s="23" t="s">
        <v>92</v>
      </c>
      <c r="AO304" s="25" t="s">
        <v>93</v>
      </c>
      <c r="AR304" s="32" t="str">
        <f t="shared" si="50"/>
        <v>2 doors</v>
      </c>
      <c r="AT304" s="23" t="s">
        <v>47</v>
      </c>
      <c r="AU304" s="23" t="str">
        <f t="shared" si="56"/>
        <v>CC</v>
      </c>
      <c r="AV304" s="34">
        <f t="shared" si="51"/>
        <v>7300</v>
      </c>
      <c r="AW304" s="23">
        <v>73</v>
      </c>
      <c r="AX304" s="23">
        <v>0</v>
      </c>
      <c r="AY304" s="23">
        <v>0</v>
      </c>
    </row>
    <row r="305" spans="1:51">
      <c r="A305" s="25" t="s">
        <v>93</v>
      </c>
      <c r="D305" s="23">
        <v>2</v>
      </c>
      <c r="E305" s="25" t="s">
        <v>46</v>
      </c>
      <c r="F305" s="25" t="s">
        <v>46</v>
      </c>
      <c r="G305" s="23" t="s">
        <v>27</v>
      </c>
      <c r="H305" s="23" t="s">
        <v>203</v>
      </c>
      <c r="I305" s="25">
        <v>1993</v>
      </c>
      <c r="J305" s="35">
        <v>30</v>
      </c>
      <c r="K305" s="35">
        <v>40</v>
      </c>
      <c r="L305" s="35">
        <v>20</v>
      </c>
      <c r="M305" s="25">
        <v>4</v>
      </c>
      <c r="N305" s="25">
        <v>4</v>
      </c>
      <c r="R305" s="30">
        <f t="shared" si="42"/>
        <v>8</v>
      </c>
      <c r="S305" s="37">
        <v>1.2</v>
      </c>
      <c r="T305" s="30">
        <f t="shared" si="59"/>
        <v>32.476114285714289</v>
      </c>
      <c r="U305" s="37">
        <v>1.1000000000000001</v>
      </c>
      <c r="V305" s="30">
        <f t="shared" si="57"/>
        <v>46.392971428571428</v>
      </c>
      <c r="W305" s="25">
        <v>145</v>
      </c>
      <c r="X305" s="31">
        <f t="shared" si="43"/>
        <v>399.84000000000003</v>
      </c>
      <c r="Y305" s="25">
        <v>294</v>
      </c>
      <c r="Z305" s="25">
        <v>13</v>
      </c>
      <c r="AA305" s="25">
        <v>48</v>
      </c>
      <c r="AB305" s="37">
        <v>0.8</v>
      </c>
      <c r="AC305" s="30">
        <f t="shared" si="58"/>
        <v>120</v>
      </c>
      <c r="AD305" s="31">
        <f t="shared" si="44"/>
        <v>3</v>
      </c>
      <c r="AE305" s="31">
        <f t="shared" si="45"/>
        <v>8</v>
      </c>
      <c r="AF305" s="31" t="str">
        <f t="shared" si="46"/>
        <v/>
      </c>
      <c r="AG305" s="31" t="str">
        <f t="shared" si="47"/>
        <v/>
      </c>
      <c r="AH305" s="31" t="str">
        <f t="shared" si="48"/>
        <v/>
      </c>
      <c r="AI305" s="31" t="str">
        <f t="shared" si="49"/>
        <v/>
      </c>
      <c r="AJ305" s="25">
        <v>11</v>
      </c>
      <c r="AK305" s="25">
        <v>0</v>
      </c>
      <c r="AL305" s="25">
        <v>0</v>
      </c>
      <c r="AM305" s="23" t="s">
        <v>208</v>
      </c>
      <c r="AN305" s="23" t="s">
        <v>92</v>
      </c>
      <c r="AO305" s="25" t="s">
        <v>93</v>
      </c>
      <c r="AR305" s="32" t="str">
        <f t="shared" si="50"/>
        <v>2 doors</v>
      </c>
      <c r="AT305" s="23" t="s">
        <v>47</v>
      </c>
      <c r="AU305" s="23" t="str">
        <f t="shared" si="56"/>
        <v>Hungary</v>
      </c>
      <c r="AV305" s="34">
        <f t="shared" si="51"/>
        <v>7300.01</v>
      </c>
      <c r="AW305" s="23">
        <v>73</v>
      </c>
      <c r="AX305" s="23">
        <v>0</v>
      </c>
      <c r="AY305" s="23">
        <v>1</v>
      </c>
    </row>
    <row r="306" spans="1:51">
      <c r="A306" s="25" t="s">
        <v>93</v>
      </c>
      <c r="D306" s="23">
        <v>2</v>
      </c>
      <c r="E306" s="25" t="s">
        <v>211</v>
      </c>
      <c r="F306" s="25" t="s">
        <v>211</v>
      </c>
      <c r="G306" s="23" t="s">
        <v>27</v>
      </c>
      <c r="H306" s="23" t="s">
        <v>203</v>
      </c>
      <c r="I306" s="25">
        <v>1993</v>
      </c>
      <c r="J306" s="35">
        <v>30</v>
      </c>
      <c r="K306" s="35">
        <v>40</v>
      </c>
      <c r="L306" s="35">
        <v>20</v>
      </c>
      <c r="M306" s="25">
        <v>4</v>
      </c>
      <c r="N306" s="25">
        <v>4</v>
      </c>
      <c r="R306" s="30">
        <f t="shared" si="42"/>
        <v>8</v>
      </c>
      <c r="S306" s="37">
        <v>1.2</v>
      </c>
      <c r="T306" s="30">
        <f t="shared" si="59"/>
        <v>32.476114285714289</v>
      </c>
      <c r="U306" s="37">
        <v>1.1000000000000001</v>
      </c>
      <c r="V306" s="30">
        <f t="shared" si="57"/>
        <v>46.392971428571428</v>
      </c>
      <c r="W306" s="25">
        <v>145</v>
      </c>
      <c r="X306" s="31">
        <f t="shared" si="43"/>
        <v>399.84000000000003</v>
      </c>
      <c r="Y306" s="25">
        <v>294</v>
      </c>
      <c r="Z306" s="25">
        <v>13</v>
      </c>
      <c r="AA306" s="25">
        <v>48</v>
      </c>
      <c r="AB306" s="37">
        <v>0.8</v>
      </c>
      <c r="AC306" s="30">
        <f t="shared" si="58"/>
        <v>120</v>
      </c>
      <c r="AD306" s="31">
        <f t="shared" si="44"/>
        <v>3</v>
      </c>
      <c r="AE306" s="31">
        <f t="shared" si="45"/>
        <v>8</v>
      </c>
      <c r="AF306" s="31" t="str">
        <f t="shared" si="46"/>
        <v/>
      </c>
      <c r="AG306" s="31" t="str">
        <f t="shared" si="47"/>
        <v/>
      </c>
      <c r="AH306" s="31" t="str">
        <f t="shared" si="48"/>
        <v/>
      </c>
      <c r="AI306" s="31" t="str">
        <f t="shared" si="49"/>
        <v/>
      </c>
      <c r="AJ306" s="25">
        <v>11</v>
      </c>
      <c r="AK306" s="25">
        <v>0</v>
      </c>
      <c r="AL306" s="25">
        <v>0</v>
      </c>
      <c r="AM306" s="23" t="s">
        <v>208</v>
      </c>
      <c r="AN306" s="23" t="s">
        <v>92</v>
      </c>
      <c r="AO306" s="25" t="s">
        <v>93</v>
      </c>
      <c r="AR306" s="32" t="str">
        <f t="shared" si="50"/>
        <v>2 doors</v>
      </c>
      <c r="AT306" s="23" t="s">
        <v>47</v>
      </c>
      <c r="AU306" s="23" t="str">
        <f t="shared" si="56"/>
        <v>Hungary</v>
      </c>
      <c r="AV306" s="34">
        <f t="shared" si="51"/>
        <v>7300.02</v>
      </c>
      <c r="AW306" s="23">
        <v>73</v>
      </c>
      <c r="AX306" s="23">
        <v>0</v>
      </c>
      <c r="AY306" s="23">
        <v>2</v>
      </c>
    </row>
    <row r="307" spans="1:51">
      <c r="A307" s="25" t="s">
        <v>120</v>
      </c>
      <c r="D307" s="23">
        <v>3</v>
      </c>
      <c r="E307" s="25" t="s">
        <v>30</v>
      </c>
      <c r="F307" s="25" t="s">
        <v>305</v>
      </c>
      <c r="G307" s="23" t="s">
        <v>27</v>
      </c>
      <c r="H307" s="23" t="s">
        <v>204</v>
      </c>
      <c r="I307" s="25">
        <v>1995</v>
      </c>
      <c r="J307" s="35">
        <v>30</v>
      </c>
      <c r="K307" s="35">
        <v>40</v>
      </c>
      <c r="L307" s="35">
        <v>20</v>
      </c>
      <c r="M307" s="25">
        <v>4</v>
      </c>
      <c r="N307" s="25">
        <v>6</v>
      </c>
      <c r="R307" s="30">
        <f t="shared" si="42"/>
        <v>10</v>
      </c>
      <c r="S307" s="37">
        <v>1.2</v>
      </c>
      <c r="T307" s="30">
        <f t="shared" si="59"/>
        <v>37.25074285714286</v>
      </c>
      <c r="U307" s="37">
        <v>1.1000000000000001</v>
      </c>
      <c r="V307" s="30">
        <f t="shared" si="57"/>
        <v>51.190647619047638</v>
      </c>
      <c r="W307" s="25">
        <v>145</v>
      </c>
      <c r="X307" s="31">
        <f t="shared" si="43"/>
        <v>436.56000000000006</v>
      </c>
      <c r="Y307" s="25">
        <v>321</v>
      </c>
      <c r="Z307" s="25">
        <v>17</v>
      </c>
      <c r="AA307" s="25">
        <v>70</v>
      </c>
      <c r="AB307" s="37">
        <v>0.8</v>
      </c>
      <c r="AC307" s="30">
        <f t="shared" si="58"/>
        <v>80</v>
      </c>
      <c r="AD307" s="31">
        <f t="shared" si="44"/>
        <v>3</v>
      </c>
      <c r="AE307" s="31">
        <f t="shared" si="45"/>
        <v>8</v>
      </c>
      <c r="AF307" s="31" t="str">
        <f t="shared" si="46"/>
        <v/>
      </c>
      <c r="AG307" s="31" t="str">
        <f t="shared" si="47"/>
        <v/>
      </c>
      <c r="AH307" s="31" t="str">
        <f t="shared" si="48"/>
        <v/>
      </c>
      <c r="AI307" s="31" t="str">
        <f t="shared" si="49"/>
        <v/>
      </c>
      <c r="AJ307" s="25">
        <v>11</v>
      </c>
      <c r="AK307" s="25">
        <v>0</v>
      </c>
      <c r="AL307" s="25">
        <v>0</v>
      </c>
      <c r="AM307" s="23" t="s">
        <v>208</v>
      </c>
      <c r="AN307" s="23" t="s">
        <v>92</v>
      </c>
      <c r="AO307" s="25" t="s">
        <v>120</v>
      </c>
      <c r="AR307" s="32" t="str">
        <f t="shared" si="50"/>
        <v>2 doors</v>
      </c>
      <c r="AT307" s="23" t="s">
        <v>48</v>
      </c>
      <c r="AU307" s="23" t="str">
        <f t="shared" si="56"/>
        <v>CC</v>
      </c>
      <c r="AV307" s="34">
        <f t="shared" si="51"/>
        <v>7400</v>
      </c>
      <c r="AW307" s="23">
        <v>74</v>
      </c>
      <c r="AX307" s="23">
        <v>0</v>
      </c>
      <c r="AY307" s="23">
        <v>0</v>
      </c>
    </row>
    <row r="308" spans="1:51">
      <c r="A308" s="25" t="s">
        <v>120</v>
      </c>
      <c r="D308" s="23">
        <v>3</v>
      </c>
      <c r="E308" s="25" t="s">
        <v>211</v>
      </c>
      <c r="F308" s="25" t="s">
        <v>211</v>
      </c>
      <c r="G308" s="23" t="s">
        <v>27</v>
      </c>
      <c r="H308" s="23" t="s">
        <v>204</v>
      </c>
      <c r="I308" s="25">
        <v>1995</v>
      </c>
      <c r="J308" s="35">
        <v>30</v>
      </c>
      <c r="K308" s="35">
        <v>40</v>
      </c>
      <c r="L308" s="35">
        <v>20</v>
      </c>
      <c r="M308" s="25">
        <v>4</v>
      </c>
      <c r="N308" s="25">
        <v>6</v>
      </c>
      <c r="R308" s="30">
        <f t="shared" si="42"/>
        <v>10</v>
      </c>
      <c r="S308" s="37">
        <v>1.2</v>
      </c>
      <c r="T308" s="30">
        <f t="shared" si="59"/>
        <v>37.25074285714286</v>
      </c>
      <c r="U308" s="37">
        <v>1.1000000000000001</v>
      </c>
      <c r="V308" s="30">
        <f t="shared" si="57"/>
        <v>51.190647619047638</v>
      </c>
      <c r="W308" s="25">
        <v>145</v>
      </c>
      <c r="X308" s="31">
        <f t="shared" si="43"/>
        <v>436.56000000000006</v>
      </c>
      <c r="Y308" s="25">
        <v>321</v>
      </c>
      <c r="Z308" s="25">
        <v>17</v>
      </c>
      <c r="AA308" s="25">
        <v>70</v>
      </c>
      <c r="AB308" s="37">
        <v>0.8</v>
      </c>
      <c r="AC308" s="30">
        <f t="shared" si="58"/>
        <v>80</v>
      </c>
      <c r="AD308" s="31">
        <f t="shared" si="44"/>
        <v>3</v>
      </c>
      <c r="AE308" s="31">
        <f t="shared" si="45"/>
        <v>8</v>
      </c>
      <c r="AF308" s="31" t="str">
        <f t="shared" si="46"/>
        <v/>
      </c>
      <c r="AG308" s="31" t="str">
        <f t="shared" si="47"/>
        <v/>
      </c>
      <c r="AH308" s="31" t="str">
        <f t="shared" si="48"/>
        <v/>
      </c>
      <c r="AI308" s="31" t="str">
        <f t="shared" si="49"/>
        <v/>
      </c>
      <c r="AJ308" s="25">
        <v>11</v>
      </c>
      <c r="AK308" s="25">
        <v>0</v>
      </c>
      <c r="AL308" s="25">
        <v>0</v>
      </c>
      <c r="AM308" s="23" t="s">
        <v>208</v>
      </c>
      <c r="AN308" s="23" t="s">
        <v>92</v>
      </c>
      <c r="AO308" s="25" t="s">
        <v>120</v>
      </c>
      <c r="AR308" s="32" t="str">
        <f t="shared" si="50"/>
        <v>2 doors</v>
      </c>
      <c r="AT308" s="23" t="s">
        <v>48</v>
      </c>
      <c r="AU308" s="23" t="str">
        <f t="shared" si="56"/>
        <v>Hungary</v>
      </c>
      <c r="AV308" s="34">
        <f t="shared" si="51"/>
        <v>7400.01</v>
      </c>
      <c r="AW308" s="23">
        <v>74</v>
      </c>
      <c r="AX308" s="23">
        <v>0</v>
      </c>
      <c r="AY308" s="23">
        <v>1</v>
      </c>
    </row>
    <row r="309" spans="1:51">
      <c r="A309" s="25">
        <v>955</v>
      </c>
      <c r="D309" s="23">
        <v>2</v>
      </c>
      <c r="E309" s="25" t="s">
        <v>30</v>
      </c>
      <c r="F309" s="25" t="s">
        <v>302</v>
      </c>
      <c r="G309" s="23" t="s">
        <v>27</v>
      </c>
      <c r="H309" s="23" t="s">
        <v>192</v>
      </c>
      <c r="I309" s="25">
        <v>1999</v>
      </c>
      <c r="J309" s="35">
        <v>30</v>
      </c>
      <c r="K309" s="35">
        <v>40</v>
      </c>
      <c r="L309" s="35">
        <v>20</v>
      </c>
      <c r="M309" s="25">
        <v>4</v>
      </c>
      <c r="N309" s="25">
        <v>4</v>
      </c>
      <c r="R309" s="30">
        <f t="shared" si="42"/>
        <v>8</v>
      </c>
      <c r="S309" s="37">
        <v>1.2</v>
      </c>
      <c r="T309" s="30">
        <f t="shared" si="59"/>
        <v>25.021714285714289</v>
      </c>
      <c r="U309" s="37">
        <v>1.1000000000000001</v>
      </c>
      <c r="V309" s="30">
        <f t="shared" si="57"/>
        <v>33.723904761904762</v>
      </c>
      <c r="W309" s="25">
        <v>113</v>
      </c>
      <c r="X309" s="31">
        <f t="shared" si="43"/>
        <v>285.60000000000002</v>
      </c>
      <c r="Y309" s="25">
        <v>210</v>
      </c>
      <c r="Z309" s="25">
        <v>12</v>
      </c>
      <c r="AA309" s="25">
        <v>49</v>
      </c>
      <c r="AB309" s="37">
        <v>0.8</v>
      </c>
      <c r="AC309" s="30">
        <f t="shared" si="58"/>
        <v>120</v>
      </c>
      <c r="AD309" s="31">
        <f t="shared" si="44"/>
        <v>3</v>
      </c>
      <c r="AE309" s="31">
        <f t="shared" si="45"/>
        <v>8</v>
      </c>
      <c r="AF309" s="31" t="str">
        <f t="shared" si="46"/>
        <v/>
      </c>
      <c r="AG309" s="31" t="str">
        <f t="shared" si="47"/>
        <v/>
      </c>
      <c r="AH309" s="31" t="str">
        <f t="shared" si="48"/>
        <v/>
      </c>
      <c r="AI309" s="31" t="str">
        <f t="shared" si="49"/>
        <v/>
      </c>
      <c r="AJ309" s="25">
        <v>11</v>
      </c>
      <c r="AK309" s="25">
        <v>0</v>
      </c>
      <c r="AL309" s="25">
        <v>0</v>
      </c>
      <c r="AM309" s="23" t="s">
        <v>208</v>
      </c>
      <c r="AN309" s="23" t="s">
        <v>92</v>
      </c>
      <c r="AO309" s="25">
        <v>955</v>
      </c>
      <c r="AR309" s="32" t="str">
        <f t="shared" si="50"/>
        <v>2 doors</v>
      </c>
      <c r="AT309" s="23" t="s">
        <v>47</v>
      </c>
      <c r="AU309" s="23" t="str">
        <f t="shared" si="56"/>
        <v>CC</v>
      </c>
      <c r="AV309" s="34">
        <f t="shared" si="51"/>
        <v>7900</v>
      </c>
      <c r="AW309" s="23">
        <v>79</v>
      </c>
      <c r="AX309" s="23">
        <v>0</v>
      </c>
      <c r="AY309" s="23">
        <v>0</v>
      </c>
    </row>
    <row r="310" spans="1:51">
      <c r="A310" s="25" t="s">
        <v>249</v>
      </c>
      <c r="C310" s="23" t="s">
        <v>122</v>
      </c>
      <c r="D310" s="23">
        <v>2</v>
      </c>
      <c r="E310" s="25" t="s">
        <v>30</v>
      </c>
      <c r="F310" s="25" t="s">
        <v>302</v>
      </c>
      <c r="G310" s="23" t="s">
        <v>27</v>
      </c>
      <c r="H310" s="23" t="s">
        <v>251</v>
      </c>
      <c r="I310" s="25">
        <v>1998</v>
      </c>
      <c r="J310" s="35">
        <v>30</v>
      </c>
      <c r="K310" s="35">
        <v>40</v>
      </c>
      <c r="L310" s="35">
        <v>20</v>
      </c>
      <c r="M310" s="25">
        <v>10</v>
      </c>
      <c r="N310" s="25">
        <v>10</v>
      </c>
      <c r="R310" s="30">
        <f t="shared" si="42"/>
        <v>20</v>
      </c>
      <c r="S310" s="37">
        <v>1</v>
      </c>
      <c r="T310" s="30">
        <f t="shared" si="59"/>
        <v>19.848571428571429</v>
      </c>
      <c r="U310" s="37">
        <v>1</v>
      </c>
      <c r="V310" s="30">
        <f t="shared" si="57"/>
        <v>28.888571428571428</v>
      </c>
      <c r="W310" s="25">
        <v>90</v>
      </c>
      <c r="X310" s="31">
        <f t="shared" si="43"/>
        <v>258.40000000000003</v>
      </c>
      <c r="Y310" s="25">
        <v>190</v>
      </c>
      <c r="Z310" s="25">
        <v>11</v>
      </c>
      <c r="AA310" s="25">
        <v>78</v>
      </c>
      <c r="AB310" s="37">
        <v>1</v>
      </c>
      <c r="AC310" s="30">
        <f t="shared" si="58"/>
        <v>200</v>
      </c>
      <c r="AD310" s="31">
        <f t="shared" si="44"/>
        <v>2</v>
      </c>
      <c r="AE310" s="31">
        <f t="shared" si="45"/>
        <v>8</v>
      </c>
      <c r="AF310" s="31" t="str">
        <f t="shared" si="46"/>
        <v/>
      </c>
      <c r="AG310" s="31" t="str">
        <f t="shared" si="47"/>
        <v/>
      </c>
      <c r="AH310" s="31" t="str">
        <f t="shared" si="48"/>
        <v/>
      </c>
      <c r="AI310" s="31" t="str">
        <f t="shared" si="49"/>
        <v/>
      </c>
      <c r="AJ310" s="25">
        <v>10</v>
      </c>
      <c r="AK310" s="25">
        <v>0</v>
      </c>
      <c r="AL310" s="25">
        <v>0</v>
      </c>
      <c r="AM310" s="23" t="s">
        <v>206</v>
      </c>
      <c r="AN310" s="23" t="s">
        <v>92</v>
      </c>
      <c r="AO310" s="26" t="s">
        <v>249</v>
      </c>
      <c r="AR310" s="32" t="str">
        <f t="shared" si="50"/>
        <v>2 doors</v>
      </c>
      <c r="AS310" s="23" t="s">
        <v>250</v>
      </c>
      <c r="AT310" s="23" t="s">
        <v>270</v>
      </c>
      <c r="AU310" s="23" t="str">
        <f t="shared" si="56"/>
        <v>CC</v>
      </c>
      <c r="AV310" s="34">
        <f t="shared" si="51"/>
        <v>8000</v>
      </c>
      <c r="AW310" s="23">
        <v>80</v>
      </c>
      <c r="AX310" s="23">
        <v>0</v>
      </c>
      <c r="AY310" s="23">
        <v>0</v>
      </c>
    </row>
    <row r="311" spans="1:51">
      <c r="A311" s="25" t="s">
        <v>249</v>
      </c>
      <c r="C311" s="23" t="s">
        <v>122</v>
      </c>
      <c r="D311" s="23">
        <v>2</v>
      </c>
      <c r="E311" s="25" t="s">
        <v>42</v>
      </c>
      <c r="F311" s="25" t="s">
        <v>302</v>
      </c>
      <c r="G311" s="23" t="s">
        <v>27</v>
      </c>
      <c r="H311" s="23" t="s">
        <v>251</v>
      </c>
      <c r="I311" s="25">
        <v>1998</v>
      </c>
      <c r="J311" s="35">
        <v>30</v>
      </c>
      <c r="K311" s="35">
        <v>40</v>
      </c>
      <c r="L311" s="35">
        <v>20</v>
      </c>
      <c r="M311" s="25">
        <v>10</v>
      </c>
      <c r="N311" s="25">
        <v>10</v>
      </c>
      <c r="R311" s="30">
        <f t="shared" si="42"/>
        <v>20</v>
      </c>
      <c r="S311" s="37">
        <v>1</v>
      </c>
      <c r="T311" s="30">
        <f t="shared" si="59"/>
        <v>19.848571428571429</v>
      </c>
      <c r="U311" s="37">
        <v>1</v>
      </c>
      <c r="V311" s="30">
        <f t="shared" si="57"/>
        <v>28.888571428571428</v>
      </c>
      <c r="W311" s="25">
        <v>90</v>
      </c>
      <c r="X311" s="31">
        <f t="shared" si="43"/>
        <v>258.40000000000003</v>
      </c>
      <c r="Y311" s="25">
        <v>190</v>
      </c>
      <c r="Z311" s="25">
        <v>11</v>
      </c>
      <c r="AA311" s="25">
        <v>78</v>
      </c>
      <c r="AB311" s="37">
        <v>1</v>
      </c>
      <c r="AC311" s="30">
        <f t="shared" si="58"/>
        <v>200</v>
      </c>
      <c r="AD311" s="31">
        <f t="shared" si="44"/>
        <v>2</v>
      </c>
      <c r="AE311" s="31">
        <f t="shared" si="45"/>
        <v>8</v>
      </c>
      <c r="AF311" s="31" t="str">
        <f t="shared" si="46"/>
        <v/>
      </c>
      <c r="AG311" s="31" t="str">
        <f t="shared" si="47"/>
        <v/>
      </c>
      <c r="AH311" s="31" t="str">
        <f t="shared" si="48"/>
        <v/>
      </c>
      <c r="AI311" s="31" t="str">
        <f t="shared" si="49"/>
        <v/>
      </c>
      <c r="AJ311" s="25">
        <v>10</v>
      </c>
      <c r="AK311" s="25">
        <v>0</v>
      </c>
      <c r="AL311" s="25">
        <v>0</v>
      </c>
      <c r="AM311" s="23" t="s">
        <v>206</v>
      </c>
      <c r="AN311" s="23" t="s">
        <v>92</v>
      </c>
      <c r="AO311" s="26" t="s">
        <v>249</v>
      </c>
      <c r="AR311" s="32" t="str">
        <f t="shared" si="50"/>
        <v>2 doors</v>
      </c>
      <c r="AS311" s="23" t="s">
        <v>250</v>
      </c>
      <c r="AT311" s="23" t="s">
        <v>270</v>
      </c>
      <c r="AU311" s="23" t="str">
        <f t="shared" si="56"/>
        <v>CC</v>
      </c>
      <c r="AV311" s="34">
        <f t="shared" si="51"/>
        <v>8000.01</v>
      </c>
      <c r="AW311" s="23">
        <v>80</v>
      </c>
      <c r="AX311" s="23">
        <v>0</v>
      </c>
      <c r="AY311" s="23">
        <v>1</v>
      </c>
    </row>
    <row r="312" spans="1:51">
      <c r="A312" s="25" t="s">
        <v>249</v>
      </c>
      <c r="C312" s="23" t="s">
        <v>122</v>
      </c>
      <c r="D312" s="23">
        <v>2</v>
      </c>
      <c r="E312" s="25" t="s">
        <v>43</v>
      </c>
      <c r="F312" s="25" t="s">
        <v>302</v>
      </c>
      <c r="G312" s="23" t="s">
        <v>27</v>
      </c>
      <c r="H312" s="23" t="s">
        <v>251</v>
      </c>
      <c r="I312" s="25">
        <v>1998</v>
      </c>
      <c r="J312" s="35">
        <v>30</v>
      </c>
      <c r="K312" s="35">
        <v>40</v>
      </c>
      <c r="L312" s="35">
        <v>20</v>
      </c>
      <c r="M312" s="25">
        <v>10</v>
      </c>
      <c r="N312" s="25">
        <v>10</v>
      </c>
      <c r="R312" s="30">
        <f t="shared" si="42"/>
        <v>20</v>
      </c>
      <c r="S312" s="37">
        <v>1</v>
      </c>
      <c r="T312" s="30">
        <f t="shared" si="59"/>
        <v>19.848571428571429</v>
      </c>
      <c r="U312" s="37">
        <v>1</v>
      </c>
      <c r="V312" s="30">
        <f t="shared" si="57"/>
        <v>28.888571428571428</v>
      </c>
      <c r="W312" s="25">
        <v>90</v>
      </c>
      <c r="X312" s="31">
        <f t="shared" si="43"/>
        <v>258.40000000000003</v>
      </c>
      <c r="Y312" s="25">
        <v>190</v>
      </c>
      <c r="Z312" s="25">
        <v>11</v>
      </c>
      <c r="AA312" s="25">
        <v>78</v>
      </c>
      <c r="AB312" s="37">
        <v>1</v>
      </c>
      <c r="AC312" s="30">
        <f t="shared" si="58"/>
        <v>200</v>
      </c>
      <c r="AD312" s="31">
        <f t="shared" si="44"/>
        <v>2</v>
      </c>
      <c r="AE312" s="31">
        <f t="shared" si="45"/>
        <v>8</v>
      </c>
      <c r="AF312" s="31" t="str">
        <f t="shared" si="46"/>
        <v/>
      </c>
      <c r="AG312" s="31" t="str">
        <f t="shared" si="47"/>
        <v/>
      </c>
      <c r="AH312" s="31" t="str">
        <f t="shared" si="48"/>
        <v/>
      </c>
      <c r="AI312" s="31" t="str">
        <f t="shared" si="49"/>
        <v/>
      </c>
      <c r="AJ312" s="25">
        <v>10</v>
      </c>
      <c r="AK312" s="25">
        <v>0</v>
      </c>
      <c r="AL312" s="25">
        <v>0</v>
      </c>
      <c r="AM312" s="23" t="s">
        <v>206</v>
      </c>
      <c r="AN312" s="23" t="s">
        <v>92</v>
      </c>
      <c r="AO312" s="26" t="s">
        <v>249</v>
      </c>
      <c r="AR312" s="32" t="str">
        <f t="shared" si="50"/>
        <v>2 doors</v>
      </c>
      <c r="AS312" s="23" t="s">
        <v>250</v>
      </c>
      <c r="AT312" s="23" t="s">
        <v>270</v>
      </c>
      <c r="AU312" s="23" t="str">
        <f t="shared" si="56"/>
        <v>CC</v>
      </c>
      <c r="AV312" s="34">
        <f t="shared" si="51"/>
        <v>8000.02</v>
      </c>
      <c r="AW312" s="23">
        <v>80</v>
      </c>
      <c r="AX312" s="23">
        <v>0</v>
      </c>
      <c r="AY312" s="23">
        <v>2</v>
      </c>
    </row>
    <row r="313" spans="1:51">
      <c r="A313" s="25" t="s">
        <v>249</v>
      </c>
      <c r="C313" s="23" t="s">
        <v>122</v>
      </c>
      <c r="D313" s="23">
        <v>2</v>
      </c>
      <c r="E313" s="25" t="s">
        <v>284</v>
      </c>
      <c r="F313" s="25" t="s">
        <v>302</v>
      </c>
      <c r="G313" s="23" t="s">
        <v>27</v>
      </c>
      <c r="H313" s="23" t="s">
        <v>251</v>
      </c>
      <c r="I313" s="25">
        <v>1998</v>
      </c>
      <c r="J313" s="35">
        <v>30</v>
      </c>
      <c r="K313" s="35">
        <v>40</v>
      </c>
      <c r="L313" s="35">
        <v>20</v>
      </c>
      <c r="M313" s="25">
        <v>10</v>
      </c>
      <c r="N313" s="25">
        <v>10</v>
      </c>
      <c r="R313" s="30">
        <f t="shared" si="42"/>
        <v>20</v>
      </c>
      <c r="S313" s="37">
        <v>1</v>
      </c>
      <c r="T313" s="30">
        <f t="shared" si="59"/>
        <v>19.848571428571429</v>
      </c>
      <c r="U313" s="37">
        <v>1</v>
      </c>
      <c r="V313" s="30">
        <f t="shared" si="57"/>
        <v>28.888571428571428</v>
      </c>
      <c r="W313" s="25">
        <v>90</v>
      </c>
      <c r="X313" s="31">
        <f t="shared" si="43"/>
        <v>258.40000000000003</v>
      </c>
      <c r="Y313" s="25">
        <v>190</v>
      </c>
      <c r="Z313" s="25">
        <v>11</v>
      </c>
      <c r="AA313" s="25">
        <v>78</v>
      </c>
      <c r="AB313" s="37">
        <v>1</v>
      </c>
      <c r="AC313" s="30">
        <f t="shared" si="58"/>
        <v>200</v>
      </c>
      <c r="AD313" s="31">
        <f t="shared" si="44"/>
        <v>2</v>
      </c>
      <c r="AE313" s="31">
        <f t="shared" si="45"/>
        <v>8</v>
      </c>
      <c r="AF313" s="31" t="str">
        <f t="shared" si="46"/>
        <v/>
      </c>
      <c r="AG313" s="31" t="str">
        <f t="shared" si="47"/>
        <v/>
      </c>
      <c r="AH313" s="31" t="str">
        <f t="shared" si="48"/>
        <v/>
      </c>
      <c r="AI313" s="31" t="str">
        <f t="shared" si="49"/>
        <v/>
      </c>
      <c r="AJ313" s="25">
        <v>10</v>
      </c>
      <c r="AK313" s="25">
        <v>0</v>
      </c>
      <c r="AL313" s="25">
        <v>0</v>
      </c>
      <c r="AM313" s="23" t="s">
        <v>206</v>
      </c>
      <c r="AN313" s="23" t="s">
        <v>92</v>
      </c>
      <c r="AO313" s="26" t="s">
        <v>249</v>
      </c>
      <c r="AR313" s="32" t="str">
        <f t="shared" si="50"/>
        <v>2 doors</v>
      </c>
      <c r="AS313" s="23" t="s">
        <v>250</v>
      </c>
      <c r="AT313" s="23" t="s">
        <v>270</v>
      </c>
      <c r="AU313" s="23" t="str">
        <f t="shared" si="56"/>
        <v>CC</v>
      </c>
      <c r="AV313" s="34">
        <f t="shared" si="51"/>
        <v>8000.03</v>
      </c>
      <c r="AW313" s="23">
        <v>80</v>
      </c>
      <c r="AX313" s="23">
        <v>0</v>
      </c>
      <c r="AY313" s="23">
        <v>3</v>
      </c>
    </row>
    <row r="314" spans="1:51">
      <c r="A314" s="25" t="s">
        <v>249</v>
      </c>
      <c r="C314" s="23" t="s">
        <v>122</v>
      </c>
      <c r="D314" s="23">
        <v>2</v>
      </c>
      <c r="E314" s="25" t="s">
        <v>285</v>
      </c>
      <c r="F314" s="25" t="s">
        <v>302</v>
      </c>
      <c r="G314" s="23" t="s">
        <v>27</v>
      </c>
      <c r="H314" s="23" t="s">
        <v>251</v>
      </c>
      <c r="I314" s="25">
        <v>1998</v>
      </c>
      <c r="J314" s="35">
        <v>30</v>
      </c>
      <c r="K314" s="35">
        <v>40</v>
      </c>
      <c r="L314" s="35">
        <v>20</v>
      </c>
      <c r="M314" s="25">
        <v>10</v>
      </c>
      <c r="N314" s="25">
        <v>10</v>
      </c>
      <c r="R314" s="30">
        <f t="shared" si="42"/>
        <v>20</v>
      </c>
      <c r="S314" s="37">
        <v>1</v>
      </c>
      <c r="T314" s="30">
        <f t="shared" si="59"/>
        <v>19.848571428571429</v>
      </c>
      <c r="U314" s="37">
        <v>1</v>
      </c>
      <c r="V314" s="30">
        <f t="shared" si="57"/>
        <v>28.888571428571428</v>
      </c>
      <c r="W314" s="25">
        <v>90</v>
      </c>
      <c r="X314" s="31">
        <f t="shared" si="43"/>
        <v>258.40000000000003</v>
      </c>
      <c r="Y314" s="25">
        <v>190</v>
      </c>
      <c r="Z314" s="25">
        <v>11</v>
      </c>
      <c r="AA314" s="25">
        <v>78</v>
      </c>
      <c r="AB314" s="37">
        <v>1</v>
      </c>
      <c r="AC314" s="30">
        <f t="shared" si="58"/>
        <v>200</v>
      </c>
      <c r="AD314" s="31">
        <f t="shared" si="44"/>
        <v>2</v>
      </c>
      <c r="AE314" s="31">
        <f t="shared" si="45"/>
        <v>8</v>
      </c>
      <c r="AF314" s="31" t="str">
        <f t="shared" si="46"/>
        <v/>
      </c>
      <c r="AG314" s="31" t="str">
        <f t="shared" si="47"/>
        <v/>
      </c>
      <c r="AH314" s="31" t="str">
        <f t="shared" si="48"/>
        <v/>
      </c>
      <c r="AI314" s="31" t="str">
        <f t="shared" si="49"/>
        <v/>
      </c>
      <c r="AJ314" s="25">
        <v>10</v>
      </c>
      <c r="AK314" s="25">
        <v>0</v>
      </c>
      <c r="AL314" s="25">
        <v>0</v>
      </c>
      <c r="AM314" s="23" t="s">
        <v>206</v>
      </c>
      <c r="AN314" s="23" t="s">
        <v>92</v>
      </c>
      <c r="AO314" s="26" t="s">
        <v>249</v>
      </c>
      <c r="AR314" s="32" t="str">
        <f t="shared" si="50"/>
        <v>2 doors</v>
      </c>
      <c r="AS314" s="23" t="s">
        <v>250</v>
      </c>
      <c r="AT314" s="23" t="s">
        <v>270</v>
      </c>
      <c r="AU314" s="23" t="str">
        <f t="shared" si="56"/>
        <v>CC</v>
      </c>
      <c r="AV314" s="34">
        <f t="shared" si="51"/>
        <v>8000.04</v>
      </c>
      <c r="AW314" s="23">
        <v>80</v>
      </c>
      <c r="AX314" s="23">
        <v>0</v>
      </c>
      <c r="AY314" s="23">
        <v>4</v>
      </c>
    </row>
    <row r="315" spans="1:51">
      <c r="A315" s="25" t="s">
        <v>249</v>
      </c>
      <c r="C315" s="23" t="s">
        <v>122</v>
      </c>
      <c r="D315" s="23">
        <v>2</v>
      </c>
      <c r="E315" s="25" t="s">
        <v>286</v>
      </c>
      <c r="F315" s="25" t="s">
        <v>302</v>
      </c>
      <c r="G315" s="23" t="s">
        <v>27</v>
      </c>
      <c r="H315" s="23" t="s">
        <v>251</v>
      </c>
      <c r="I315" s="25">
        <v>1998</v>
      </c>
      <c r="J315" s="35">
        <v>30</v>
      </c>
      <c r="K315" s="35">
        <v>40</v>
      </c>
      <c r="L315" s="35">
        <v>20</v>
      </c>
      <c r="M315" s="25">
        <v>10</v>
      </c>
      <c r="N315" s="25">
        <v>10</v>
      </c>
      <c r="R315" s="30">
        <f t="shared" si="42"/>
        <v>20</v>
      </c>
      <c r="S315" s="37">
        <v>1</v>
      </c>
      <c r="T315" s="30">
        <f t="shared" si="59"/>
        <v>19.848571428571429</v>
      </c>
      <c r="U315" s="37">
        <v>1</v>
      </c>
      <c r="V315" s="30">
        <f t="shared" si="57"/>
        <v>28.888571428571428</v>
      </c>
      <c r="W315" s="25">
        <v>90</v>
      </c>
      <c r="X315" s="31">
        <f t="shared" si="43"/>
        <v>258.40000000000003</v>
      </c>
      <c r="Y315" s="25">
        <v>190</v>
      </c>
      <c r="Z315" s="25">
        <v>11</v>
      </c>
      <c r="AA315" s="25">
        <v>78</v>
      </c>
      <c r="AB315" s="37">
        <v>1</v>
      </c>
      <c r="AC315" s="30">
        <f t="shared" si="58"/>
        <v>200</v>
      </c>
      <c r="AD315" s="31">
        <f t="shared" si="44"/>
        <v>2</v>
      </c>
      <c r="AE315" s="31">
        <f t="shared" si="45"/>
        <v>8</v>
      </c>
      <c r="AF315" s="31" t="str">
        <f t="shared" si="46"/>
        <v/>
      </c>
      <c r="AG315" s="31" t="str">
        <f t="shared" si="47"/>
        <v/>
      </c>
      <c r="AH315" s="31" t="str">
        <f t="shared" si="48"/>
        <v/>
      </c>
      <c r="AI315" s="31" t="str">
        <f t="shared" si="49"/>
        <v/>
      </c>
      <c r="AJ315" s="25">
        <v>10</v>
      </c>
      <c r="AK315" s="25">
        <v>0</v>
      </c>
      <c r="AL315" s="25">
        <v>0</v>
      </c>
      <c r="AM315" s="23" t="s">
        <v>206</v>
      </c>
      <c r="AN315" s="23" t="s">
        <v>92</v>
      </c>
      <c r="AO315" s="26" t="s">
        <v>249</v>
      </c>
      <c r="AR315" s="32" t="str">
        <f t="shared" si="50"/>
        <v>2 doors</v>
      </c>
      <c r="AS315" s="23" t="s">
        <v>250</v>
      </c>
      <c r="AT315" s="23" t="s">
        <v>270</v>
      </c>
      <c r="AU315" s="23" t="str">
        <f t="shared" si="56"/>
        <v>CC</v>
      </c>
      <c r="AV315" s="34">
        <f t="shared" si="51"/>
        <v>8000.05</v>
      </c>
      <c r="AW315" s="23">
        <v>80</v>
      </c>
      <c r="AX315" s="23">
        <v>0</v>
      </c>
      <c r="AY315" s="23">
        <v>5</v>
      </c>
    </row>
    <row r="316" spans="1:51">
      <c r="A316" s="25" t="s">
        <v>249</v>
      </c>
      <c r="C316" s="23" t="s">
        <v>122</v>
      </c>
      <c r="D316" s="23">
        <v>2</v>
      </c>
      <c r="E316" s="25" t="s">
        <v>287</v>
      </c>
      <c r="F316" s="25" t="s">
        <v>302</v>
      </c>
      <c r="G316" s="23" t="s">
        <v>27</v>
      </c>
      <c r="H316" s="23" t="s">
        <v>251</v>
      </c>
      <c r="I316" s="25">
        <v>1998</v>
      </c>
      <c r="J316" s="35">
        <v>30</v>
      </c>
      <c r="K316" s="35">
        <v>40</v>
      </c>
      <c r="L316" s="35">
        <v>20</v>
      </c>
      <c r="M316" s="25">
        <v>10</v>
      </c>
      <c r="N316" s="25">
        <v>10</v>
      </c>
      <c r="R316" s="30">
        <f t="shared" si="42"/>
        <v>20</v>
      </c>
      <c r="S316" s="37">
        <v>1</v>
      </c>
      <c r="T316" s="30">
        <f t="shared" si="59"/>
        <v>19.848571428571429</v>
      </c>
      <c r="U316" s="37">
        <v>1</v>
      </c>
      <c r="V316" s="30">
        <f t="shared" si="57"/>
        <v>28.888571428571428</v>
      </c>
      <c r="W316" s="25">
        <v>90</v>
      </c>
      <c r="X316" s="31">
        <f t="shared" si="43"/>
        <v>258.40000000000003</v>
      </c>
      <c r="Y316" s="25">
        <v>190</v>
      </c>
      <c r="Z316" s="25">
        <v>11</v>
      </c>
      <c r="AA316" s="25">
        <v>78</v>
      </c>
      <c r="AB316" s="37">
        <v>1</v>
      </c>
      <c r="AC316" s="30">
        <f t="shared" si="58"/>
        <v>200</v>
      </c>
      <c r="AD316" s="31">
        <f t="shared" si="44"/>
        <v>2</v>
      </c>
      <c r="AE316" s="31">
        <f t="shared" si="45"/>
        <v>8</v>
      </c>
      <c r="AF316" s="31" t="str">
        <f t="shared" si="46"/>
        <v/>
      </c>
      <c r="AG316" s="31" t="str">
        <f t="shared" si="47"/>
        <v/>
      </c>
      <c r="AH316" s="31" t="str">
        <f t="shared" si="48"/>
        <v/>
      </c>
      <c r="AI316" s="31" t="str">
        <f t="shared" si="49"/>
        <v/>
      </c>
      <c r="AJ316" s="25">
        <v>10</v>
      </c>
      <c r="AK316" s="25">
        <v>0</v>
      </c>
      <c r="AL316" s="25">
        <v>0</v>
      </c>
      <c r="AM316" s="23" t="s">
        <v>206</v>
      </c>
      <c r="AN316" s="23" t="s">
        <v>92</v>
      </c>
      <c r="AO316" s="26" t="s">
        <v>249</v>
      </c>
      <c r="AR316" s="32" t="str">
        <f t="shared" si="50"/>
        <v>2 doors</v>
      </c>
      <c r="AS316" s="23" t="s">
        <v>250</v>
      </c>
      <c r="AT316" s="23" t="s">
        <v>270</v>
      </c>
      <c r="AU316" s="23" t="str">
        <f t="shared" si="56"/>
        <v>CC</v>
      </c>
      <c r="AV316" s="34">
        <f t="shared" si="51"/>
        <v>8000.06</v>
      </c>
      <c r="AW316" s="23">
        <v>80</v>
      </c>
      <c r="AX316" s="23">
        <v>0</v>
      </c>
      <c r="AY316" s="23">
        <v>6</v>
      </c>
    </row>
    <row r="317" spans="1:51">
      <c r="A317" s="25" t="s">
        <v>249</v>
      </c>
      <c r="C317" s="23" t="s">
        <v>332</v>
      </c>
      <c r="D317" s="23">
        <v>2</v>
      </c>
      <c r="E317" s="25" t="s">
        <v>30</v>
      </c>
      <c r="F317" s="25" t="s">
        <v>302</v>
      </c>
      <c r="G317" s="23" t="s">
        <v>27</v>
      </c>
      <c r="H317" s="23" t="s">
        <v>252</v>
      </c>
      <c r="I317" s="25">
        <v>2000</v>
      </c>
      <c r="J317" s="35">
        <v>30</v>
      </c>
      <c r="K317" s="35">
        <v>40</v>
      </c>
      <c r="L317" s="35">
        <v>20</v>
      </c>
      <c r="M317" s="25">
        <v>6</v>
      </c>
      <c r="N317" s="25">
        <v>10</v>
      </c>
      <c r="R317" s="30">
        <f t="shared" si="42"/>
        <v>16</v>
      </c>
      <c r="S317" s="37">
        <v>1.2</v>
      </c>
      <c r="T317" s="30">
        <f t="shared" si="59"/>
        <v>24.699428571428573</v>
      </c>
      <c r="U317" s="37">
        <v>1.1000000000000001</v>
      </c>
      <c r="V317" s="30">
        <f t="shared" si="57"/>
        <v>33.721809523809526</v>
      </c>
      <c r="W317" s="25">
        <v>90</v>
      </c>
      <c r="X317" s="31">
        <f t="shared" si="43"/>
        <v>278.8</v>
      </c>
      <c r="Y317" s="25">
        <v>205</v>
      </c>
      <c r="Z317" s="25">
        <v>11</v>
      </c>
      <c r="AA317" s="25">
        <v>80</v>
      </c>
      <c r="AB317" s="37">
        <v>0.8</v>
      </c>
      <c r="AC317" s="30">
        <f t="shared" si="58"/>
        <v>160</v>
      </c>
      <c r="AD317" s="31">
        <f t="shared" si="44"/>
        <v>2</v>
      </c>
      <c r="AE317" s="31">
        <f t="shared" si="45"/>
        <v>8</v>
      </c>
      <c r="AF317" s="31" t="str">
        <f t="shared" si="46"/>
        <v/>
      </c>
      <c r="AG317" s="31" t="str">
        <f t="shared" si="47"/>
        <v/>
      </c>
      <c r="AH317" s="31" t="str">
        <f t="shared" si="48"/>
        <v/>
      </c>
      <c r="AI317" s="31" t="str">
        <f t="shared" si="49"/>
        <v/>
      </c>
      <c r="AJ317" s="25">
        <v>10</v>
      </c>
      <c r="AK317" s="25">
        <v>0</v>
      </c>
      <c r="AL317" s="25">
        <v>0</v>
      </c>
      <c r="AM317" s="23" t="s">
        <v>206</v>
      </c>
      <c r="AN317" s="23" t="s">
        <v>92</v>
      </c>
      <c r="AO317" s="26" t="s">
        <v>249</v>
      </c>
      <c r="AR317" s="32" t="str">
        <f t="shared" si="50"/>
        <v>2 doors</v>
      </c>
      <c r="AS317" s="23" t="s">
        <v>334</v>
      </c>
      <c r="AT317" s="23" t="s">
        <v>270</v>
      </c>
      <c r="AU317" s="23" t="str">
        <f t="shared" si="56"/>
        <v>CC</v>
      </c>
      <c r="AV317" s="34">
        <f t="shared" si="51"/>
        <v>8010</v>
      </c>
      <c r="AW317" s="23">
        <v>80</v>
      </c>
      <c r="AX317" s="23">
        <v>10</v>
      </c>
      <c r="AY317" s="23">
        <v>0</v>
      </c>
    </row>
    <row r="318" spans="1:51">
      <c r="A318" s="25" t="s">
        <v>249</v>
      </c>
      <c r="C318" s="23" t="s">
        <v>332</v>
      </c>
      <c r="D318" s="23">
        <v>2</v>
      </c>
      <c r="E318" s="25" t="s">
        <v>42</v>
      </c>
      <c r="F318" s="25" t="s">
        <v>302</v>
      </c>
      <c r="G318" s="23" t="s">
        <v>27</v>
      </c>
      <c r="H318" s="23" t="s">
        <v>252</v>
      </c>
      <c r="I318" s="25">
        <v>2000</v>
      </c>
      <c r="J318" s="35">
        <v>30</v>
      </c>
      <c r="K318" s="35">
        <v>40</v>
      </c>
      <c r="L318" s="35">
        <v>20</v>
      </c>
      <c r="M318" s="25">
        <v>6</v>
      </c>
      <c r="N318" s="25">
        <v>10</v>
      </c>
      <c r="R318" s="30">
        <f t="shared" si="42"/>
        <v>16</v>
      </c>
      <c r="S318" s="37">
        <v>1.2</v>
      </c>
      <c r="T318" s="30">
        <f t="shared" si="59"/>
        <v>24.699428571428573</v>
      </c>
      <c r="U318" s="37">
        <v>1.1000000000000001</v>
      </c>
      <c r="V318" s="30">
        <f t="shared" si="57"/>
        <v>33.721809523809526</v>
      </c>
      <c r="W318" s="25">
        <v>90</v>
      </c>
      <c r="X318" s="31">
        <f t="shared" si="43"/>
        <v>278.8</v>
      </c>
      <c r="Y318" s="25">
        <v>205</v>
      </c>
      <c r="Z318" s="25">
        <v>11</v>
      </c>
      <c r="AA318" s="25">
        <v>80</v>
      </c>
      <c r="AB318" s="37">
        <v>0.8</v>
      </c>
      <c r="AC318" s="30">
        <f t="shared" si="58"/>
        <v>160</v>
      </c>
      <c r="AD318" s="31">
        <f t="shared" si="44"/>
        <v>2</v>
      </c>
      <c r="AE318" s="31">
        <f t="shared" si="45"/>
        <v>8</v>
      </c>
      <c r="AF318" s="31" t="str">
        <f t="shared" si="46"/>
        <v/>
      </c>
      <c r="AG318" s="31" t="str">
        <f t="shared" si="47"/>
        <v/>
      </c>
      <c r="AH318" s="31" t="str">
        <f t="shared" si="48"/>
        <v/>
      </c>
      <c r="AI318" s="31" t="str">
        <f t="shared" si="49"/>
        <v/>
      </c>
      <c r="AJ318" s="25">
        <v>10</v>
      </c>
      <c r="AK318" s="25">
        <v>0</v>
      </c>
      <c r="AL318" s="25">
        <v>0</v>
      </c>
      <c r="AM318" s="23" t="s">
        <v>206</v>
      </c>
      <c r="AN318" s="23" t="s">
        <v>92</v>
      </c>
      <c r="AO318" s="26" t="s">
        <v>249</v>
      </c>
      <c r="AR318" s="32" t="str">
        <f t="shared" si="50"/>
        <v>2 doors</v>
      </c>
      <c r="AS318" s="23" t="s">
        <v>334</v>
      </c>
      <c r="AT318" s="23" t="s">
        <v>270</v>
      </c>
      <c r="AU318" s="23" t="str">
        <f t="shared" si="56"/>
        <v>CC</v>
      </c>
      <c r="AV318" s="34">
        <f t="shared" si="51"/>
        <v>8010.01</v>
      </c>
      <c r="AW318" s="23">
        <v>80</v>
      </c>
      <c r="AX318" s="23">
        <v>10</v>
      </c>
      <c r="AY318" s="23">
        <v>1</v>
      </c>
    </row>
    <row r="319" spans="1:51">
      <c r="A319" s="25" t="s">
        <v>249</v>
      </c>
      <c r="C319" s="23" t="s">
        <v>332</v>
      </c>
      <c r="D319" s="23">
        <v>2</v>
      </c>
      <c r="E319" s="25" t="s">
        <v>43</v>
      </c>
      <c r="F319" s="25" t="s">
        <v>302</v>
      </c>
      <c r="G319" s="23" t="s">
        <v>27</v>
      </c>
      <c r="H319" s="23" t="s">
        <v>252</v>
      </c>
      <c r="I319" s="25">
        <v>2000</v>
      </c>
      <c r="J319" s="35">
        <v>30</v>
      </c>
      <c r="K319" s="35">
        <v>40</v>
      </c>
      <c r="L319" s="35">
        <v>20</v>
      </c>
      <c r="M319" s="25">
        <v>6</v>
      </c>
      <c r="N319" s="25">
        <v>10</v>
      </c>
      <c r="R319" s="30">
        <f t="shared" si="42"/>
        <v>16</v>
      </c>
      <c r="S319" s="37">
        <v>1.2</v>
      </c>
      <c r="T319" s="30">
        <f t="shared" si="59"/>
        <v>24.699428571428573</v>
      </c>
      <c r="U319" s="37">
        <v>1.1000000000000001</v>
      </c>
      <c r="V319" s="30">
        <f t="shared" si="57"/>
        <v>33.721809523809526</v>
      </c>
      <c r="W319" s="25">
        <v>90</v>
      </c>
      <c r="X319" s="31">
        <f t="shared" si="43"/>
        <v>278.8</v>
      </c>
      <c r="Y319" s="25">
        <v>205</v>
      </c>
      <c r="Z319" s="25">
        <v>11</v>
      </c>
      <c r="AA319" s="25">
        <v>80</v>
      </c>
      <c r="AB319" s="37">
        <v>0.8</v>
      </c>
      <c r="AC319" s="30">
        <f t="shared" si="58"/>
        <v>160</v>
      </c>
      <c r="AD319" s="31">
        <f t="shared" si="44"/>
        <v>2</v>
      </c>
      <c r="AE319" s="31">
        <f t="shared" si="45"/>
        <v>8</v>
      </c>
      <c r="AF319" s="31" t="str">
        <f t="shared" si="46"/>
        <v/>
      </c>
      <c r="AG319" s="31" t="str">
        <f t="shared" si="47"/>
        <v/>
      </c>
      <c r="AH319" s="31" t="str">
        <f t="shared" si="48"/>
        <v/>
      </c>
      <c r="AI319" s="31" t="str">
        <f t="shared" si="49"/>
        <v/>
      </c>
      <c r="AJ319" s="25">
        <v>10</v>
      </c>
      <c r="AK319" s="25">
        <v>0</v>
      </c>
      <c r="AL319" s="25">
        <v>0</v>
      </c>
      <c r="AM319" s="23" t="s">
        <v>206</v>
      </c>
      <c r="AN319" s="23" t="s">
        <v>92</v>
      </c>
      <c r="AO319" s="26" t="s">
        <v>249</v>
      </c>
      <c r="AR319" s="32" t="str">
        <f t="shared" si="50"/>
        <v>2 doors</v>
      </c>
      <c r="AS319" s="23" t="s">
        <v>334</v>
      </c>
      <c r="AT319" s="23" t="s">
        <v>270</v>
      </c>
      <c r="AU319" s="23" t="str">
        <f t="shared" si="56"/>
        <v>CC</v>
      </c>
      <c r="AV319" s="34">
        <f t="shared" si="51"/>
        <v>8010.02</v>
      </c>
      <c r="AW319" s="23">
        <v>80</v>
      </c>
      <c r="AX319" s="23">
        <v>10</v>
      </c>
      <c r="AY319" s="23">
        <v>2</v>
      </c>
    </row>
    <row r="320" spans="1:51">
      <c r="A320" s="25" t="s">
        <v>249</v>
      </c>
      <c r="C320" s="23" t="s">
        <v>332</v>
      </c>
      <c r="D320" s="23">
        <v>2</v>
      </c>
      <c r="E320" s="25" t="s">
        <v>284</v>
      </c>
      <c r="F320" s="25" t="s">
        <v>302</v>
      </c>
      <c r="G320" s="23" t="s">
        <v>27</v>
      </c>
      <c r="H320" s="23" t="s">
        <v>252</v>
      </c>
      <c r="I320" s="25">
        <v>2000</v>
      </c>
      <c r="J320" s="35">
        <v>30</v>
      </c>
      <c r="K320" s="35">
        <v>40</v>
      </c>
      <c r="L320" s="35">
        <v>20</v>
      </c>
      <c r="M320" s="25">
        <v>6</v>
      </c>
      <c r="N320" s="25">
        <v>10</v>
      </c>
      <c r="R320" s="30">
        <f t="shared" si="42"/>
        <v>16</v>
      </c>
      <c r="S320" s="37">
        <v>1.2</v>
      </c>
      <c r="T320" s="30">
        <f t="shared" si="59"/>
        <v>24.699428571428573</v>
      </c>
      <c r="U320" s="37">
        <v>1.1000000000000001</v>
      </c>
      <c r="V320" s="30">
        <f t="shared" si="57"/>
        <v>33.721809523809526</v>
      </c>
      <c r="W320" s="25">
        <v>90</v>
      </c>
      <c r="X320" s="31">
        <f t="shared" si="43"/>
        <v>278.8</v>
      </c>
      <c r="Y320" s="25">
        <v>205</v>
      </c>
      <c r="Z320" s="25">
        <v>11</v>
      </c>
      <c r="AA320" s="25">
        <v>80</v>
      </c>
      <c r="AB320" s="37">
        <v>0.8</v>
      </c>
      <c r="AC320" s="30">
        <f t="shared" si="58"/>
        <v>160</v>
      </c>
      <c r="AD320" s="31">
        <f t="shared" si="44"/>
        <v>2</v>
      </c>
      <c r="AE320" s="31">
        <f t="shared" si="45"/>
        <v>8</v>
      </c>
      <c r="AF320" s="31" t="str">
        <f t="shared" si="46"/>
        <v/>
      </c>
      <c r="AG320" s="31" t="str">
        <f t="shared" si="47"/>
        <v/>
      </c>
      <c r="AH320" s="31" t="str">
        <f t="shared" si="48"/>
        <v/>
      </c>
      <c r="AI320" s="31" t="str">
        <f t="shared" si="49"/>
        <v/>
      </c>
      <c r="AJ320" s="25">
        <v>10</v>
      </c>
      <c r="AK320" s="25">
        <v>0</v>
      </c>
      <c r="AL320" s="25">
        <v>0</v>
      </c>
      <c r="AM320" s="23" t="s">
        <v>206</v>
      </c>
      <c r="AN320" s="23" t="s">
        <v>92</v>
      </c>
      <c r="AO320" s="26" t="s">
        <v>249</v>
      </c>
      <c r="AR320" s="32" t="str">
        <f t="shared" si="50"/>
        <v>2 doors</v>
      </c>
      <c r="AS320" s="23" t="s">
        <v>334</v>
      </c>
      <c r="AT320" s="23" t="s">
        <v>270</v>
      </c>
      <c r="AU320" s="23" t="str">
        <f t="shared" si="56"/>
        <v>CC</v>
      </c>
      <c r="AV320" s="34">
        <f t="shared" si="51"/>
        <v>8010.03</v>
      </c>
      <c r="AW320" s="23">
        <v>80</v>
      </c>
      <c r="AX320" s="23">
        <v>10</v>
      </c>
      <c r="AY320" s="23">
        <v>3</v>
      </c>
    </row>
    <row r="321" spans="1:51">
      <c r="A321" s="25" t="s">
        <v>249</v>
      </c>
      <c r="C321" s="23" t="s">
        <v>332</v>
      </c>
      <c r="D321" s="23">
        <v>2</v>
      </c>
      <c r="E321" s="25" t="s">
        <v>285</v>
      </c>
      <c r="F321" s="25" t="s">
        <v>302</v>
      </c>
      <c r="G321" s="23" t="s">
        <v>27</v>
      </c>
      <c r="H321" s="23" t="s">
        <v>252</v>
      </c>
      <c r="I321" s="25">
        <v>2000</v>
      </c>
      <c r="J321" s="35">
        <v>30</v>
      </c>
      <c r="K321" s="35">
        <v>40</v>
      </c>
      <c r="L321" s="35">
        <v>20</v>
      </c>
      <c r="M321" s="25">
        <v>6</v>
      </c>
      <c r="N321" s="25">
        <v>10</v>
      </c>
      <c r="R321" s="30">
        <f t="shared" si="42"/>
        <v>16</v>
      </c>
      <c r="S321" s="37">
        <v>1.2</v>
      </c>
      <c r="T321" s="30">
        <f t="shared" si="59"/>
        <v>24.699428571428573</v>
      </c>
      <c r="U321" s="37">
        <v>1.1000000000000001</v>
      </c>
      <c r="V321" s="30">
        <f t="shared" si="57"/>
        <v>33.721809523809526</v>
      </c>
      <c r="W321" s="25">
        <v>90</v>
      </c>
      <c r="X321" s="31">
        <f t="shared" si="43"/>
        <v>278.8</v>
      </c>
      <c r="Y321" s="25">
        <v>205</v>
      </c>
      <c r="Z321" s="25">
        <v>11</v>
      </c>
      <c r="AA321" s="25">
        <v>80</v>
      </c>
      <c r="AB321" s="37">
        <v>0.8</v>
      </c>
      <c r="AC321" s="30">
        <f t="shared" si="58"/>
        <v>160</v>
      </c>
      <c r="AD321" s="31">
        <f t="shared" si="44"/>
        <v>2</v>
      </c>
      <c r="AE321" s="31">
        <f t="shared" si="45"/>
        <v>8</v>
      </c>
      <c r="AF321" s="31" t="str">
        <f t="shared" si="46"/>
        <v/>
      </c>
      <c r="AG321" s="31" t="str">
        <f t="shared" si="47"/>
        <v/>
      </c>
      <c r="AH321" s="31" t="str">
        <f t="shared" si="48"/>
        <v/>
      </c>
      <c r="AI321" s="31" t="str">
        <f t="shared" si="49"/>
        <v/>
      </c>
      <c r="AJ321" s="25">
        <v>10</v>
      </c>
      <c r="AK321" s="25">
        <v>0</v>
      </c>
      <c r="AL321" s="25">
        <v>0</v>
      </c>
      <c r="AM321" s="23" t="s">
        <v>206</v>
      </c>
      <c r="AN321" s="23" t="s">
        <v>92</v>
      </c>
      <c r="AO321" s="26" t="s">
        <v>249</v>
      </c>
      <c r="AR321" s="32" t="str">
        <f t="shared" si="50"/>
        <v>2 doors</v>
      </c>
      <c r="AS321" s="23" t="s">
        <v>334</v>
      </c>
      <c r="AT321" s="23" t="s">
        <v>270</v>
      </c>
      <c r="AU321" s="23" t="str">
        <f t="shared" si="56"/>
        <v>CC</v>
      </c>
      <c r="AV321" s="34">
        <f t="shared" si="51"/>
        <v>8010.04</v>
      </c>
      <c r="AW321" s="23">
        <v>80</v>
      </c>
      <c r="AX321" s="23">
        <v>10</v>
      </c>
      <c r="AY321" s="23">
        <v>4</v>
      </c>
    </row>
    <row r="322" spans="1:51">
      <c r="A322" s="25" t="s">
        <v>249</v>
      </c>
      <c r="C322" s="23" t="s">
        <v>332</v>
      </c>
      <c r="D322" s="23">
        <v>2</v>
      </c>
      <c r="E322" s="25" t="s">
        <v>286</v>
      </c>
      <c r="F322" s="25" t="s">
        <v>302</v>
      </c>
      <c r="G322" s="23" t="s">
        <v>27</v>
      </c>
      <c r="H322" s="23" t="s">
        <v>252</v>
      </c>
      <c r="I322" s="25">
        <v>2000</v>
      </c>
      <c r="J322" s="35">
        <v>30</v>
      </c>
      <c r="K322" s="35">
        <v>40</v>
      </c>
      <c r="L322" s="35">
        <v>20</v>
      </c>
      <c r="M322" s="25">
        <v>6</v>
      </c>
      <c r="N322" s="25">
        <v>10</v>
      </c>
      <c r="R322" s="30">
        <f t="shared" si="42"/>
        <v>16</v>
      </c>
      <c r="S322" s="37">
        <v>1.2</v>
      </c>
      <c r="T322" s="30">
        <f t="shared" si="59"/>
        <v>24.699428571428573</v>
      </c>
      <c r="U322" s="37">
        <v>1.1000000000000001</v>
      </c>
      <c r="V322" s="30">
        <f t="shared" si="57"/>
        <v>33.721809523809526</v>
      </c>
      <c r="W322" s="25">
        <v>90</v>
      </c>
      <c r="X322" s="31">
        <f t="shared" si="43"/>
        <v>278.8</v>
      </c>
      <c r="Y322" s="25">
        <v>205</v>
      </c>
      <c r="Z322" s="25">
        <v>11</v>
      </c>
      <c r="AA322" s="25">
        <v>80</v>
      </c>
      <c r="AB322" s="37">
        <v>0.8</v>
      </c>
      <c r="AC322" s="30">
        <f t="shared" si="58"/>
        <v>160</v>
      </c>
      <c r="AD322" s="31">
        <f t="shared" si="44"/>
        <v>2</v>
      </c>
      <c r="AE322" s="31">
        <f t="shared" si="45"/>
        <v>8</v>
      </c>
      <c r="AF322" s="31" t="str">
        <f t="shared" si="46"/>
        <v/>
      </c>
      <c r="AG322" s="31" t="str">
        <f t="shared" si="47"/>
        <v/>
      </c>
      <c r="AH322" s="31" t="str">
        <f t="shared" si="48"/>
        <v/>
      </c>
      <c r="AI322" s="31" t="str">
        <f t="shared" si="49"/>
        <v/>
      </c>
      <c r="AJ322" s="25">
        <v>10</v>
      </c>
      <c r="AK322" s="25">
        <v>0</v>
      </c>
      <c r="AL322" s="25">
        <v>0</v>
      </c>
      <c r="AM322" s="23" t="s">
        <v>206</v>
      </c>
      <c r="AN322" s="23" t="s">
        <v>92</v>
      </c>
      <c r="AO322" s="26" t="s">
        <v>249</v>
      </c>
      <c r="AR322" s="32" t="str">
        <f t="shared" si="50"/>
        <v>2 doors</v>
      </c>
      <c r="AS322" s="23" t="s">
        <v>334</v>
      </c>
      <c r="AT322" s="23" t="s">
        <v>270</v>
      </c>
      <c r="AU322" s="23" t="str">
        <f t="shared" si="56"/>
        <v>CC</v>
      </c>
      <c r="AV322" s="34">
        <f t="shared" si="51"/>
        <v>8010.05</v>
      </c>
      <c r="AW322" s="23">
        <v>80</v>
      </c>
      <c r="AX322" s="23">
        <v>10</v>
      </c>
      <c r="AY322" s="23">
        <v>5</v>
      </c>
    </row>
    <row r="323" spans="1:51">
      <c r="A323" s="25" t="s">
        <v>249</v>
      </c>
      <c r="C323" s="23" t="s">
        <v>332</v>
      </c>
      <c r="D323" s="23">
        <v>2</v>
      </c>
      <c r="E323" s="25" t="s">
        <v>287</v>
      </c>
      <c r="F323" s="25" t="s">
        <v>302</v>
      </c>
      <c r="G323" s="23" t="s">
        <v>27</v>
      </c>
      <c r="H323" s="23" t="s">
        <v>252</v>
      </c>
      <c r="I323" s="25">
        <v>2000</v>
      </c>
      <c r="J323" s="35">
        <v>30</v>
      </c>
      <c r="K323" s="35">
        <v>40</v>
      </c>
      <c r="L323" s="35">
        <v>20</v>
      </c>
      <c r="M323" s="25">
        <v>6</v>
      </c>
      <c r="N323" s="25">
        <v>10</v>
      </c>
      <c r="R323" s="30">
        <f t="shared" si="42"/>
        <v>16</v>
      </c>
      <c r="S323" s="37">
        <v>1.2</v>
      </c>
      <c r="T323" s="30">
        <f t="shared" si="59"/>
        <v>24.699428571428573</v>
      </c>
      <c r="U323" s="37">
        <v>1.1000000000000001</v>
      </c>
      <c r="V323" s="30">
        <f t="shared" si="57"/>
        <v>33.721809523809526</v>
      </c>
      <c r="W323" s="25">
        <v>90</v>
      </c>
      <c r="X323" s="31">
        <f t="shared" si="43"/>
        <v>278.8</v>
      </c>
      <c r="Y323" s="25">
        <v>205</v>
      </c>
      <c r="Z323" s="25">
        <v>11</v>
      </c>
      <c r="AA323" s="25">
        <v>80</v>
      </c>
      <c r="AB323" s="37">
        <v>0.8</v>
      </c>
      <c r="AC323" s="30">
        <f t="shared" si="58"/>
        <v>160</v>
      </c>
      <c r="AD323" s="31">
        <f t="shared" si="44"/>
        <v>2</v>
      </c>
      <c r="AE323" s="31">
        <f t="shared" si="45"/>
        <v>8</v>
      </c>
      <c r="AF323" s="31" t="str">
        <f t="shared" si="46"/>
        <v/>
      </c>
      <c r="AG323" s="31" t="str">
        <f t="shared" si="47"/>
        <v/>
      </c>
      <c r="AH323" s="31" t="str">
        <f t="shared" si="48"/>
        <v/>
      </c>
      <c r="AI323" s="31" t="str">
        <f t="shared" si="49"/>
        <v/>
      </c>
      <c r="AJ323" s="25">
        <v>10</v>
      </c>
      <c r="AK323" s="25">
        <v>0</v>
      </c>
      <c r="AL323" s="25">
        <v>0</v>
      </c>
      <c r="AM323" s="23" t="s">
        <v>206</v>
      </c>
      <c r="AN323" s="23" t="s">
        <v>92</v>
      </c>
      <c r="AO323" s="26" t="s">
        <v>249</v>
      </c>
      <c r="AR323" s="32" t="str">
        <f t="shared" si="50"/>
        <v>2 doors</v>
      </c>
      <c r="AS323" s="23" t="s">
        <v>334</v>
      </c>
      <c r="AT323" s="23" t="s">
        <v>270</v>
      </c>
      <c r="AU323" s="23" t="str">
        <f t="shared" si="56"/>
        <v>CC</v>
      </c>
      <c r="AV323" s="34">
        <f t="shared" si="51"/>
        <v>8010.06</v>
      </c>
      <c r="AW323" s="23">
        <v>80</v>
      </c>
      <c r="AX323" s="23">
        <v>10</v>
      </c>
      <c r="AY323" s="23">
        <v>6</v>
      </c>
    </row>
    <row r="324" spans="1:51">
      <c r="A324" s="25" t="s">
        <v>249</v>
      </c>
      <c r="C324" s="23" t="s">
        <v>330</v>
      </c>
      <c r="D324" s="23">
        <v>2</v>
      </c>
      <c r="E324" s="25" t="s">
        <v>30</v>
      </c>
      <c r="F324" s="25" t="s">
        <v>302</v>
      </c>
      <c r="G324" s="23" t="s">
        <v>27</v>
      </c>
      <c r="H324" s="23" t="s">
        <v>333</v>
      </c>
      <c r="I324" s="25">
        <v>2000</v>
      </c>
      <c r="J324" s="35">
        <v>30</v>
      </c>
      <c r="K324" s="35">
        <v>40</v>
      </c>
      <c r="L324" s="35">
        <v>20</v>
      </c>
      <c r="M324" s="25">
        <v>6</v>
      </c>
      <c r="N324" s="25">
        <v>4</v>
      </c>
      <c r="R324" s="30">
        <f t="shared" si="42"/>
        <v>10</v>
      </c>
      <c r="S324" s="37">
        <v>1.2</v>
      </c>
      <c r="T324" s="30">
        <f t="shared" si="59"/>
        <v>24.185142857142861</v>
      </c>
      <c r="U324" s="37">
        <v>1.1000000000000001</v>
      </c>
      <c r="V324" s="30">
        <f t="shared" si="57"/>
        <v>33.008380952380953</v>
      </c>
      <c r="W324" s="25">
        <v>90</v>
      </c>
      <c r="X324" s="31">
        <f t="shared" si="43"/>
        <v>278.8</v>
      </c>
      <c r="Y324" s="25">
        <v>205</v>
      </c>
      <c r="Z324" s="25">
        <v>11</v>
      </c>
      <c r="AA324" s="25">
        <v>47</v>
      </c>
      <c r="AB324" s="37">
        <v>0.8</v>
      </c>
      <c r="AC324" s="30">
        <f t="shared" si="58"/>
        <v>148</v>
      </c>
      <c r="AD324" s="31">
        <f t="shared" si="44"/>
        <v>2</v>
      </c>
      <c r="AE324" s="31">
        <f t="shared" si="45"/>
        <v>8</v>
      </c>
      <c r="AF324" s="31" t="str">
        <f t="shared" si="46"/>
        <v/>
      </c>
      <c r="AG324" s="31" t="str">
        <f t="shared" si="47"/>
        <v/>
      </c>
      <c r="AH324" s="31" t="str">
        <f t="shared" si="48"/>
        <v/>
      </c>
      <c r="AI324" s="31" t="str">
        <f t="shared" si="49"/>
        <v/>
      </c>
      <c r="AJ324" s="25">
        <v>10</v>
      </c>
      <c r="AK324" s="25">
        <v>0</v>
      </c>
      <c r="AL324" s="25">
        <v>0</v>
      </c>
      <c r="AM324" s="23" t="s">
        <v>206</v>
      </c>
      <c r="AN324" s="23" t="s">
        <v>92</v>
      </c>
      <c r="AO324" s="26" t="s">
        <v>249</v>
      </c>
      <c r="AR324" s="32" t="str">
        <f t="shared" si="50"/>
        <v>2 doors</v>
      </c>
      <c r="AS324" s="23" t="s">
        <v>253</v>
      </c>
      <c r="AT324" s="23" t="s">
        <v>33</v>
      </c>
      <c r="AU324" s="23" t="str">
        <f t="shared" si="56"/>
        <v>CC</v>
      </c>
      <c r="AV324" s="34">
        <f t="shared" si="51"/>
        <v>8020</v>
      </c>
      <c r="AW324" s="23">
        <v>80</v>
      </c>
      <c r="AX324" s="23">
        <v>20</v>
      </c>
      <c r="AY324" s="23">
        <v>0</v>
      </c>
    </row>
    <row r="325" spans="1:51">
      <c r="A325" s="25" t="s">
        <v>249</v>
      </c>
      <c r="C325" s="23" t="s">
        <v>330</v>
      </c>
      <c r="D325" s="23">
        <v>2</v>
      </c>
      <c r="E325" s="25" t="s">
        <v>42</v>
      </c>
      <c r="F325" s="25" t="s">
        <v>302</v>
      </c>
      <c r="G325" s="23" t="s">
        <v>27</v>
      </c>
      <c r="H325" s="23" t="s">
        <v>333</v>
      </c>
      <c r="I325" s="25">
        <v>2000</v>
      </c>
      <c r="J325" s="35">
        <v>30</v>
      </c>
      <c r="K325" s="35">
        <v>40</v>
      </c>
      <c r="L325" s="35">
        <v>20</v>
      </c>
      <c r="M325" s="25">
        <v>6</v>
      </c>
      <c r="N325" s="25">
        <v>4</v>
      </c>
      <c r="R325" s="30">
        <f t="shared" si="42"/>
        <v>10</v>
      </c>
      <c r="S325" s="37">
        <v>1.2</v>
      </c>
      <c r="T325" s="30">
        <f t="shared" si="59"/>
        <v>24.185142857142861</v>
      </c>
      <c r="U325" s="37">
        <v>1.1000000000000001</v>
      </c>
      <c r="V325" s="30">
        <f t="shared" si="57"/>
        <v>33.008380952380953</v>
      </c>
      <c r="W325" s="25">
        <v>90</v>
      </c>
      <c r="X325" s="31">
        <f t="shared" si="43"/>
        <v>278.8</v>
      </c>
      <c r="Y325" s="25">
        <v>205</v>
      </c>
      <c r="Z325" s="25">
        <v>11</v>
      </c>
      <c r="AA325" s="25">
        <v>47</v>
      </c>
      <c r="AB325" s="37">
        <v>0.8</v>
      </c>
      <c r="AC325" s="30">
        <f t="shared" si="58"/>
        <v>148</v>
      </c>
      <c r="AD325" s="31">
        <f t="shared" si="44"/>
        <v>2</v>
      </c>
      <c r="AE325" s="31">
        <f t="shared" si="45"/>
        <v>8</v>
      </c>
      <c r="AF325" s="31" t="str">
        <f t="shared" si="46"/>
        <v/>
      </c>
      <c r="AG325" s="31" t="str">
        <f t="shared" si="47"/>
        <v/>
      </c>
      <c r="AH325" s="31" t="str">
        <f t="shared" si="48"/>
        <v/>
      </c>
      <c r="AI325" s="31" t="str">
        <f t="shared" si="49"/>
        <v/>
      </c>
      <c r="AJ325" s="25">
        <v>10</v>
      </c>
      <c r="AK325" s="25">
        <v>0</v>
      </c>
      <c r="AL325" s="25">
        <v>0</v>
      </c>
      <c r="AM325" s="23" t="s">
        <v>206</v>
      </c>
      <c r="AN325" s="23" t="s">
        <v>92</v>
      </c>
      <c r="AO325" s="26" t="s">
        <v>249</v>
      </c>
      <c r="AR325" s="32" t="str">
        <f t="shared" si="50"/>
        <v>2 doors</v>
      </c>
      <c r="AS325" s="23" t="s">
        <v>253</v>
      </c>
      <c r="AT325" s="23" t="s">
        <v>33</v>
      </c>
      <c r="AU325" s="23" t="str">
        <f t="shared" si="56"/>
        <v>CC</v>
      </c>
      <c r="AV325" s="34">
        <f t="shared" si="51"/>
        <v>8020.01</v>
      </c>
      <c r="AW325" s="23">
        <v>80</v>
      </c>
      <c r="AX325" s="23">
        <v>20</v>
      </c>
      <c r="AY325" s="23">
        <v>1</v>
      </c>
    </row>
    <row r="326" spans="1:51">
      <c r="A326" s="25" t="s">
        <v>249</v>
      </c>
      <c r="C326" s="23" t="s">
        <v>330</v>
      </c>
      <c r="D326" s="23">
        <v>2</v>
      </c>
      <c r="E326" s="25" t="s">
        <v>43</v>
      </c>
      <c r="F326" s="25" t="s">
        <v>302</v>
      </c>
      <c r="G326" s="23" t="s">
        <v>27</v>
      </c>
      <c r="H326" s="23" t="s">
        <v>333</v>
      </c>
      <c r="I326" s="25">
        <v>2000</v>
      </c>
      <c r="J326" s="35">
        <v>30</v>
      </c>
      <c r="K326" s="35">
        <v>40</v>
      </c>
      <c r="L326" s="35">
        <v>20</v>
      </c>
      <c r="M326" s="25">
        <v>6</v>
      </c>
      <c r="N326" s="25">
        <v>4</v>
      </c>
      <c r="R326" s="30">
        <f t="shared" si="42"/>
        <v>10</v>
      </c>
      <c r="S326" s="37">
        <v>1.2</v>
      </c>
      <c r="T326" s="30">
        <f t="shared" si="59"/>
        <v>24.185142857142861</v>
      </c>
      <c r="U326" s="37">
        <v>1.1000000000000001</v>
      </c>
      <c r="V326" s="30">
        <f t="shared" si="57"/>
        <v>33.008380952380953</v>
      </c>
      <c r="W326" s="25">
        <v>90</v>
      </c>
      <c r="X326" s="31">
        <f t="shared" si="43"/>
        <v>278.8</v>
      </c>
      <c r="Y326" s="25">
        <v>205</v>
      </c>
      <c r="Z326" s="25">
        <v>11</v>
      </c>
      <c r="AA326" s="25">
        <v>47</v>
      </c>
      <c r="AB326" s="37">
        <v>0.8</v>
      </c>
      <c r="AC326" s="30">
        <f t="shared" si="58"/>
        <v>148</v>
      </c>
      <c r="AD326" s="31">
        <f t="shared" si="44"/>
        <v>2</v>
      </c>
      <c r="AE326" s="31">
        <f t="shared" si="45"/>
        <v>8</v>
      </c>
      <c r="AF326" s="31" t="str">
        <f t="shared" si="46"/>
        <v/>
      </c>
      <c r="AG326" s="31" t="str">
        <f t="shared" si="47"/>
        <v/>
      </c>
      <c r="AH326" s="31" t="str">
        <f t="shared" si="48"/>
        <v/>
      </c>
      <c r="AI326" s="31" t="str">
        <f t="shared" si="49"/>
        <v/>
      </c>
      <c r="AJ326" s="25">
        <v>10</v>
      </c>
      <c r="AK326" s="25">
        <v>0</v>
      </c>
      <c r="AL326" s="25">
        <v>0</v>
      </c>
      <c r="AM326" s="23" t="s">
        <v>206</v>
      </c>
      <c r="AN326" s="23" t="s">
        <v>92</v>
      </c>
      <c r="AO326" s="26" t="s">
        <v>249</v>
      </c>
      <c r="AR326" s="32" t="str">
        <f t="shared" si="50"/>
        <v>2 doors</v>
      </c>
      <c r="AS326" s="23" t="s">
        <v>253</v>
      </c>
      <c r="AT326" s="23" t="s">
        <v>33</v>
      </c>
      <c r="AU326" s="23" t="str">
        <f t="shared" si="56"/>
        <v>CC</v>
      </c>
      <c r="AV326" s="34">
        <f t="shared" si="51"/>
        <v>8020.02</v>
      </c>
      <c r="AW326" s="23">
        <v>80</v>
      </c>
      <c r="AX326" s="23">
        <v>20</v>
      </c>
      <c r="AY326" s="23">
        <v>2</v>
      </c>
    </row>
    <row r="327" spans="1:51">
      <c r="A327" s="25" t="s">
        <v>249</v>
      </c>
      <c r="C327" s="23" t="s">
        <v>330</v>
      </c>
      <c r="D327" s="23">
        <v>2</v>
      </c>
      <c r="E327" s="25" t="s">
        <v>284</v>
      </c>
      <c r="F327" s="25" t="s">
        <v>302</v>
      </c>
      <c r="G327" s="23" t="s">
        <v>27</v>
      </c>
      <c r="H327" s="23" t="s">
        <v>333</v>
      </c>
      <c r="I327" s="25">
        <v>2000</v>
      </c>
      <c r="J327" s="35">
        <v>30</v>
      </c>
      <c r="K327" s="35">
        <v>40</v>
      </c>
      <c r="L327" s="35">
        <v>20</v>
      </c>
      <c r="M327" s="25">
        <v>6</v>
      </c>
      <c r="N327" s="25">
        <v>4</v>
      </c>
      <c r="R327" s="30">
        <f t="shared" si="42"/>
        <v>10</v>
      </c>
      <c r="S327" s="37">
        <v>1.2</v>
      </c>
      <c r="T327" s="30">
        <f t="shared" si="59"/>
        <v>24.185142857142861</v>
      </c>
      <c r="U327" s="37">
        <v>1.1000000000000001</v>
      </c>
      <c r="V327" s="30">
        <f t="shared" si="57"/>
        <v>33.008380952380953</v>
      </c>
      <c r="W327" s="25">
        <v>90</v>
      </c>
      <c r="X327" s="31">
        <f t="shared" si="43"/>
        <v>278.8</v>
      </c>
      <c r="Y327" s="25">
        <v>205</v>
      </c>
      <c r="Z327" s="25">
        <v>11</v>
      </c>
      <c r="AA327" s="25">
        <v>47</v>
      </c>
      <c r="AB327" s="37">
        <v>0.8</v>
      </c>
      <c r="AC327" s="30">
        <f t="shared" si="58"/>
        <v>148</v>
      </c>
      <c r="AD327" s="31">
        <f t="shared" si="44"/>
        <v>2</v>
      </c>
      <c r="AE327" s="31">
        <f t="shared" si="45"/>
        <v>8</v>
      </c>
      <c r="AF327" s="31" t="str">
        <f t="shared" si="46"/>
        <v/>
      </c>
      <c r="AG327" s="31" t="str">
        <f t="shared" si="47"/>
        <v/>
      </c>
      <c r="AH327" s="31" t="str">
        <f t="shared" si="48"/>
        <v/>
      </c>
      <c r="AI327" s="31" t="str">
        <f t="shared" si="49"/>
        <v/>
      </c>
      <c r="AJ327" s="25">
        <v>10</v>
      </c>
      <c r="AK327" s="25">
        <v>0</v>
      </c>
      <c r="AL327" s="25">
        <v>0</v>
      </c>
      <c r="AM327" s="23" t="s">
        <v>206</v>
      </c>
      <c r="AN327" s="23" t="s">
        <v>92</v>
      </c>
      <c r="AO327" s="26" t="s">
        <v>249</v>
      </c>
      <c r="AR327" s="32" t="str">
        <f t="shared" si="50"/>
        <v>2 doors</v>
      </c>
      <c r="AS327" s="23" t="s">
        <v>253</v>
      </c>
      <c r="AT327" s="23" t="s">
        <v>33</v>
      </c>
      <c r="AU327" s="23" t="str">
        <f t="shared" si="56"/>
        <v>CC</v>
      </c>
      <c r="AV327" s="34">
        <f t="shared" si="51"/>
        <v>8020.03</v>
      </c>
      <c r="AW327" s="23">
        <v>80</v>
      </c>
      <c r="AX327" s="23">
        <v>20</v>
      </c>
      <c r="AY327" s="23">
        <v>3</v>
      </c>
    </row>
    <row r="328" spans="1:51">
      <c r="A328" s="25" t="s">
        <v>249</v>
      </c>
      <c r="C328" s="23" t="s">
        <v>330</v>
      </c>
      <c r="D328" s="23">
        <v>2</v>
      </c>
      <c r="E328" s="25" t="s">
        <v>285</v>
      </c>
      <c r="F328" s="25" t="s">
        <v>302</v>
      </c>
      <c r="G328" s="23" t="s">
        <v>27</v>
      </c>
      <c r="H328" s="23" t="s">
        <v>333</v>
      </c>
      <c r="I328" s="25">
        <v>2000</v>
      </c>
      <c r="J328" s="35">
        <v>30</v>
      </c>
      <c r="K328" s="35">
        <v>40</v>
      </c>
      <c r="L328" s="35">
        <v>20</v>
      </c>
      <c r="M328" s="25">
        <v>6</v>
      </c>
      <c r="N328" s="25">
        <v>4</v>
      </c>
      <c r="R328" s="30">
        <f t="shared" si="42"/>
        <v>10</v>
      </c>
      <c r="S328" s="37">
        <v>1.2</v>
      </c>
      <c r="T328" s="30">
        <f t="shared" si="59"/>
        <v>24.185142857142861</v>
      </c>
      <c r="U328" s="37">
        <v>1.1000000000000001</v>
      </c>
      <c r="V328" s="30">
        <f t="shared" si="57"/>
        <v>33.008380952380953</v>
      </c>
      <c r="W328" s="25">
        <v>90</v>
      </c>
      <c r="X328" s="31">
        <f t="shared" si="43"/>
        <v>278.8</v>
      </c>
      <c r="Y328" s="25">
        <v>205</v>
      </c>
      <c r="Z328" s="25">
        <v>11</v>
      </c>
      <c r="AA328" s="25">
        <v>47</v>
      </c>
      <c r="AB328" s="37">
        <v>0.8</v>
      </c>
      <c r="AC328" s="30">
        <f t="shared" si="58"/>
        <v>148</v>
      </c>
      <c r="AD328" s="31">
        <f t="shared" si="44"/>
        <v>2</v>
      </c>
      <c r="AE328" s="31">
        <f t="shared" si="45"/>
        <v>8</v>
      </c>
      <c r="AF328" s="31" t="str">
        <f t="shared" si="46"/>
        <v/>
      </c>
      <c r="AG328" s="31" t="str">
        <f t="shared" si="47"/>
        <v/>
      </c>
      <c r="AH328" s="31" t="str">
        <f t="shared" si="48"/>
        <v/>
      </c>
      <c r="AI328" s="31" t="str">
        <f t="shared" si="49"/>
        <v/>
      </c>
      <c r="AJ328" s="25">
        <v>10</v>
      </c>
      <c r="AK328" s="25">
        <v>0</v>
      </c>
      <c r="AL328" s="25">
        <v>0</v>
      </c>
      <c r="AM328" s="23" t="s">
        <v>206</v>
      </c>
      <c r="AN328" s="23" t="s">
        <v>92</v>
      </c>
      <c r="AO328" s="26" t="s">
        <v>249</v>
      </c>
      <c r="AR328" s="32" t="str">
        <f t="shared" si="50"/>
        <v>2 doors</v>
      </c>
      <c r="AS328" s="23" t="s">
        <v>253</v>
      </c>
      <c r="AT328" s="23" t="s">
        <v>33</v>
      </c>
      <c r="AU328" s="23" t="str">
        <f t="shared" si="56"/>
        <v>CC</v>
      </c>
      <c r="AV328" s="34">
        <f t="shared" si="51"/>
        <v>8020.04</v>
      </c>
      <c r="AW328" s="23">
        <v>80</v>
      </c>
      <c r="AX328" s="23">
        <v>20</v>
      </c>
      <c r="AY328" s="23">
        <v>4</v>
      </c>
    </row>
    <row r="329" spans="1:51">
      <c r="A329" s="25" t="s">
        <v>249</v>
      </c>
      <c r="C329" s="23" t="s">
        <v>330</v>
      </c>
      <c r="D329" s="23">
        <v>2</v>
      </c>
      <c r="E329" s="25" t="s">
        <v>286</v>
      </c>
      <c r="F329" s="25" t="s">
        <v>302</v>
      </c>
      <c r="G329" s="23" t="s">
        <v>27</v>
      </c>
      <c r="H329" s="23" t="s">
        <v>333</v>
      </c>
      <c r="I329" s="25">
        <v>2000</v>
      </c>
      <c r="J329" s="35">
        <v>30</v>
      </c>
      <c r="K329" s="35">
        <v>40</v>
      </c>
      <c r="L329" s="35">
        <v>20</v>
      </c>
      <c r="M329" s="25">
        <v>6</v>
      </c>
      <c r="N329" s="25">
        <v>4</v>
      </c>
      <c r="R329" s="30">
        <f t="shared" si="42"/>
        <v>10</v>
      </c>
      <c r="S329" s="37">
        <v>1.2</v>
      </c>
      <c r="T329" s="30">
        <f t="shared" si="59"/>
        <v>24.185142857142861</v>
      </c>
      <c r="U329" s="37">
        <v>1.1000000000000001</v>
      </c>
      <c r="V329" s="30">
        <f t="shared" si="57"/>
        <v>33.008380952380953</v>
      </c>
      <c r="W329" s="25">
        <v>90</v>
      </c>
      <c r="X329" s="31">
        <f t="shared" si="43"/>
        <v>278.8</v>
      </c>
      <c r="Y329" s="25">
        <v>205</v>
      </c>
      <c r="Z329" s="25">
        <v>11</v>
      </c>
      <c r="AA329" s="25">
        <v>47</v>
      </c>
      <c r="AB329" s="37">
        <v>0.8</v>
      </c>
      <c r="AC329" s="30">
        <f t="shared" si="58"/>
        <v>148</v>
      </c>
      <c r="AD329" s="31">
        <f t="shared" si="44"/>
        <v>2</v>
      </c>
      <c r="AE329" s="31">
        <f t="shared" si="45"/>
        <v>8</v>
      </c>
      <c r="AF329" s="31" t="str">
        <f t="shared" si="46"/>
        <v/>
      </c>
      <c r="AG329" s="31" t="str">
        <f t="shared" si="47"/>
        <v/>
      </c>
      <c r="AH329" s="31" t="str">
        <f t="shared" si="48"/>
        <v/>
      </c>
      <c r="AI329" s="31" t="str">
        <f t="shared" si="49"/>
        <v/>
      </c>
      <c r="AJ329" s="25">
        <v>10</v>
      </c>
      <c r="AK329" s="25">
        <v>0</v>
      </c>
      <c r="AL329" s="25">
        <v>0</v>
      </c>
      <c r="AM329" s="23" t="s">
        <v>206</v>
      </c>
      <c r="AN329" s="23" t="s">
        <v>92</v>
      </c>
      <c r="AO329" s="26" t="s">
        <v>249</v>
      </c>
      <c r="AR329" s="32" t="str">
        <f t="shared" si="50"/>
        <v>2 doors</v>
      </c>
      <c r="AS329" s="23" t="s">
        <v>253</v>
      </c>
      <c r="AT329" s="23" t="s">
        <v>33</v>
      </c>
      <c r="AU329" s="23" t="str">
        <f t="shared" si="56"/>
        <v>CC</v>
      </c>
      <c r="AV329" s="34">
        <f t="shared" si="51"/>
        <v>8020.05</v>
      </c>
      <c r="AW329" s="23">
        <v>80</v>
      </c>
      <c r="AX329" s="23">
        <v>20</v>
      </c>
      <c r="AY329" s="23">
        <v>5</v>
      </c>
    </row>
    <row r="330" spans="1:51">
      <c r="A330" s="25" t="s">
        <v>249</v>
      </c>
      <c r="C330" s="23" t="s">
        <v>330</v>
      </c>
      <c r="D330" s="23">
        <v>2</v>
      </c>
      <c r="E330" s="25" t="s">
        <v>287</v>
      </c>
      <c r="F330" s="25" t="s">
        <v>302</v>
      </c>
      <c r="G330" s="23" t="s">
        <v>27</v>
      </c>
      <c r="H330" s="23" t="s">
        <v>333</v>
      </c>
      <c r="I330" s="25">
        <v>2000</v>
      </c>
      <c r="J330" s="35">
        <v>30</v>
      </c>
      <c r="K330" s="35">
        <v>40</v>
      </c>
      <c r="L330" s="35">
        <v>20</v>
      </c>
      <c r="M330" s="25">
        <v>6</v>
      </c>
      <c r="N330" s="25">
        <v>4</v>
      </c>
      <c r="R330" s="30">
        <f t="shared" si="42"/>
        <v>10</v>
      </c>
      <c r="S330" s="37">
        <v>1.2</v>
      </c>
      <c r="T330" s="30">
        <f t="shared" si="59"/>
        <v>24.185142857142861</v>
      </c>
      <c r="U330" s="37">
        <v>1.1000000000000001</v>
      </c>
      <c r="V330" s="30">
        <f t="shared" si="57"/>
        <v>33.008380952380953</v>
      </c>
      <c r="W330" s="25">
        <v>90</v>
      </c>
      <c r="X330" s="31">
        <f t="shared" si="43"/>
        <v>278.8</v>
      </c>
      <c r="Y330" s="25">
        <v>205</v>
      </c>
      <c r="Z330" s="25">
        <v>11</v>
      </c>
      <c r="AA330" s="25">
        <v>47</v>
      </c>
      <c r="AB330" s="37">
        <v>0.8</v>
      </c>
      <c r="AC330" s="30">
        <f t="shared" si="58"/>
        <v>148</v>
      </c>
      <c r="AD330" s="31">
        <f t="shared" si="44"/>
        <v>2</v>
      </c>
      <c r="AE330" s="31">
        <f t="shared" si="45"/>
        <v>8</v>
      </c>
      <c r="AF330" s="31" t="str">
        <f t="shared" si="46"/>
        <v/>
      </c>
      <c r="AG330" s="31" t="str">
        <f t="shared" si="47"/>
        <v/>
      </c>
      <c r="AH330" s="31" t="str">
        <f t="shared" si="48"/>
        <v/>
      </c>
      <c r="AI330" s="31" t="str">
        <f t="shared" si="49"/>
        <v/>
      </c>
      <c r="AJ330" s="25">
        <v>10</v>
      </c>
      <c r="AK330" s="25">
        <v>0</v>
      </c>
      <c r="AL330" s="25">
        <v>0</v>
      </c>
      <c r="AM330" s="23" t="s">
        <v>206</v>
      </c>
      <c r="AN330" s="23" t="s">
        <v>92</v>
      </c>
      <c r="AO330" s="26" t="s">
        <v>249</v>
      </c>
      <c r="AR330" s="32" t="str">
        <f t="shared" si="50"/>
        <v>2 doors</v>
      </c>
      <c r="AS330" s="23" t="s">
        <v>253</v>
      </c>
      <c r="AT330" s="23" t="s">
        <v>33</v>
      </c>
      <c r="AU330" s="23" t="str">
        <f t="shared" si="56"/>
        <v>CC</v>
      </c>
      <c r="AV330" s="34">
        <f t="shared" si="51"/>
        <v>8020.06</v>
      </c>
      <c r="AW330" s="23">
        <v>80</v>
      </c>
      <c r="AX330" s="23">
        <v>20</v>
      </c>
      <c r="AY330" s="23">
        <v>6</v>
      </c>
    </row>
    <row r="331" spans="1:51">
      <c r="A331" s="25" t="s">
        <v>264</v>
      </c>
      <c r="D331" s="23">
        <v>2</v>
      </c>
      <c r="E331" s="25" t="s">
        <v>30</v>
      </c>
      <c r="F331" s="25" t="s">
        <v>301</v>
      </c>
      <c r="G331" s="23" t="s">
        <v>28</v>
      </c>
      <c r="H331" s="23" t="s">
        <v>262</v>
      </c>
      <c r="I331" s="25">
        <v>2000</v>
      </c>
      <c r="J331" s="35">
        <v>30</v>
      </c>
      <c r="K331" s="35">
        <v>40</v>
      </c>
      <c r="L331" s="35">
        <v>20</v>
      </c>
      <c r="M331" s="25">
        <v>14</v>
      </c>
      <c r="N331" s="25">
        <v>14</v>
      </c>
      <c r="O331" s="25">
        <v>14</v>
      </c>
      <c r="P331" s="25">
        <v>14</v>
      </c>
      <c r="R331" s="30">
        <f t="shared" si="42"/>
        <v>56</v>
      </c>
      <c r="S331" s="37">
        <v>1</v>
      </c>
      <c r="T331" s="30">
        <f t="shared" si="59"/>
        <v>32.012799999999999</v>
      </c>
      <c r="U331" s="37">
        <v>1</v>
      </c>
      <c r="V331" s="30">
        <f t="shared" si="57"/>
        <v>31.42506666666667</v>
      </c>
      <c r="W331" s="25">
        <v>90</v>
      </c>
      <c r="X331" s="31">
        <f t="shared" si="43"/>
        <v>316.88</v>
      </c>
      <c r="Y331" s="25">
        <v>233</v>
      </c>
      <c r="Z331" s="25">
        <v>15</v>
      </c>
      <c r="AA331" s="25">
        <v>164</v>
      </c>
      <c r="AB331" s="37">
        <v>1</v>
      </c>
      <c r="AC331" s="30">
        <f t="shared" si="58"/>
        <v>200</v>
      </c>
      <c r="AD331" s="31">
        <f t="shared" si="44"/>
        <v>2</v>
      </c>
      <c r="AE331" s="31">
        <f t="shared" si="45"/>
        <v>8</v>
      </c>
      <c r="AF331" s="31">
        <f t="shared" si="46"/>
        <v>7</v>
      </c>
      <c r="AG331" s="31" t="str">
        <f t="shared" si="47"/>
        <v/>
      </c>
      <c r="AH331" s="31" t="str">
        <f t="shared" si="48"/>
        <v/>
      </c>
      <c r="AI331" s="31" t="str">
        <f t="shared" si="49"/>
        <v/>
      </c>
      <c r="AJ331" s="25">
        <v>10</v>
      </c>
      <c r="AK331" s="25">
        <v>7</v>
      </c>
      <c r="AL331" s="25">
        <v>0</v>
      </c>
      <c r="AM331" s="23" t="s">
        <v>206</v>
      </c>
      <c r="AN331" s="23" t="s">
        <v>92</v>
      </c>
      <c r="AO331" s="26" t="s">
        <v>264</v>
      </c>
      <c r="AR331" s="32" t="str">
        <f t="shared" si="50"/>
        <v>4 doors</v>
      </c>
      <c r="AS331" s="23" t="s">
        <v>265</v>
      </c>
      <c r="AT331" s="23" t="s">
        <v>32</v>
      </c>
      <c r="AU331" s="23" t="str">
        <f t="shared" si="56"/>
        <v>CC</v>
      </c>
      <c r="AV331" s="34">
        <f t="shared" si="51"/>
        <v>8050</v>
      </c>
      <c r="AW331" s="23">
        <v>80</v>
      </c>
      <c r="AX331" s="23">
        <v>50</v>
      </c>
      <c r="AY331" s="23">
        <v>0</v>
      </c>
    </row>
    <row r="332" spans="1:51">
      <c r="A332" s="25" t="s">
        <v>264</v>
      </c>
      <c r="D332" s="23">
        <v>2</v>
      </c>
      <c r="E332" s="25" t="s">
        <v>30</v>
      </c>
      <c r="F332" s="25" t="s">
        <v>295</v>
      </c>
      <c r="G332" s="23" t="s">
        <v>27</v>
      </c>
      <c r="H332" s="23" t="s">
        <v>263</v>
      </c>
      <c r="I332" s="25">
        <v>2001</v>
      </c>
      <c r="J332" s="35">
        <v>30</v>
      </c>
      <c r="K332" s="35">
        <v>40</v>
      </c>
      <c r="L332" s="35">
        <v>20</v>
      </c>
      <c r="M332" s="25">
        <v>10</v>
      </c>
      <c r="N332" s="25">
        <v>10</v>
      </c>
      <c r="O332" s="25">
        <v>10</v>
      </c>
      <c r="P332" s="25">
        <v>10</v>
      </c>
      <c r="R332" s="30">
        <f t="shared" si="42"/>
        <v>40</v>
      </c>
      <c r="S332" s="37">
        <v>1</v>
      </c>
      <c r="T332" s="30">
        <f t="shared" si="59"/>
        <v>28.513142857142856</v>
      </c>
      <c r="U332" s="37">
        <v>1</v>
      </c>
      <c r="V332" s="30">
        <f t="shared" si="57"/>
        <v>41.855809523809519</v>
      </c>
      <c r="W332" s="25">
        <v>90</v>
      </c>
      <c r="X332" s="31">
        <f t="shared" si="43"/>
        <v>363.12</v>
      </c>
      <c r="Y332" s="25">
        <v>267</v>
      </c>
      <c r="Z332" s="25">
        <v>15</v>
      </c>
      <c r="AA332" s="25">
        <v>178</v>
      </c>
      <c r="AB332" s="37">
        <v>1</v>
      </c>
      <c r="AC332" s="30">
        <f t="shared" si="58"/>
        <v>200</v>
      </c>
      <c r="AD332" s="31">
        <f t="shared" si="44"/>
        <v>2</v>
      </c>
      <c r="AE332" s="31">
        <f t="shared" si="45"/>
        <v>8</v>
      </c>
      <c r="AF332" s="31">
        <f t="shared" si="46"/>
        <v>7</v>
      </c>
      <c r="AG332" s="31" t="str">
        <f t="shared" si="47"/>
        <v/>
      </c>
      <c r="AH332" s="31" t="str">
        <f t="shared" si="48"/>
        <v/>
      </c>
      <c r="AI332" s="31" t="str">
        <f t="shared" si="49"/>
        <v/>
      </c>
      <c r="AJ332" s="25">
        <v>10</v>
      </c>
      <c r="AK332" s="25">
        <v>7</v>
      </c>
      <c r="AL332" s="25">
        <v>0</v>
      </c>
      <c r="AM332" s="23" t="s">
        <v>206</v>
      </c>
      <c r="AN332" s="23" t="s">
        <v>92</v>
      </c>
      <c r="AO332" s="26" t="s">
        <v>264</v>
      </c>
      <c r="AR332" s="32" t="str">
        <f t="shared" si="50"/>
        <v>4 doors</v>
      </c>
      <c r="AS332" s="23" t="s">
        <v>266</v>
      </c>
      <c r="AT332" s="23" t="s">
        <v>32</v>
      </c>
      <c r="AU332" s="23" t="str">
        <f t="shared" si="56"/>
        <v>CC</v>
      </c>
      <c r="AV332" s="34">
        <f t="shared" si="51"/>
        <v>8060</v>
      </c>
      <c r="AW332" s="23">
        <v>80</v>
      </c>
      <c r="AX332" s="23">
        <v>60</v>
      </c>
      <c r="AY332" s="23">
        <v>0</v>
      </c>
    </row>
  </sheetData>
  <conditionalFormatting sqref="A2:A400">
    <cfRule type="expression" dxfId="5" priority="1">
      <formula>$AY2=0</formula>
    </cfRule>
  </conditionalFormatting>
  <conditionalFormatting sqref="I1:I1048576">
    <cfRule type="cellIs" dxfId="4" priority="6" operator="equal">
      <formula>2029</formula>
    </cfRule>
  </conditionalFormatting>
  <conditionalFormatting sqref="J1:M1048576 Z1:AA1048576">
    <cfRule type="cellIs" dxfId="3" priority="5" operator="equal">
      <formula>1</formula>
    </cfRule>
  </conditionalFormatting>
  <conditionalFormatting sqref="S1:S1048576 U1:U1048576 AB1:AB1048576">
    <cfRule type="cellIs" dxfId="2" priority="2" operator="notEqual">
      <formula>1</formula>
    </cfRule>
  </conditionalFormatting>
  <conditionalFormatting sqref="W1:W1048576">
    <cfRule type="cellIs" dxfId="1" priority="4" operator="equal">
      <formula>260</formula>
    </cfRule>
  </conditionalFormatting>
  <conditionalFormatting sqref="Y1:Y1048576">
    <cfRule type="cellIs" dxfId="0" priority="3" operator="equal">
      <formula>30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Y332"/>
  <sheetViews>
    <sheetView tabSelected="1" zoomScale="80" zoomScaleNormal="80" workbookViewId="0">
      <pane xSplit="1" topLeftCell="B1" activePane="topRight" state="frozen"/>
      <selection pane="topRight" activeCell="B4" sqref="B4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9" style="37" customWidth="1"/>
    <col min="20" max="20" width="6.5" style="31" bestFit="1" customWidth="1"/>
    <col min="21" max="21" width="6.5" style="37" customWidth="1"/>
    <col min="22" max="22" width="5.5" style="31" bestFit="1" customWidth="1"/>
    <col min="23" max="23" width="5.5" style="25" bestFit="1" customWidth="1"/>
    <col min="24" max="24" width="3.796875" style="31" bestFit="1" customWidth="1"/>
    <col min="25" max="25" width="3.796875" style="25" bestFit="1" customWidth="1"/>
    <col min="26" max="26" width="3.69921875" style="25" bestFit="1" customWidth="1"/>
    <col min="27" max="27" width="3.796875" style="25" bestFit="1" customWidth="1"/>
    <col min="28" max="28" width="3.796875" style="37" customWidth="1"/>
    <col min="29" max="29" width="7.796875" style="30" bestFit="1" customWidth="1"/>
    <col min="30" max="35" width="4.69921875" style="31" customWidth="1"/>
    <col min="36" max="38" width="4.69921875" style="25" customWidth="1"/>
    <col min="39" max="39" width="17.59765625" style="23" bestFit="1" customWidth="1"/>
    <col min="40" max="40" width="17.59765625" style="23" customWidth="1"/>
    <col min="41" max="41" width="11.5" style="26" bestFit="1" customWidth="1"/>
    <col min="42" max="42" width="8" style="28" bestFit="1" customWidth="1"/>
    <col min="43" max="43" width="6.3984375" style="26" customWidth="1"/>
    <col min="44" max="44" width="9.09765625" style="32"/>
    <col min="45" max="45" width="15.59765625" style="23" bestFit="1" customWidth="1"/>
    <col min="46" max="46" width="9.09765625" style="23"/>
    <col min="47" max="47" width="12.69921875" style="23" customWidth="1"/>
    <col min="48" max="48" width="9.09765625" style="34"/>
    <col min="49" max="51" width="4" style="23" customWidth="1"/>
    <col min="52" max="16384" width="9.09765625" style="23"/>
  </cols>
  <sheetData>
    <row r="1" spans="1:51" s="24" customFormat="1" ht="64.2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36" t="s">
        <v>325</v>
      </c>
      <c r="T1" s="29" t="s">
        <v>56</v>
      </c>
      <c r="U1" s="36" t="s">
        <v>326</v>
      </c>
      <c r="V1" s="29" t="s">
        <v>57</v>
      </c>
      <c r="W1" s="24" t="s">
        <v>63</v>
      </c>
      <c r="X1" s="29" t="s">
        <v>62</v>
      </c>
      <c r="Y1" s="24" t="s">
        <v>58</v>
      </c>
      <c r="Z1" s="24" t="s">
        <v>61</v>
      </c>
      <c r="AA1" s="24" t="s">
        <v>60</v>
      </c>
      <c r="AB1" s="36" t="s">
        <v>324</v>
      </c>
      <c r="AC1" s="38" t="s">
        <v>59</v>
      </c>
      <c r="AD1" s="29" t="s">
        <v>64</v>
      </c>
      <c r="AE1" s="29" t="s">
        <v>65</v>
      </c>
      <c r="AF1" s="29" t="s">
        <v>66</v>
      </c>
      <c r="AG1" s="29" t="s">
        <v>67</v>
      </c>
      <c r="AH1" s="29" t="s">
        <v>68</v>
      </c>
      <c r="AI1" s="29" t="s">
        <v>69</v>
      </c>
      <c r="AJ1" s="24" t="s">
        <v>81</v>
      </c>
      <c r="AK1" s="24" t="s">
        <v>82</v>
      </c>
      <c r="AL1" s="24" t="s">
        <v>83</v>
      </c>
      <c r="AM1" s="24" t="s">
        <v>70</v>
      </c>
      <c r="AN1" s="24" t="s">
        <v>91</v>
      </c>
      <c r="AO1" s="24" t="s">
        <v>29</v>
      </c>
      <c r="AP1" s="27" t="s">
        <v>71</v>
      </c>
      <c r="AQ1" s="24" t="s">
        <v>72</v>
      </c>
      <c r="AR1" s="29" t="s">
        <v>74</v>
      </c>
      <c r="AS1" s="24" t="s">
        <v>73</v>
      </c>
      <c r="AT1" s="24" t="s">
        <v>31</v>
      </c>
      <c r="AU1" s="24" t="s">
        <v>45</v>
      </c>
      <c r="AV1" s="33" t="s">
        <v>34</v>
      </c>
      <c r="AW1" s="24" t="s">
        <v>243</v>
      </c>
      <c r="AX1" s="24" t="s">
        <v>244</v>
      </c>
      <c r="AY1" s="24" t="s">
        <v>245</v>
      </c>
    </row>
    <row r="2" spans="1:51">
      <c r="A2" s="25" t="s">
        <v>272</v>
      </c>
      <c r="B2" s="23" t="s">
        <v>273</v>
      </c>
      <c r="D2" s="23">
        <v>1</v>
      </c>
      <c r="E2" s="25" t="s">
        <v>30</v>
      </c>
      <c r="F2" s="25" t="s">
        <v>295</v>
      </c>
      <c r="G2" s="23" t="s">
        <v>271</v>
      </c>
      <c r="H2" s="23" t="s">
        <v>274</v>
      </c>
      <c r="I2" s="25">
        <v>1929</v>
      </c>
      <c r="J2" s="35">
        <v>30</v>
      </c>
      <c r="K2" s="35">
        <v>40</v>
      </c>
      <c r="L2" s="35">
        <v>20</v>
      </c>
      <c r="M2" s="25">
        <v>5</v>
      </c>
      <c r="R2" s="30">
        <f t="shared" ref="R2" si="0">SUM(M2:Q2)</f>
        <v>5</v>
      </c>
      <c r="S2" s="37">
        <v>1</v>
      </c>
      <c r="T2" s="30">
        <f>S2*IF(OR(G2="diesel", G2="petrol"), ((Z2+(X2/10))/2)+(R2/14), IF(OR(G2="cng", G2="hybrid"), ((Z2+(X2/10))/2*1.2)+(R2/14), IF(OR(G2="hydrogen", G2="electric"), ((Z2+(X2/10))/2*1.5)+(R2/14), 0)))</f>
        <v>6.6891428571428566</v>
      </c>
      <c r="U2" s="37">
        <v>1</v>
      </c>
      <c r="V2" s="30">
        <f>U2*IF(G2="petrol", ((Z2+(AA2/15)+X2)/10*1.5)+(R2/14), IF(G2="diesel", ((Z2+(AA2/15)+X2)/10)+(R2/14), IF(OR(G2="cng", G2="hybrid"), ((Z2+(AA2/15)+X2)/10*0.8)+(R2/14), IF(OR(G2="hydrogen", G2="electric"), ((Z2+(AA2/15)+X2)/10*0.5)+(R2/14), 0))))</f>
        <v>11.653142857142857</v>
      </c>
      <c r="W2" s="25">
        <v>60</v>
      </c>
      <c r="X2" s="31">
        <f t="shared" ref="X2" si="1">Y2*1.36</f>
        <v>66.64</v>
      </c>
      <c r="Y2" s="25">
        <v>49</v>
      </c>
      <c r="Z2" s="25">
        <v>6</v>
      </c>
      <c r="AA2" s="25">
        <v>40</v>
      </c>
      <c r="AB2" s="37">
        <v>1</v>
      </c>
      <c r="AC2" s="30">
        <f>AB2*IF(AT2="Regional", 185, IF(AT2="Intercity", 150, IF(AT2="Tourist", 100, 200)))</f>
        <v>200</v>
      </c>
      <c r="AD2" s="31">
        <f t="shared" ref="AD2" si="2">IF(AJ2&gt;8, AJ2-8, AJ2)</f>
        <v>1</v>
      </c>
      <c r="AE2" s="31">
        <f t="shared" ref="AE2" si="3">IF(AJ2&gt;8, 8, "")</f>
        <v>8</v>
      </c>
      <c r="AF2" s="31" t="str">
        <f t="shared" ref="AF2" si="4">IF(AK2&gt;8, AK2-8, IF(AK2=0, "", AK2))</f>
        <v/>
      </c>
      <c r="AG2" s="31" t="str">
        <f t="shared" ref="AG2" si="5">IF(AK2&gt;8, 8, "")</f>
        <v/>
      </c>
      <c r="AH2" s="31" t="str">
        <f t="shared" ref="AH2" si="6">IF(AL2&gt;8, AL2-8, IF(AL2=0, "", AL2))</f>
        <v/>
      </c>
      <c r="AI2" s="31" t="str">
        <f t="shared" ref="AI2" si="7">IF(AL2&gt;8, 8, "")</f>
        <v/>
      </c>
      <c r="AJ2" s="25">
        <v>9</v>
      </c>
      <c r="AK2" s="25">
        <v>0</v>
      </c>
      <c r="AL2" s="25">
        <v>0</v>
      </c>
      <c r="AM2" s="23" t="s">
        <v>110</v>
      </c>
      <c r="AN2" s="23" t="s">
        <v>275</v>
      </c>
      <c r="AO2" s="25" t="s">
        <v>272</v>
      </c>
      <c r="AR2" s="32" t="str">
        <f t="shared" ref="AR2" si="8">IF(Q2&gt;0, "5 doors", IF(P2&gt;0, "4 doors", IF(O2&gt;0, "3 doors", IF(N2&gt;0, "2 doors", "1 door"))))</f>
        <v>1 door</v>
      </c>
      <c r="AS2" s="23" t="s">
        <v>276</v>
      </c>
      <c r="AT2" s="23" t="s">
        <v>32</v>
      </c>
      <c r="AU2" s="23" t="str">
        <f>IF(ISNUMBER(SEARCH("CC", E2)), "CC", "Hungary")</f>
        <v>CC</v>
      </c>
      <c r="AV2" s="34">
        <f t="shared" ref="AV2" si="9">(AW2*100)+AX2+(AY2/100)</f>
        <v>130</v>
      </c>
      <c r="AW2" s="23">
        <v>1</v>
      </c>
      <c r="AX2" s="23">
        <v>30</v>
      </c>
      <c r="AY2" s="23">
        <v>0</v>
      </c>
    </row>
    <row r="3" spans="1:51">
      <c r="A3" s="25" t="s">
        <v>277</v>
      </c>
      <c r="B3" s="23" t="s">
        <v>273</v>
      </c>
      <c r="D3" s="23">
        <v>1</v>
      </c>
      <c r="E3" s="25" t="s">
        <v>30</v>
      </c>
      <c r="F3" s="25" t="s">
        <v>295</v>
      </c>
      <c r="G3" s="23" t="s">
        <v>271</v>
      </c>
      <c r="H3" s="23" t="s">
        <v>279</v>
      </c>
      <c r="I3" s="25">
        <v>1929</v>
      </c>
      <c r="J3" s="35">
        <v>30</v>
      </c>
      <c r="K3" s="35">
        <v>40</v>
      </c>
      <c r="L3" s="35">
        <v>20</v>
      </c>
      <c r="M3" s="25">
        <v>5</v>
      </c>
      <c r="R3" s="30">
        <f t="shared" ref="R3:R4" si="10">SUM(M3:Q3)</f>
        <v>5</v>
      </c>
      <c r="S3" s="37">
        <v>1</v>
      </c>
      <c r="T3" s="30">
        <f t="shared" ref="T3:T78" si="11">S3*IF(OR(G3="diesel", G3="petrol"), ((Z3+(X3/10))/2)+(R3/14), IF(OR(G3="cng", G3="hybrid"), ((Z3+(X3/10))/2*1.2)+(R3/14), IF(OR(G3="hydrogen", G3="electric"), ((Z3+(X3/10))/2*1.5)+(R3/14), 0)))</f>
        <v>7.1891428571428566</v>
      </c>
      <c r="U3" s="37">
        <v>1</v>
      </c>
      <c r="V3" s="30">
        <f t="shared" ref="V3:V66" si="12">U3*IF(G3="petrol", ((Z3+(AA3/15)+X3)/10*1.5)+(R3/14), IF(G3="diesel", ((Z3+(AA3/15)+X3)/10)+(R3/14), IF(OR(G3="cng", G3="hybrid"), ((Z3+(AA3/15)+X3)/10*0.8)+(R3/14), IF(OR(G3="hydrogen", G3="electric"), ((Z3+(AA3/15)+X3)/10*0.5)+(R3/14), 0))))</f>
        <v>11.903142857142857</v>
      </c>
      <c r="W3" s="25">
        <v>60</v>
      </c>
      <c r="X3" s="31">
        <f t="shared" ref="X3:X4" si="13">Y3*1.36</f>
        <v>66.64</v>
      </c>
      <c r="Y3" s="25">
        <v>49</v>
      </c>
      <c r="Z3" s="25">
        <v>7</v>
      </c>
      <c r="AA3" s="25">
        <v>50</v>
      </c>
      <c r="AB3" s="37">
        <v>1</v>
      </c>
      <c r="AC3" s="30">
        <f t="shared" ref="AC3:AC66" si="14">AB3*IF(AT3="Regional", 185, IF(AT3="Intercity", 150, IF(AT3="Tourist", 100, 200)))</f>
        <v>200</v>
      </c>
      <c r="AD3" s="31">
        <f t="shared" ref="AD3:AD4" si="15">IF(AJ3&gt;8, AJ3-8, AJ3)</f>
        <v>2</v>
      </c>
      <c r="AE3" s="31">
        <f t="shared" ref="AE3:AE4" si="16">IF(AJ3&gt;8, 8, "")</f>
        <v>8</v>
      </c>
      <c r="AF3" s="31" t="str">
        <f t="shared" ref="AF3:AF4" si="17">IF(AK3&gt;8, AK3-8, IF(AK3=0, "", AK3))</f>
        <v/>
      </c>
      <c r="AG3" s="31" t="str">
        <f t="shared" ref="AG3:AG4" si="18">IF(AK3&gt;8, 8, "")</f>
        <v/>
      </c>
      <c r="AH3" s="31" t="str">
        <f t="shared" ref="AH3:AH4" si="19">IF(AL3&gt;8, AL3-8, IF(AL3=0, "", AL3))</f>
        <v/>
      </c>
      <c r="AI3" s="31" t="str">
        <f t="shared" ref="AI3:AI4" si="20">IF(AL3&gt;8, 8, "")</f>
        <v/>
      </c>
      <c r="AJ3" s="25">
        <v>10</v>
      </c>
      <c r="AK3" s="25">
        <v>0</v>
      </c>
      <c r="AL3" s="25">
        <v>0</v>
      </c>
      <c r="AM3" s="23" t="s">
        <v>110</v>
      </c>
      <c r="AN3" s="23" t="s">
        <v>275</v>
      </c>
      <c r="AO3" s="25" t="s">
        <v>277</v>
      </c>
      <c r="AR3" s="32" t="str">
        <f t="shared" ref="AR3:AR4" si="21">IF(Q3&gt;0, "5 doors", IF(P3&gt;0, "4 doors", IF(O3&gt;0, "3 doors", IF(N3&gt;0, "2 doors", "1 door"))))</f>
        <v>1 door</v>
      </c>
      <c r="AS3" s="23" t="s">
        <v>276</v>
      </c>
      <c r="AT3" s="23" t="s">
        <v>32</v>
      </c>
      <c r="AU3" s="23" t="str">
        <f t="shared" ref="AU3:AU66" si="22">IF(ISNUMBER(SEARCH("CC", E3)), "CC", "Hungary")</f>
        <v>CC</v>
      </c>
      <c r="AV3" s="34">
        <f t="shared" ref="AV3:AV4" si="23">(AW3*100)+AX3+(AY3/100)</f>
        <v>132</v>
      </c>
      <c r="AW3" s="23">
        <v>1</v>
      </c>
      <c r="AX3" s="23">
        <v>32</v>
      </c>
      <c r="AY3" s="23">
        <v>0</v>
      </c>
    </row>
    <row r="4" spans="1:51">
      <c r="A4" s="25" t="s">
        <v>278</v>
      </c>
      <c r="B4" s="23" t="s">
        <v>273</v>
      </c>
      <c r="D4" s="23">
        <v>1</v>
      </c>
      <c r="E4" s="25" t="s">
        <v>30</v>
      </c>
      <c r="F4" s="25" t="s">
        <v>295</v>
      </c>
      <c r="G4" s="23" t="s">
        <v>271</v>
      </c>
      <c r="H4" s="23" t="s">
        <v>280</v>
      </c>
      <c r="I4" s="25">
        <v>1929</v>
      </c>
      <c r="J4" s="35">
        <v>30</v>
      </c>
      <c r="K4" s="35">
        <v>40</v>
      </c>
      <c r="L4" s="35">
        <v>20</v>
      </c>
      <c r="M4" s="25">
        <v>5</v>
      </c>
      <c r="R4" s="30">
        <f t="shared" si="10"/>
        <v>5</v>
      </c>
      <c r="S4" s="37">
        <v>1</v>
      </c>
      <c r="T4" s="30">
        <f t="shared" si="11"/>
        <v>7.6891428571428566</v>
      </c>
      <c r="U4" s="37">
        <v>1</v>
      </c>
      <c r="V4" s="30">
        <f t="shared" si="12"/>
        <v>12.183142857142858</v>
      </c>
      <c r="W4" s="25">
        <v>60</v>
      </c>
      <c r="X4" s="31">
        <f t="shared" si="13"/>
        <v>66.64</v>
      </c>
      <c r="Y4" s="25">
        <v>49</v>
      </c>
      <c r="Z4" s="25">
        <v>8</v>
      </c>
      <c r="AA4" s="25">
        <v>63</v>
      </c>
      <c r="AB4" s="37">
        <v>1</v>
      </c>
      <c r="AC4" s="30">
        <f t="shared" si="14"/>
        <v>200</v>
      </c>
      <c r="AD4" s="31">
        <f t="shared" si="15"/>
        <v>4</v>
      </c>
      <c r="AE4" s="31">
        <f t="shared" si="16"/>
        <v>8</v>
      </c>
      <c r="AF4" s="31" t="str">
        <f t="shared" si="17"/>
        <v/>
      </c>
      <c r="AG4" s="31" t="str">
        <f t="shared" si="18"/>
        <v/>
      </c>
      <c r="AH4" s="31" t="str">
        <f t="shared" si="19"/>
        <v/>
      </c>
      <c r="AI4" s="31" t="str">
        <f t="shared" si="20"/>
        <v/>
      </c>
      <c r="AJ4" s="25">
        <v>12</v>
      </c>
      <c r="AK4" s="25">
        <v>0</v>
      </c>
      <c r="AL4" s="25">
        <v>0</v>
      </c>
      <c r="AM4" s="23" t="s">
        <v>110</v>
      </c>
      <c r="AN4" s="23" t="s">
        <v>275</v>
      </c>
      <c r="AO4" s="25" t="s">
        <v>278</v>
      </c>
      <c r="AR4" s="32" t="str">
        <f t="shared" si="21"/>
        <v>1 door</v>
      </c>
      <c r="AS4" s="23" t="s">
        <v>276</v>
      </c>
      <c r="AT4" s="23" t="s">
        <v>32</v>
      </c>
      <c r="AU4" s="23" t="str">
        <f t="shared" si="22"/>
        <v>CC</v>
      </c>
      <c r="AV4" s="34">
        <f t="shared" si="23"/>
        <v>134</v>
      </c>
      <c r="AW4" s="23">
        <v>1</v>
      </c>
      <c r="AX4" s="23">
        <v>34</v>
      </c>
      <c r="AY4" s="23">
        <v>0</v>
      </c>
    </row>
    <row r="5" spans="1:51">
      <c r="A5" s="25" t="s">
        <v>219</v>
      </c>
      <c r="D5" s="23">
        <v>2</v>
      </c>
      <c r="E5" s="25" t="s">
        <v>30</v>
      </c>
      <c r="F5" s="25" t="s">
        <v>295</v>
      </c>
      <c r="G5" s="23" t="s">
        <v>27</v>
      </c>
      <c r="H5" s="23" t="s">
        <v>142</v>
      </c>
      <c r="I5" s="25">
        <v>1947</v>
      </c>
      <c r="J5" s="35">
        <v>30</v>
      </c>
      <c r="K5" s="35">
        <v>40</v>
      </c>
      <c r="L5" s="35">
        <v>20</v>
      </c>
      <c r="M5" s="25">
        <v>8</v>
      </c>
      <c r="N5" s="25">
        <v>12</v>
      </c>
      <c r="R5" s="30">
        <f t="shared" ref="R5:R35" si="24">SUM(M5:Q5)</f>
        <v>20</v>
      </c>
      <c r="S5" s="37">
        <v>1</v>
      </c>
      <c r="T5" s="30">
        <f t="shared" si="11"/>
        <v>9.1645714285714295</v>
      </c>
      <c r="U5" s="37">
        <v>1</v>
      </c>
      <c r="V5" s="30">
        <f t="shared" si="12"/>
        <v>12.767238095238097</v>
      </c>
      <c r="W5" s="25">
        <v>58</v>
      </c>
      <c r="X5" s="31">
        <f t="shared" ref="X5:X35" si="25">Y5*1.36</f>
        <v>104.72000000000001</v>
      </c>
      <c r="Y5" s="25">
        <v>77</v>
      </c>
      <c r="Z5" s="25">
        <v>5</v>
      </c>
      <c r="AA5" s="25">
        <v>55</v>
      </c>
      <c r="AB5" s="37">
        <v>1</v>
      </c>
      <c r="AC5" s="30">
        <f t="shared" si="14"/>
        <v>200</v>
      </c>
      <c r="AD5" s="31">
        <f t="shared" ref="AD5:AD35" si="26">IF(AJ5&gt;8, AJ5-8, AJ5)</f>
        <v>1</v>
      </c>
      <c r="AE5" s="31">
        <f t="shared" ref="AE5:AE35" si="27">IF(AJ5&gt;8, 8, "")</f>
        <v>8</v>
      </c>
      <c r="AF5" s="31" t="str">
        <f t="shared" ref="AF5:AF35" si="28">IF(AK5&gt;8, AK5-8, IF(AK5=0, "", AK5))</f>
        <v/>
      </c>
      <c r="AG5" s="31" t="str">
        <f t="shared" ref="AG5:AG35" si="29">IF(AK5&gt;8, 8, "")</f>
        <v/>
      </c>
      <c r="AH5" s="31" t="str">
        <f t="shared" ref="AH5:AH35" si="30">IF(AL5&gt;8, AL5-8, IF(AL5=0, "", AL5))</f>
        <v/>
      </c>
      <c r="AI5" s="31" t="str">
        <f t="shared" ref="AI5:AI35" si="31">IF(AL5&gt;8, 8, "")</f>
        <v/>
      </c>
      <c r="AJ5" s="25">
        <v>9</v>
      </c>
      <c r="AK5" s="25">
        <v>0</v>
      </c>
      <c r="AL5" s="25">
        <v>0</v>
      </c>
      <c r="AM5" s="23" t="s">
        <v>110</v>
      </c>
      <c r="AN5" s="23" t="s">
        <v>275</v>
      </c>
      <c r="AO5" s="25" t="s">
        <v>219</v>
      </c>
      <c r="AR5" s="32" t="str">
        <f t="shared" ref="AR5:AR35" si="32">IF(Q5&gt;0, "5 doors", IF(P5&gt;0, "4 doors", IF(O5&gt;0, "3 doors", IF(N5&gt;0, "2 doors", "1 door"))))</f>
        <v>2 doors</v>
      </c>
      <c r="AT5" s="23" t="s">
        <v>32</v>
      </c>
      <c r="AU5" s="23" t="str">
        <f t="shared" si="22"/>
        <v>CC</v>
      </c>
      <c r="AV5" s="34">
        <f t="shared" ref="AV5:AV35" si="33">(AW5*100)+AX5+(AY5/100)</f>
        <v>300</v>
      </c>
      <c r="AW5" s="23">
        <v>3</v>
      </c>
      <c r="AX5" s="23">
        <v>0</v>
      </c>
      <c r="AY5" s="23">
        <v>0</v>
      </c>
    </row>
    <row r="6" spans="1:51">
      <c r="A6" s="25" t="s">
        <v>219</v>
      </c>
      <c r="D6" s="23">
        <v>2</v>
      </c>
      <c r="E6" s="25" t="s">
        <v>85</v>
      </c>
      <c r="F6" s="25" t="s">
        <v>85</v>
      </c>
      <c r="G6" s="23" t="s">
        <v>27</v>
      </c>
      <c r="H6" s="23" t="s">
        <v>142</v>
      </c>
      <c r="I6" s="25">
        <v>1947</v>
      </c>
      <c r="J6" s="35">
        <v>30</v>
      </c>
      <c r="K6" s="35">
        <v>40</v>
      </c>
      <c r="L6" s="35">
        <v>20</v>
      </c>
      <c r="M6" s="25">
        <v>8</v>
      </c>
      <c r="N6" s="25">
        <v>12</v>
      </c>
      <c r="R6" s="30">
        <f t="shared" si="24"/>
        <v>20</v>
      </c>
      <c r="S6" s="37">
        <v>1</v>
      </c>
      <c r="T6" s="30">
        <f t="shared" si="11"/>
        <v>9.1645714285714295</v>
      </c>
      <c r="U6" s="37">
        <v>1</v>
      </c>
      <c r="V6" s="30">
        <f t="shared" si="12"/>
        <v>12.767238095238097</v>
      </c>
      <c r="W6" s="25">
        <v>58</v>
      </c>
      <c r="X6" s="31">
        <f t="shared" si="25"/>
        <v>104.72000000000001</v>
      </c>
      <c r="Y6" s="25">
        <v>77</v>
      </c>
      <c r="Z6" s="25">
        <v>5</v>
      </c>
      <c r="AA6" s="25">
        <v>55</v>
      </c>
      <c r="AB6" s="37">
        <v>1</v>
      </c>
      <c r="AC6" s="30">
        <f t="shared" si="14"/>
        <v>200</v>
      </c>
      <c r="AD6" s="31">
        <f t="shared" si="26"/>
        <v>1</v>
      </c>
      <c r="AE6" s="31">
        <f t="shared" si="27"/>
        <v>8</v>
      </c>
      <c r="AF6" s="31" t="str">
        <f t="shared" si="28"/>
        <v/>
      </c>
      <c r="AG6" s="31" t="str">
        <f t="shared" si="29"/>
        <v/>
      </c>
      <c r="AH6" s="31" t="str">
        <f t="shared" si="30"/>
        <v/>
      </c>
      <c r="AI6" s="31" t="str">
        <f t="shared" si="31"/>
        <v/>
      </c>
      <c r="AJ6" s="25">
        <v>9</v>
      </c>
      <c r="AK6" s="25">
        <v>0</v>
      </c>
      <c r="AL6" s="25">
        <v>0</v>
      </c>
      <c r="AM6" s="23" t="s">
        <v>110</v>
      </c>
      <c r="AN6" s="23" t="s">
        <v>275</v>
      </c>
      <c r="AO6" s="25" t="s">
        <v>219</v>
      </c>
      <c r="AR6" s="32" t="str">
        <f t="shared" si="32"/>
        <v>2 doors</v>
      </c>
      <c r="AT6" s="23" t="s">
        <v>32</v>
      </c>
      <c r="AU6" s="23" t="str">
        <f t="shared" si="22"/>
        <v>Hungary</v>
      </c>
      <c r="AV6" s="34">
        <f t="shared" si="33"/>
        <v>300.01</v>
      </c>
      <c r="AW6" s="23">
        <v>3</v>
      </c>
      <c r="AX6" s="23">
        <v>0</v>
      </c>
      <c r="AY6" s="23">
        <v>1</v>
      </c>
    </row>
    <row r="7" spans="1:51">
      <c r="A7" s="25" t="s">
        <v>281</v>
      </c>
      <c r="D7" s="23">
        <v>2</v>
      </c>
      <c r="E7" s="25" t="s">
        <v>30</v>
      </c>
      <c r="F7" s="25" t="s">
        <v>303</v>
      </c>
      <c r="G7" s="23" t="s">
        <v>27</v>
      </c>
      <c r="H7" s="23" t="s">
        <v>282</v>
      </c>
      <c r="I7" s="25">
        <v>1947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24"/>
        <v>10</v>
      </c>
      <c r="S7" s="37">
        <v>1</v>
      </c>
      <c r="T7" s="30">
        <f t="shared" si="11"/>
        <v>8.4502857142857142</v>
      </c>
      <c r="U7" s="37">
        <v>1</v>
      </c>
      <c r="V7" s="30">
        <f t="shared" si="12"/>
        <v>12.052952380952382</v>
      </c>
      <c r="W7" s="25">
        <v>76</v>
      </c>
      <c r="X7" s="31">
        <f t="shared" si="25"/>
        <v>104.72000000000001</v>
      </c>
      <c r="Y7" s="25">
        <v>77</v>
      </c>
      <c r="Z7" s="25">
        <v>5</v>
      </c>
      <c r="AA7" s="25">
        <v>55</v>
      </c>
      <c r="AB7" s="37">
        <v>1</v>
      </c>
      <c r="AC7" s="30">
        <f t="shared" si="14"/>
        <v>150</v>
      </c>
      <c r="AD7" s="31">
        <f t="shared" si="26"/>
        <v>1</v>
      </c>
      <c r="AE7" s="31">
        <f t="shared" si="27"/>
        <v>8</v>
      </c>
      <c r="AF7" s="31" t="str">
        <f t="shared" si="28"/>
        <v/>
      </c>
      <c r="AG7" s="31" t="str">
        <f t="shared" si="29"/>
        <v/>
      </c>
      <c r="AH7" s="31" t="str">
        <f t="shared" si="30"/>
        <v/>
      </c>
      <c r="AI7" s="31" t="str">
        <f t="shared" si="31"/>
        <v/>
      </c>
      <c r="AJ7" s="25">
        <v>9</v>
      </c>
      <c r="AK7" s="25">
        <v>0</v>
      </c>
      <c r="AL7" s="25">
        <v>0</v>
      </c>
      <c r="AM7" s="23" t="s">
        <v>110</v>
      </c>
      <c r="AN7" s="23" t="s">
        <v>275</v>
      </c>
      <c r="AO7" s="25" t="s">
        <v>281</v>
      </c>
      <c r="AR7" s="32" t="str">
        <f t="shared" si="32"/>
        <v>2 doors</v>
      </c>
      <c r="AT7" s="23" t="s">
        <v>47</v>
      </c>
      <c r="AU7" s="23" t="str">
        <f t="shared" si="22"/>
        <v>CC</v>
      </c>
      <c r="AV7" s="34">
        <f t="shared" si="33"/>
        <v>310</v>
      </c>
      <c r="AW7" s="23">
        <v>3</v>
      </c>
      <c r="AX7" s="23">
        <v>10</v>
      </c>
      <c r="AY7" s="23">
        <v>0</v>
      </c>
    </row>
    <row r="8" spans="1:51">
      <c r="A8" s="25" t="s">
        <v>220</v>
      </c>
      <c r="D8" s="23">
        <v>2</v>
      </c>
      <c r="E8" s="25" t="s">
        <v>30</v>
      </c>
      <c r="F8" s="25" t="s">
        <v>295</v>
      </c>
      <c r="G8" s="23" t="s">
        <v>27</v>
      </c>
      <c r="H8" s="23" t="s">
        <v>141</v>
      </c>
      <c r="I8" s="25">
        <v>1948</v>
      </c>
      <c r="J8" s="35">
        <v>30</v>
      </c>
      <c r="K8" s="35">
        <v>40</v>
      </c>
      <c r="L8" s="35">
        <v>20</v>
      </c>
      <c r="M8" s="25">
        <v>8</v>
      </c>
      <c r="N8" s="25">
        <v>8</v>
      </c>
      <c r="R8" s="30">
        <f t="shared" si="24"/>
        <v>16</v>
      </c>
      <c r="S8" s="37">
        <v>1</v>
      </c>
      <c r="T8" s="30">
        <f t="shared" si="11"/>
        <v>6.4068571428571435</v>
      </c>
      <c r="U8" s="37">
        <v>1</v>
      </c>
      <c r="V8" s="30">
        <f t="shared" si="12"/>
        <v>8.3508571428571425</v>
      </c>
      <c r="W8" s="25">
        <v>53</v>
      </c>
      <c r="X8" s="31">
        <f t="shared" si="25"/>
        <v>65.28</v>
      </c>
      <c r="Y8" s="25">
        <v>48</v>
      </c>
      <c r="Z8" s="25">
        <v>4</v>
      </c>
      <c r="AA8" s="25">
        <v>42</v>
      </c>
      <c r="AB8" s="37">
        <v>1</v>
      </c>
      <c r="AC8" s="30">
        <f t="shared" si="14"/>
        <v>200</v>
      </c>
      <c r="AD8" s="31">
        <f t="shared" si="26"/>
        <v>8</v>
      </c>
      <c r="AE8" s="31" t="str">
        <f t="shared" si="27"/>
        <v/>
      </c>
      <c r="AF8" s="31" t="str">
        <f t="shared" si="28"/>
        <v/>
      </c>
      <c r="AG8" s="31" t="str">
        <f t="shared" si="29"/>
        <v/>
      </c>
      <c r="AH8" s="31" t="str">
        <f t="shared" si="30"/>
        <v/>
      </c>
      <c r="AI8" s="31" t="str">
        <f t="shared" si="31"/>
        <v/>
      </c>
      <c r="AJ8" s="25">
        <v>8</v>
      </c>
      <c r="AK8" s="25">
        <v>0</v>
      </c>
      <c r="AL8" s="25">
        <v>0</v>
      </c>
      <c r="AM8" s="23" t="s">
        <v>110</v>
      </c>
      <c r="AN8" s="23" t="s">
        <v>275</v>
      </c>
      <c r="AO8" s="25" t="s">
        <v>283</v>
      </c>
      <c r="AR8" s="32" t="str">
        <f t="shared" si="32"/>
        <v>2 doors</v>
      </c>
      <c r="AT8" s="23" t="s">
        <v>32</v>
      </c>
      <c r="AU8" s="23" t="str">
        <f t="shared" si="22"/>
        <v>CC</v>
      </c>
      <c r="AV8" s="34">
        <f t="shared" si="33"/>
        <v>320</v>
      </c>
      <c r="AW8" s="23">
        <v>3</v>
      </c>
      <c r="AX8" s="23">
        <v>20</v>
      </c>
      <c r="AY8" s="23">
        <v>0</v>
      </c>
    </row>
    <row r="9" spans="1:51">
      <c r="A9" s="25" t="s">
        <v>220</v>
      </c>
      <c r="D9" s="23">
        <v>2</v>
      </c>
      <c r="E9" s="25" t="s">
        <v>85</v>
      </c>
      <c r="F9" s="25" t="s">
        <v>85</v>
      </c>
      <c r="G9" s="23" t="s">
        <v>27</v>
      </c>
      <c r="H9" s="23" t="s">
        <v>141</v>
      </c>
      <c r="I9" s="25">
        <v>1948</v>
      </c>
      <c r="J9" s="35">
        <v>30</v>
      </c>
      <c r="K9" s="35">
        <v>40</v>
      </c>
      <c r="L9" s="35">
        <v>20</v>
      </c>
      <c r="M9" s="25">
        <v>8</v>
      </c>
      <c r="N9" s="25">
        <v>8</v>
      </c>
      <c r="R9" s="30">
        <f t="shared" si="24"/>
        <v>16</v>
      </c>
      <c r="S9" s="37">
        <v>1</v>
      </c>
      <c r="T9" s="30">
        <f t="shared" si="11"/>
        <v>6.4068571428571435</v>
      </c>
      <c r="U9" s="37">
        <v>1</v>
      </c>
      <c r="V9" s="30">
        <f t="shared" si="12"/>
        <v>8.3508571428571425</v>
      </c>
      <c r="W9" s="25">
        <v>53</v>
      </c>
      <c r="X9" s="31">
        <f t="shared" si="25"/>
        <v>65.28</v>
      </c>
      <c r="Y9" s="25">
        <v>48</v>
      </c>
      <c r="Z9" s="25">
        <v>4</v>
      </c>
      <c r="AA9" s="25">
        <v>42</v>
      </c>
      <c r="AB9" s="37">
        <v>1</v>
      </c>
      <c r="AC9" s="30">
        <f t="shared" si="14"/>
        <v>200</v>
      </c>
      <c r="AD9" s="31">
        <f t="shared" si="26"/>
        <v>8</v>
      </c>
      <c r="AE9" s="31" t="str">
        <f t="shared" si="27"/>
        <v/>
      </c>
      <c r="AF9" s="31" t="str">
        <f t="shared" si="28"/>
        <v/>
      </c>
      <c r="AG9" s="31" t="str">
        <f t="shared" si="29"/>
        <v/>
      </c>
      <c r="AH9" s="31" t="str">
        <f t="shared" si="30"/>
        <v/>
      </c>
      <c r="AI9" s="31" t="str">
        <f t="shared" si="31"/>
        <v/>
      </c>
      <c r="AJ9" s="25">
        <v>8</v>
      </c>
      <c r="AK9" s="25">
        <v>0</v>
      </c>
      <c r="AL9" s="25">
        <v>0</v>
      </c>
      <c r="AM9" s="23" t="s">
        <v>110</v>
      </c>
      <c r="AN9" s="23" t="s">
        <v>275</v>
      </c>
      <c r="AO9" s="25" t="s">
        <v>283</v>
      </c>
      <c r="AR9" s="32" t="str">
        <f t="shared" si="32"/>
        <v>2 doors</v>
      </c>
      <c r="AT9" s="23" t="s">
        <v>32</v>
      </c>
      <c r="AU9" s="23" t="str">
        <f t="shared" si="22"/>
        <v>Hungary</v>
      </c>
      <c r="AV9" s="34">
        <f t="shared" si="33"/>
        <v>320.01</v>
      </c>
      <c r="AW9" s="23">
        <v>3</v>
      </c>
      <c r="AX9" s="23">
        <v>20</v>
      </c>
      <c r="AY9" s="23">
        <v>1</v>
      </c>
    </row>
    <row r="10" spans="1:51">
      <c r="A10" s="25">
        <v>30</v>
      </c>
      <c r="D10" s="23">
        <v>2</v>
      </c>
      <c r="E10" s="25" t="s">
        <v>30</v>
      </c>
      <c r="F10" s="25" t="s">
        <v>311</v>
      </c>
      <c r="G10" s="23" t="s">
        <v>27</v>
      </c>
      <c r="H10" s="23" t="s">
        <v>94</v>
      </c>
      <c r="I10" s="25">
        <v>1951</v>
      </c>
      <c r="J10" s="35">
        <v>30</v>
      </c>
      <c r="K10" s="35">
        <v>40</v>
      </c>
      <c r="L10" s="35">
        <v>20</v>
      </c>
      <c r="M10" s="25">
        <v>5</v>
      </c>
      <c r="N10" s="25">
        <v>5</v>
      </c>
      <c r="R10" s="30">
        <f t="shared" si="24"/>
        <v>10</v>
      </c>
      <c r="S10" s="37">
        <v>1</v>
      </c>
      <c r="T10" s="30">
        <f t="shared" si="11"/>
        <v>6.9302857142857146</v>
      </c>
      <c r="U10" s="37">
        <v>1</v>
      </c>
      <c r="V10" s="30">
        <f t="shared" si="12"/>
        <v>9.8129523809523818</v>
      </c>
      <c r="W10" s="25">
        <v>55</v>
      </c>
      <c r="X10" s="31">
        <f t="shared" si="25"/>
        <v>84.320000000000007</v>
      </c>
      <c r="Y10" s="25">
        <v>62</v>
      </c>
      <c r="Z10" s="25">
        <v>4</v>
      </c>
      <c r="AA10" s="25">
        <v>40</v>
      </c>
      <c r="AB10" s="37">
        <v>1</v>
      </c>
      <c r="AC10" s="30">
        <f t="shared" si="14"/>
        <v>200</v>
      </c>
      <c r="AD10" s="31">
        <f t="shared" si="26"/>
        <v>1</v>
      </c>
      <c r="AE10" s="31">
        <f t="shared" si="27"/>
        <v>8</v>
      </c>
      <c r="AF10" s="31" t="str">
        <f t="shared" si="28"/>
        <v/>
      </c>
      <c r="AG10" s="31" t="str">
        <f t="shared" si="29"/>
        <v/>
      </c>
      <c r="AH10" s="31" t="str">
        <f t="shared" si="30"/>
        <v/>
      </c>
      <c r="AI10" s="31" t="str">
        <f t="shared" si="31"/>
        <v/>
      </c>
      <c r="AJ10" s="25">
        <v>9</v>
      </c>
      <c r="AK10" s="25">
        <v>0</v>
      </c>
      <c r="AL10" s="25">
        <v>0</v>
      </c>
      <c r="AM10" s="23" t="s">
        <v>110</v>
      </c>
      <c r="AN10" s="23" t="s">
        <v>92</v>
      </c>
      <c r="AO10" s="25">
        <v>30</v>
      </c>
      <c r="AR10" s="32" t="str">
        <f t="shared" si="32"/>
        <v>2 doors</v>
      </c>
      <c r="AT10" s="23" t="s">
        <v>32</v>
      </c>
      <c r="AU10" s="23" t="str">
        <f t="shared" si="22"/>
        <v>CC</v>
      </c>
      <c r="AV10" s="34">
        <f t="shared" si="33"/>
        <v>360</v>
      </c>
      <c r="AW10" s="23">
        <v>3</v>
      </c>
      <c r="AX10" s="23">
        <v>60</v>
      </c>
      <c r="AY10" s="23">
        <v>0</v>
      </c>
    </row>
    <row r="11" spans="1:51">
      <c r="A11" s="25">
        <v>30</v>
      </c>
      <c r="D11" s="23">
        <v>2</v>
      </c>
      <c r="E11" s="25" t="s">
        <v>42</v>
      </c>
      <c r="F11" s="25" t="s">
        <v>295</v>
      </c>
      <c r="G11" s="23" t="s">
        <v>27</v>
      </c>
      <c r="H11" s="23" t="s">
        <v>94</v>
      </c>
      <c r="I11" s="25">
        <v>1951</v>
      </c>
      <c r="J11" s="35">
        <v>30</v>
      </c>
      <c r="K11" s="35">
        <v>40</v>
      </c>
      <c r="L11" s="35">
        <v>20</v>
      </c>
      <c r="M11" s="25">
        <v>5</v>
      </c>
      <c r="N11" s="25">
        <v>5</v>
      </c>
      <c r="R11" s="30">
        <f t="shared" si="24"/>
        <v>10</v>
      </c>
      <c r="S11" s="37">
        <v>1</v>
      </c>
      <c r="T11" s="30">
        <f t="shared" si="11"/>
        <v>6.9302857142857146</v>
      </c>
      <c r="U11" s="37">
        <v>1</v>
      </c>
      <c r="V11" s="30">
        <f t="shared" si="12"/>
        <v>9.8129523809523818</v>
      </c>
      <c r="W11" s="25">
        <v>55</v>
      </c>
      <c r="X11" s="31">
        <f t="shared" si="25"/>
        <v>84.320000000000007</v>
      </c>
      <c r="Y11" s="25">
        <v>62</v>
      </c>
      <c r="Z11" s="25">
        <v>4</v>
      </c>
      <c r="AA11" s="25">
        <v>40</v>
      </c>
      <c r="AB11" s="37">
        <v>1</v>
      </c>
      <c r="AC11" s="30">
        <f t="shared" si="14"/>
        <v>200</v>
      </c>
      <c r="AD11" s="31">
        <f t="shared" si="26"/>
        <v>1</v>
      </c>
      <c r="AE11" s="31">
        <f t="shared" si="27"/>
        <v>8</v>
      </c>
      <c r="AF11" s="31" t="str">
        <f t="shared" si="28"/>
        <v/>
      </c>
      <c r="AG11" s="31" t="str">
        <f t="shared" si="29"/>
        <v/>
      </c>
      <c r="AH11" s="31" t="str">
        <f t="shared" si="30"/>
        <v/>
      </c>
      <c r="AI11" s="31" t="str">
        <f t="shared" si="31"/>
        <v/>
      </c>
      <c r="AJ11" s="25">
        <v>9</v>
      </c>
      <c r="AK11" s="25">
        <v>0</v>
      </c>
      <c r="AL11" s="25">
        <v>0</v>
      </c>
      <c r="AM11" s="23" t="s">
        <v>110</v>
      </c>
      <c r="AN11" s="23" t="s">
        <v>92</v>
      </c>
      <c r="AO11" s="25">
        <v>30</v>
      </c>
      <c r="AR11" s="32" t="str">
        <f t="shared" si="32"/>
        <v>2 doors</v>
      </c>
      <c r="AT11" s="23" t="s">
        <v>32</v>
      </c>
      <c r="AU11" s="23" t="str">
        <f t="shared" si="22"/>
        <v>CC</v>
      </c>
      <c r="AV11" s="34">
        <f t="shared" si="33"/>
        <v>360.01</v>
      </c>
      <c r="AW11" s="23">
        <v>3</v>
      </c>
      <c r="AX11" s="23">
        <v>60</v>
      </c>
      <c r="AY11" s="23">
        <v>1</v>
      </c>
    </row>
    <row r="12" spans="1:51">
      <c r="A12" s="25">
        <v>30</v>
      </c>
      <c r="D12" s="23">
        <v>2</v>
      </c>
      <c r="E12" s="25" t="s">
        <v>85</v>
      </c>
      <c r="F12" s="25" t="s">
        <v>85</v>
      </c>
      <c r="G12" s="23" t="s">
        <v>27</v>
      </c>
      <c r="H12" s="23" t="s">
        <v>94</v>
      </c>
      <c r="I12" s="25">
        <v>1951</v>
      </c>
      <c r="J12" s="35">
        <v>30</v>
      </c>
      <c r="K12" s="35">
        <v>40</v>
      </c>
      <c r="L12" s="35">
        <v>20</v>
      </c>
      <c r="M12" s="25">
        <v>5</v>
      </c>
      <c r="N12" s="25">
        <v>5</v>
      </c>
      <c r="R12" s="30">
        <f t="shared" si="24"/>
        <v>10</v>
      </c>
      <c r="S12" s="37">
        <v>1</v>
      </c>
      <c r="T12" s="30">
        <f t="shared" si="11"/>
        <v>6.9302857142857146</v>
      </c>
      <c r="U12" s="37">
        <v>1</v>
      </c>
      <c r="V12" s="30">
        <f t="shared" si="12"/>
        <v>9.8129523809523818</v>
      </c>
      <c r="W12" s="25">
        <v>55</v>
      </c>
      <c r="X12" s="31">
        <f t="shared" si="25"/>
        <v>84.320000000000007</v>
      </c>
      <c r="Y12" s="25">
        <v>62</v>
      </c>
      <c r="Z12" s="25">
        <v>4</v>
      </c>
      <c r="AA12" s="25">
        <v>40</v>
      </c>
      <c r="AB12" s="37">
        <v>1</v>
      </c>
      <c r="AC12" s="30">
        <f t="shared" si="14"/>
        <v>200</v>
      </c>
      <c r="AD12" s="31">
        <f t="shared" si="26"/>
        <v>1</v>
      </c>
      <c r="AE12" s="31">
        <f t="shared" si="27"/>
        <v>8</v>
      </c>
      <c r="AF12" s="31" t="str">
        <f t="shared" si="28"/>
        <v/>
      </c>
      <c r="AG12" s="31" t="str">
        <f t="shared" si="29"/>
        <v/>
      </c>
      <c r="AH12" s="31" t="str">
        <f t="shared" si="30"/>
        <v/>
      </c>
      <c r="AI12" s="31" t="str">
        <f t="shared" si="31"/>
        <v/>
      </c>
      <c r="AJ12" s="25">
        <v>9</v>
      </c>
      <c r="AK12" s="25">
        <v>0</v>
      </c>
      <c r="AL12" s="25">
        <v>0</v>
      </c>
      <c r="AM12" s="23" t="s">
        <v>110</v>
      </c>
      <c r="AN12" s="23" t="s">
        <v>92</v>
      </c>
      <c r="AO12" s="25">
        <v>30</v>
      </c>
      <c r="AR12" s="32" t="str">
        <f t="shared" si="32"/>
        <v>2 doors</v>
      </c>
      <c r="AT12" s="23" t="s">
        <v>32</v>
      </c>
      <c r="AU12" s="23" t="str">
        <f t="shared" si="22"/>
        <v>Hungary</v>
      </c>
      <c r="AV12" s="34">
        <f t="shared" si="33"/>
        <v>360.02</v>
      </c>
      <c r="AW12" s="23">
        <v>3</v>
      </c>
      <c r="AX12" s="23">
        <v>60</v>
      </c>
      <c r="AY12" s="23">
        <v>2</v>
      </c>
    </row>
    <row r="13" spans="1:51">
      <c r="A13" s="25">
        <v>31</v>
      </c>
      <c r="D13" s="23">
        <v>1</v>
      </c>
      <c r="E13" s="25" t="s">
        <v>30</v>
      </c>
      <c r="F13" s="25" t="s">
        <v>303</v>
      </c>
      <c r="G13" s="23" t="s">
        <v>27</v>
      </c>
      <c r="H13" s="23" t="s">
        <v>99</v>
      </c>
      <c r="I13" s="25">
        <v>1959</v>
      </c>
      <c r="J13" s="35">
        <v>30</v>
      </c>
      <c r="K13" s="35">
        <v>40</v>
      </c>
      <c r="L13" s="35">
        <v>20</v>
      </c>
      <c r="M13" s="25">
        <v>5</v>
      </c>
      <c r="R13" s="30">
        <f t="shared" si="24"/>
        <v>5</v>
      </c>
      <c r="S13" s="37">
        <v>1</v>
      </c>
      <c r="T13" s="30">
        <f t="shared" si="11"/>
        <v>7.073142857142857</v>
      </c>
      <c r="U13" s="37">
        <v>1</v>
      </c>
      <c r="V13" s="30">
        <f t="shared" si="12"/>
        <v>9.5024761904761927</v>
      </c>
      <c r="W13" s="25">
        <v>76</v>
      </c>
      <c r="X13" s="31">
        <f t="shared" si="25"/>
        <v>84.320000000000007</v>
      </c>
      <c r="Y13" s="25">
        <v>62</v>
      </c>
      <c r="Z13" s="25">
        <v>5</v>
      </c>
      <c r="AA13" s="25">
        <v>32</v>
      </c>
      <c r="AB13" s="37">
        <v>1</v>
      </c>
      <c r="AC13" s="30">
        <f t="shared" si="14"/>
        <v>150</v>
      </c>
      <c r="AD13" s="31">
        <f t="shared" si="26"/>
        <v>8</v>
      </c>
      <c r="AE13" s="31" t="str">
        <f t="shared" si="27"/>
        <v/>
      </c>
      <c r="AF13" s="31" t="str">
        <f t="shared" si="28"/>
        <v/>
      </c>
      <c r="AG13" s="31" t="str">
        <f t="shared" si="29"/>
        <v/>
      </c>
      <c r="AH13" s="31" t="str">
        <f t="shared" si="30"/>
        <v/>
      </c>
      <c r="AI13" s="31" t="str">
        <f t="shared" si="31"/>
        <v/>
      </c>
      <c r="AJ13" s="25">
        <v>8</v>
      </c>
      <c r="AK13" s="25">
        <v>0</v>
      </c>
      <c r="AL13" s="25">
        <v>0</v>
      </c>
      <c r="AM13" s="23" t="s">
        <v>110</v>
      </c>
      <c r="AN13" s="23" t="s">
        <v>92</v>
      </c>
      <c r="AO13" s="25">
        <v>31</v>
      </c>
      <c r="AR13" s="32" t="str">
        <f t="shared" si="32"/>
        <v>1 door</v>
      </c>
      <c r="AT13" s="23" t="s">
        <v>47</v>
      </c>
      <c r="AU13" s="23" t="str">
        <f t="shared" si="22"/>
        <v>CC</v>
      </c>
      <c r="AV13" s="34">
        <f t="shared" si="33"/>
        <v>370</v>
      </c>
      <c r="AW13" s="23">
        <v>3</v>
      </c>
      <c r="AX13" s="23">
        <v>70</v>
      </c>
      <c r="AY13" s="23">
        <v>0</v>
      </c>
    </row>
    <row r="14" spans="1:51">
      <c r="A14" s="25">
        <v>31</v>
      </c>
      <c r="D14" s="23">
        <v>1</v>
      </c>
      <c r="E14" s="25" t="s">
        <v>95</v>
      </c>
      <c r="F14" s="25" t="s">
        <v>95</v>
      </c>
      <c r="G14" s="23" t="s">
        <v>27</v>
      </c>
      <c r="H14" s="23" t="s">
        <v>99</v>
      </c>
      <c r="I14" s="25">
        <v>1959</v>
      </c>
      <c r="J14" s="35">
        <v>30</v>
      </c>
      <c r="K14" s="35">
        <v>40</v>
      </c>
      <c r="L14" s="35">
        <v>20</v>
      </c>
      <c r="M14" s="25">
        <v>5</v>
      </c>
      <c r="R14" s="30">
        <f t="shared" si="24"/>
        <v>5</v>
      </c>
      <c r="S14" s="37">
        <v>1</v>
      </c>
      <c r="T14" s="30">
        <f t="shared" si="11"/>
        <v>7.073142857142857</v>
      </c>
      <c r="U14" s="37">
        <v>1</v>
      </c>
      <c r="V14" s="30">
        <f t="shared" si="12"/>
        <v>9.5024761904761927</v>
      </c>
      <c r="W14" s="25">
        <v>76</v>
      </c>
      <c r="X14" s="31">
        <f t="shared" si="25"/>
        <v>84.320000000000007</v>
      </c>
      <c r="Y14" s="25">
        <v>62</v>
      </c>
      <c r="Z14" s="25">
        <v>5</v>
      </c>
      <c r="AA14" s="25">
        <v>32</v>
      </c>
      <c r="AB14" s="37">
        <v>1</v>
      </c>
      <c r="AC14" s="30">
        <f t="shared" si="14"/>
        <v>150</v>
      </c>
      <c r="AD14" s="31">
        <f t="shared" si="26"/>
        <v>8</v>
      </c>
      <c r="AE14" s="31" t="str">
        <f t="shared" si="27"/>
        <v/>
      </c>
      <c r="AF14" s="31" t="str">
        <f t="shared" si="28"/>
        <v/>
      </c>
      <c r="AG14" s="31" t="str">
        <f t="shared" si="29"/>
        <v/>
      </c>
      <c r="AH14" s="31" t="str">
        <f t="shared" si="30"/>
        <v/>
      </c>
      <c r="AI14" s="31" t="str">
        <f t="shared" si="31"/>
        <v/>
      </c>
      <c r="AJ14" s="25">
        <v>8</v>
      </c>
      <c r="AK14" s="25">
        <v>0</v>
      </c>
      <c r="AL14" s="25">
        <v>0</v>
      </c>
      <c r="AM14" s="23" t="s">
        <v>110</v>
      </c>
      <c r="AN14" s="23" t="s">
        <v>92</v>
      </c>
      <c r="AO14" s="25">
        <v>31</v>
      </c>
      <c r="AR14" s="32" t="str">
        <f t="shared" si="32"/>
        <v>1 door</v>
      </c>
      <c r="AT14" s="23" t="s">
        <v>47</v>
      </c>
      <c r="AU14" s="23" t="str">
        <f t="shared" si="22"/>
        <v>Hungary</v>
      </c>
      <c r="AV14" s="34">
        <f t="shared" si="33"/>
        <v>370.01</v>
      </c>
      <c r="AW14" s="23">
        <v>3</v>
      </c>
      <c r="AX14" s="23">
        <v>70</v>
      </c>
      <c r="AY14" s="23">
        <v>1</v>
      </c>
    </row>
    <row r="15" spans="1:51">
      <c r="A15" s="25">
        <v>60</v>
      </c>
      <c r="D15" s="23">
        <v>2</v>
      </c>
      <c r="E15" s="25" t="s">
        <v>30</v>
      </c>
      <c r="F15" s="25" t="s">
        <v>295</v>
      </c>
      <c r="G15" s="23" t="s">
        <v>27</v>
      </c>
      <c r="H15" s="23" t="s">
        <v>106</v>
      </c>
      <c r="I15" s="25">
        <v>1952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R15" s="30">
        <f t="shared" si="24"/>
        <v>18</v>
      </c>
      <c r="S15" s="37">
        <v>1</v>
      </c>
      <c r="T15" s="30">
        <f t="shared" si="11"/>
        <v>10.973714285714287</v>
      </c>
      <c r="U15" s="37">
        <v>1</v>
      </c>
      <c r="V15" s="30">
        <f t="shared" si="12"/>
        <v>14.761714285714286</v>
      </c>
      <c r="W15" s="25">
        <v>58</v>
      </c>
      <c r="X15" s="31">
        <f t="shared" si="25"/>
        <v>123.76</v>
      </c>
      <c r="Y15" s="25">
        <v>91</v>
      </c>
      <c r="Z15" s="25">
        <v>7</v>
      </c>
      <c r="AA15" s="25">
        <v>60</v>
      </c>
      <c r="AB15" s="37">
        <v>1</v>
      </c>
      <c r="AC15" s="30">
        <f t="shared" si="14"/>
        <v>200</v>
      </c>
      <c r="AD15" s="31">
        <f t="shared" si="26"/>
        <v>2</v>
      </c>
      <c r="AE15" s="31">
        <f t="shared" si="27"/>
        <v>8</v>
      </c>
      <c r="AF15" s="31" t="str">
        <f t="shared" si="28"/>
        <v/>
      </c>
      <c r="AG15" s="31" t="str">
        <f t="shared" si="29"/>
        <v/>
      </c>
      <c r="AH15" s="31" t="str">
        <f t="shared" si="30"/>
        <v/>
      </c>
      <c r="AI15" s="31" t="str">
        <f t="shared" si="31"/>
        <v/>
      </c>
      <c r="AJ15" s="25">
        <v>10</v>
      </c>
      <c r="AK15" s="25">
        <v>0</v>
      </c>
      <c r="AL15" s="25">
        <v>0</v>
      </c>
      <c r="AM15" s="23" t="s">
        <v>110</v>
      </c>
      <c r="AN15" s="23" t="s">
        <v>92</v>
      </c>
      <c r="AO15" s="25">
        <v>60</v>
      </c>
      <c r="AR15" s="32" t="str">
        <f t="shared" si="32"/>
        <v>2 doors</v>
      </c>
      <c r="AT15" s="23" t="s">
        <v>32</v>
      </c>
      <c r="AU15" s="23" t="str">
        <f t="shared" si="22"/>
        <v>CC</v>
      </c>
      <c r="AV15" s="34">
        <f t="shared" si="33"/>
        <v>400</v>
      </c>
      <c r="AW15" s="23">
        <v>4</v>
      </c>
      <c r="AX15" s="23">
        <v>0</v>
      </c>
      <c r="AY15" s="23">
        <v>0</v>
      </c>
    </row>
    <row r="16" spans="1:51">
      <c r="A16" s="25">
        <v>60</v>
      </c>
      <c r="D16" s="23">
        <v>2</v>
      </c>
      <c r="E16" s="25" t="s">
        <v>42</v>
      </c>
      <c r="F16" s="25" t="s">
        <v>310</v>
      </c>
      <c r="G16" s="23" t="s">
        <v>27</v>
      </c>
      <c r="H16" s="23" t="s">
        <v>106</v>
      </c>
      <c r="I16" s="25">
        <v>1952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R16" s="30">
        <f t="shared" si="24"/>
        <v>18</v>
      </c>
      <c r="S16" s="37">
        <v>1</v>
      </c>
      <c r="T16" s="30">
        <f t="shared" si="11"/>
        <v>10.973714285714287</v>
      </c>
      <c r="U16" s="37">
        <v>1</v>
      </c>
      <c r="V16" s="30">
        <f t="shared" si="12"/>
        <v>14.761714285714286</v>
      </c>
      <c r="W16" s="25">
        <v>58</v>
      </c>
      <c r="X16" s="31">
        <f t="shared" si="25"/>
        <v>123.76</v>
      </c>
      <c r="Y16" s="25">
        <v>91</v>
      </c>
      <c r="Z16" s="25">
        <v>7</v>
      </c>
      <c r="AA16" s="25">
        <v>60</v>
      </c>
      <c r="AB16" s="37">
        <v>1</v>
      </c>
      <c r="AC16" s="30">
        <f t="shared" si="14"/>
        <v>200</v>
      </c>
      <c r="AD16" s="31">
        <f t="shared" si="26"/>
        <v>2</v>
      </c>
      <c r="AE16" s="31">
        <f t="shared" si="27"/>
        <v>8</v>
      </c>
      <c r="AF16" s="31" t="str">
        <f t="shared" si="28"/>
        <v/>
      </c>
      <c r="AG16" s="31" t="str">
        <f t="shared" si="29"/>
        <v/>
      </c>
      <c r="AH16" s="31" t="str">
        <f t="shared" si="30"/>
        <v/>
      </c>
      <c r="AI16" s="31" t="str">
        <f t="shared" si="31"/>
        <v/>
      </c>
      <c r="AJ16" s="25">
        <v>10</v>
      </c>
      <c r="AK16" s="25">
        <v>0</v>
      </c>
      <c r="AL16" s="25">
        <v>0</v>
      </c>
      <c r="AM16" s="23" t="s">
        <v>110</v>
      </c>
      <c r="AN16" s="23" t="s">
        <v>92</v>
      </c>
      <c r="AO16" s="25">
        <v>60</v>
      </c>
      <c r="AR16" s="32" t="str">
        <f t="shared" si="32"/>
        <v>2 doors</v>
      </c>
      <c r="AT16" s="23" t="s">
        <v>32</v>
      </c>
      <c r="AU16" s="23" t="str">
        <f t="shared" si="22"/>
        <v>CC</v>
      </c>
      <c r="AV16" s="34">
        <f t="shared" si="33"/>
        <v>400.01</v>
      </c>
      <c r="AW16" s="23">
        <v>4</v>
      </c>
      <c r="AX16" s="23">
        <v>0</v>
      </c>
      <c r="AY16" s="23">
        <v>1</v>
      </c>
    </row>
    <row r="17" spans="1:51">
      <c r="A17" s="25">
        <v>60</v>
      </c>
      <c r="D17" s="23">
        <v>2</v>
      </c>
      <c r="E17" s="25" t="s">
        <v>96</v>
      </c>
      <c r="F17" s="25" t="s">
        <v>85</v>
      </c>
      <c r="G17" s="23" t="s">
        <v>27</v>
      </c>
      <c r="H17" s="23" t="s">
        <v>106</v>
      </c>
      <c r="I17" s="25">
        <v>1952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R17" s="30">
        <f t="shared" si="24"/>
        <v>18</v>
      </c>
      <c r="S17" s="37">
        <v>1</v>
      </c>
      <c r="T17" s="30">
        <f t="shared" si="11"/>
        <v>10.973714285714287</v>
      </c>
      <c r="U17" s="37">
        <v>1</v>
      </c>
      <c r="V17" s="30">
        <f t="shared" si="12"/>
        <v>14.761714285714286</v>
      </c>
      <c r="W17" s="25">
        <v>58</v>
      </c>
      <c r="X17" s="31">
        <f t="shared" si="25"/>
        <v>123.76</v>
      </c>
      <c r="Y17" s="25">
        <v>91</v>
      </c>
      <c r="Z17" s="25">
        <v>7</v>
      </c>
      <c r="AA17" s="25">
        <v>60</v>
      </c>
      <c r="AB17" s="37">
        <v>1</v>
      </c>
      <c r="AC17" s="30">
        <f t="shared" si="14"/>
        <v>200</v>
      </c>
      <c r="AD17" s="31">
        <f t="shared" si="26"/>
        <v>2</v>
      </c>
      <c r="AE17" s="31">
        <f t="shared" si="27"/>
        <v>8</v>
      </c>
      <c r="AF17" s="31" t="str">
        <f t="shared" si="28"/>
        <v/>
      </c>
      <c r="AG17" s="31" t="str">
        <f t="shared" si="29"/>
        <v/>
      </c>
      <c r="AH17" s="31" t="str">
        <f t="shared" si="30"/>
        <v/>
      </c>
      <c r="AI17" s="31" t="str">
        <f t="shared" si="31"/>
        <v/>
      </c>
      <c r="AJ17" s="25">
        <v>10</v>
      </c>
      <c r="AK17" s="25">
        <v>0</v>
      </c>
      <c r="AL17" s="25">
        <v>0</v>
      </c>
      <c r="AM17" s="23" t="s">
        <v>110</v>
      </c>
      <c r="AN17" s="23" t="s">
        <v>92</v>
      </c>
      <c r="AO17" s="25">
        <v>60</v>
      </c>
      <c r="AR17" s="32" t="str">
        <f t="shared" si="32"/>
        <v>2 doors</v>
      </c>
      <c r="AT17" s="23" t="s">
        <v>32</v>
      </c>
      <c r="AU17" s="23" t="str">
        <f t="shared" si="22"/>
        <v>Hungary</v>
      </c>
      <c r="AV17" s="34">
        <f t="shared" si="33"/>
        <v>400.02</v>
      </c>
      <c r="AW17" s="23">
        <v>4</v>
      </c>
      <c r="AX17" s="23">
        <v>0</v>
      </c>
      <c r="AY17" s="23">
        <v>2</v>
      </c>
    </row>
    <row r="18" spans="1:51">
      <c r="A18" s="25" t="s">
        <v>109</v>
      </c>
      <c r="B18" s="23" t="s">
        <v>121</v>
      </c>
      <c r="D18" s="23">
        <v>3</v>
      </c>
      <c r="E18" s="25" t="s">
        <v>30</v>
      </c>
      <c r="F18" s="25" t="s">
        <v>295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24"/>
        <v>26</v>
      </c>
      <c r="S18" s="37">
        <v>1</v>
      </c>
      <c r="T18" s="30">
        <f t="shared" si="11"/>
        <v>13.545142857142858</v>
      </c>
      <c r="U18" s="37">
        <v>1</v>
      </c>
      <c r="V18" s="30">
        <f t="shared" si="12"/>
        <v>16.033142857142856</v>
      </c>
      <c r="W18" s="25">
        <v>52</v>
      </c>
      <c r="X18" s="31">
        <f t="shared" si="25"/>
        <v>123.76</v>
      </c>
      <c r="Y18" s="25">
        <v>91</v>
      </c>
      <c r="Z18" s="25">
        <v>11</v>
      </c>
      <c r="AA18" s="25">
        <v>105</v>
      </c>
      <c r="AB18" s="37">
        <v>1</v>
      </c>
      <c r="AC18" s="30">
        <f t="shared" si="14"/>
        <v>200</v>
      </c>
      <c r="AD18" s="31">
        <f t="shared" si="26"/>
        <v>1</v>
      </c>
      <c r="AE18" s="31">
        <f t="shared" si="27"/>
        <v>8</v>
      </c>
      <c r="AF18" s="31">
        <f t="shared" si="28"/>
        <v>7</v>
      </c>
      <c r="AG18" s="31" t="str">
        <f t="shared" si="29"/>
        <v/>
      </c>
      <c r="AH18" s="31" t="str">
        <f t="shared" si="30"/>
        <v/>
      </c>
      <c r="AI18" s="31" t="str">
        <f t="shared" si="31"/>
        <v/>
      </c>
      <c r="AJ18" s="25">
        <v>9</v>
      </c>
      <c r="AK18" s="25">
        <v>7</v>
      </c>
      <c r="AL18" s="25">
        <v>0</v>
      </c>
      <c r="AM18" s="23" t="s">
        <v>110</v>
      </c>
      <c r="AN18" s="23" t="s">
        <v>92</v>
      </c>
      <c r="AO18" s="25">
        <v>60</v>
      </c>
      <c r="AP18" s="28" t="s">
        <v>205</v>
      </c>
      <c r="AR18" s="32" t="str">
        <f t="shared" si="32"/>
        <v>3 doors</v>
      </c>
      <c r="AT18" s="23" t="s">
        <v>32</v>
      </c>
      <c r="AU18" s="23" t="str">
        <f t="shared" si="22"/>
        <v>CC</v>
      </c>
      <c r="AV18" s="34">
        <f t="shared" si="33"/>
        <v>410</v>
      </c>
      <c r="AW18" s="23">
        <v>4</v>
      </c>
      <c r="AX18" s="23">
        <v>10</v>
      </c>
      <c r="AY18" s="23">
        <v>0</v>
      </c>
    </row>
    <row r="19" spans="1:51">
      <c r="A19" s="25" t="s">
        <v>109</v>
      </c>
      <c r="B19" s="23" t="s">
        <v>121</v>
      </c>
      <c r="D19" s="23">
        <v>3</v>
      </c>
      <c r="E19" s="25" t="s">
        <v>42</v>
      </c>
      <c r="F19" s="25" t="s">
        <v>310</v>
      </c>
      <c r="G19" s="23" t="s">
        <v>27</v>
      </c>
      <c r="H19" s="23" t="s">
        <v>98</v>
      </c>
      <c r="I19" s="25">
        <v>1955</v>
      </c>
      <c r="J19" s="35">
        <v>30</v>
      </c>
      <c r="K19" s="35">
        <v>40</v>
      </c>
      <c r="L19" s="35">
        <v>20</v>
      </c>
      <c r="M19" s="25">
        <v>8</v>
      </c>
      <c r="N19" s="25">
        <v>10</v>
      </c>
      <c r="O19" s="25">
        <v>8</v>
      </c>
      <c r="R19" s="30">
        <f t="shared" si="24"/>
        <v>26</v>
      </c>
      <c r="S19" s="37">
        <v>1</v>
      </c>
      <c r="T19" s="30">
        <f t="shared" si="11"/>
        <v>13.545142857142858</v>
      </c>
      <c r="U19" s="37">
        <v>1</v>
      </c>
      <c r="V19" s="30">
        <f t="shared" si="12"/>
        <v>16.033142857142856</v>
      </c>
      <c r="W19" s="25">
        <v>52</v>
      </c>
      <c r="X19" s="31">
        <f t="shared" si="25"/>
        <v>123.76</v>
      </c>
      <c r="Y19" s="25">
        <v>91</v>
      </c>
      <c r="Z19" s="25">
        <v>11</v>
      </c>
      <c r="AA19" s="25">
        <v>105</v>
      </c>
      <c r="AB19" s="37">
        <v>1</v>
      </c>
      <c r="AC19" s="30">
        <f t="shared" si="14"/>
        <v>200</v>
      </c>
      <c r="AD19" s="31">
        <f t="shared" si="26"/>
        <v>1</v>
      </c>
      <c r="AE19" s="31">
        <f t="shared" si="27"/>
        <v>8</v>
      </c>
      <c r="AF19" s="31">
        <f t="shared" si="28"/>
        <v>7</v>
      </c>
      <c r="AG19" s="31" t="str">
        <f t="shared" si="29"/>
        <v/>
      </c>
      <c r="AH19" s="31" t="str">
        <f t="shared" si="30"/>
        <v/>
      </c>
      <c r="AI19" s="31" t="str">
        <f t="shared" si="31"/>
        <v/>
      </c>
      <c r="AJ19" s="25">
        <v>9</v>
      </c>
      <c r="AK19" s="25">
        <v>7</v>
      </c>
      <c r="AL19" s="25">
        <v>0</v>
      </c>
      <c r="AM19" s="23" t="s">
        <v>110</v>
      </c>
      <c r="AN19" s="23" t="s">
        <v>92</v>
      </c>
      <c r="AO19" s="25">
        <v>60</v>
      </c>
      <c r="AP19" s="28" t="s">
        <v>205</v>
      </c>
      <c r="AR19" s="32" t="str">
        <f t="shared" si="32"/>
        <v>3 doors</v>
      </c>
      <c r="AT19" s="23" t="s">
        <v>32</v>
      </c>
      <c r="AU19" s="23" t="str">
        <f t="shared" si="22"/>
        <v>CC</v>
      </c>
      <c r="AV19" s="34">
        <f t="shared" si="33"/>
        <v>410.01</v>
      </c>
      <c r="AW19" s="23">
        <v>4</v>
      </c>
      <c r="AX19" s="23">
        <v>10</v>
      </c>
      <c r="AY19" s="23">
        <v>1</v>
      </c>
    </row>
    <row r="20" spans="1:51">
      <c r="A20" s="25" t="s">
        <v>109</v>
      </c>
      <c r="B20" s="23" t="s">
        <v>121</v>
      </c>
      <c r="D20" s="23">
        <v>3</v>
      </c>
      <c r="E20" s="25" t="s">
        <v>96</v>
      </c>
      <c r="F20" s="25" t="s">
        <v>85</v>
      </c>
      <c r="G20" s="23" t="s">
        <v>27</v>
      </c>
      <c r="H20" s="23" t="s">
        <v>98</v>
      </c>
      <c r="I20" s="25">
        <v>1955</v>
      </c>
      <c r="J20" s="35">
        <v>30</v>
      </c>
      <c r="K20" s="35">
        <v>40</v>
      </c>
      <c r="L20" s="35">
        <v>20</v>
      </c>
      <c r="M20" s="25">
        <v>8</v>
      </c>
      <c r="N20" s="25">
        <v>10</v>
      </c>
      <c r="O20" s="25">
        <v>8</v>
      </c>
      <c r="R20" s="30">
        <f t="shared" si="24"/>
        <v>26</v>
      </c>
      <c r="S20" s="37">
        <v>1</v>
      </c>
      <c r="T20" s="30">
        <f t="shared" si="11"/>
        <v>13.545142857142858</v>
      </c>
      <c r="U20" s="37">
        <v>1</v>
      </c>
      <c r="V20" s="30">
        <f t="shared" si="12"/>
        <v>16.033142857142856</v>
      </c>
      <c r="W20" s="25">
        <v>52</v>
      </c>
      <c r="X20" s="31">
        <f t="shared" si="25"/>
        <v>123.76</v>
      </c>
      <c r="Y20" s="25">
        <v>91</v>
      </c>
      <c r="Z20" s="25">
        <v>11</v>
      </c>
      <c r="AA20" s="25">
        <v>105</v>
      </c>
      <c r="AB20" s="37">
        <v>1</v>
      </c>
      <c r="AC20" s="30">
        <f t="shared" si="14"/>
        <v>200</v>
      </c>
      <c r="AD20" s="31">
        <f t="shared" si="26"/>
        <v>1</v>
      </c>
      <c r="AE20" s="31">
        <f t="shared" si="27"/>
        <v>8</v>
      </c>
      <c r="AF20" s="31">
        <f t="shared" si="28"/>
        <v>7</v>
      </c>
      <c r="AG20" s="31" t="str">
        <f t="shared" si="29"/>
        <v/>
      </c>
      <c r="AH20" s="31" t="str">
        <f t="shared" si="30"/>
        <v/>
      </c>
      <c r="AI20" s="31" t="str">
        <f t="shared" si="31"/>
        <v/>
      </c>
      <c r="AJ20" s="25">
        <v>9</v>
      </c>
      <c r="AK20" s="25">
        <v>7</v>
      </c>
      <c r="AL20" s="25">
        <v>0</v>
      </c>
      <c r="AM20" s="23" t="s">
        <v>110</v>
      </c>
      <c r="AN20" s="23" t="s">
        <v>92</v>
      </c>
      <c r="AO20" s="25">
        <v>60</v>
      </c>
      <c r="AP20" s="28" t="s">
        <v>205</v>
      </c>
      <c r="AR20" s="32" t="str">
        <f t="shared" si="32"/>
        <v>3 doors</v>
      </c>
      <c r="AT20" s="23" t="s">
        <v>32</v>
      </c>
      <c r="AU20" s="23" t="str">
        <f t="shared" si="22"/>
        <v>Hungary</v>
      </c>
      <c r="AV20" s="34">
        <f t="shared" si="33"/>
        <v>410.02</v>
      </c>
      <c r="AW20" s="23">
        <v>4</v>
      </c>
      <c r="AX20" s="23">
        <v>10</v>
      </c>
      <c r="AY20" s="23">
        <v>2</v>
      </c>
    </row>
    <row r="21" spans="1:51">
      <c r="A21" s="25">
        <v>601</v>
      </c>
      <c r="D21" s="23">
        <v>1</v>
      </c>
      <c r="E21" s="25" t="s">
        <v>30</v>
      </c>
      <c r="F21" s="25" t="s">
        <v>303</v>
      </c>
      <c r="G21" s="23" t="s">
        <v>27</v>
      </c>
      <c r="H21" s="23" t="s">
        <v>104</v>
      </c>
      <c r="I21" s="25">
        <v>1952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24"/>
        <v>5</v>
      </c>
      <c r="S21" s="37">
        <v>1</v>
      </c>
      <c r="T21" s="30">
        <f t="shared" si="11"/>
        <v>10.045142857142858</v>
      </c>
      <c r="U21" s="37">
        <v>1</v>
      </c>
      <c r="V21" s="30">
        <f t="shared" si="12"/>
        <v>13.686476190476192</v>
      </c>
      <c r="W21" s="25">
        <v>76</v>
      </c>
      <c r="X21" s="31">
        <f t="shared" si="25"/>
        <v>123.76</v>
      </c>
      <c r="Y21" s="25">
        <v>91</v>
      </c>
      <c r="Z21" s="25">
        <v>7</v>
      </c>
      <c r="AA21" s="25">
        <v>38</v>
      </c>
      <c r="AB21" s="37">
        <v>1</v>
      </c>
      <c r="AC21" s="30">
        <f t="shared" si="14"/>
        <v>185</v>
      </c>
      <c r="AD21" s="31">
        <f t="shared" si="26"/>
        <v>2</v>
      </c>
      <c r="AE21" s="31">
        <f t="shared" si="27"/>
        <v>8</v>
      </c>
      <c r="AF21" s="31" t="str">
        <f t="shared" si="28"/>
        <v/>
      </c>
      <c r="AG21" s="31" t="str">
        <f t="shared" si="29"/>
        <v/>
      </c>
      <c r="AH21" s="31" t="str">
        <f t="shared" si="30"/>
        <v/>
      </c>
      <c r="AI21" s="31" t="str">
        <f t="shared" si="31"/>
        <v/>
      </c>
      <c r="AJ21" s="25">
        <v>10</v>
      </c>
      <c r="AK21" s="25">
        <v>0</v>
      </c>
      <c r="AL21" s="25">
        <v>0</v>
      </c>
      <c r="AM21" s="23" t="s">
        <v>110</v>
      </c>
      <c r="AN21" s="23" t="s">
        <v>92</v>
      </c>
      <c r="AO21" s="25">
        <v>601</v>
      </c>
      <c r="AR21" s="32" t="str">
        <f t="shared" si="32"/>
        <v>1 door</v>
      </c>
      <c r="AT21" s="23" t="s">
        <v>33</v>
      </c>
      <c r="AU21" s="23" t="str">
        <f t="shared" si="22"/>
        <v>CC</v>
      </c>
      <c r="AV21" s="34">
        <f t="shared" si="33"/>
        <v>430</v>
      </c>
      <c r="AW21" s="23">
        <v>4</v>
      </c>
      <c r="AX21" s="23">
        <v>30</v>
      </c>
      <c r="AY21" s="23">
        <v>0</v>
      </c>
    </row>
    <row r="22" spans="1:51">
      <c r="A22" s="25">
        <v>601</v>
      </c>
      <c r="D22" s="23">
        <v>1</v>
      </c>
      <c r="E22" s="25" t="s">
        <v>46</v>
      </c>
      <c r="F22" s="25" t="s">
        <v>46</v>
      </c>
      <c r="G22" s="23" t="s">
        <v>27</v>
      </c>
      <c r="H22" s="23" t="s">
        <v>104</v>
      </c>
      <c r="I22" s="25">
        <v>1952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24"/>
        <v>5</v>
      </c>
      <c r="S22" s="37">
        <v>1</v>
      </c>
      <c r="T22" s="30">
        <f t="shared" si="11"/>
        <v>10.045142857142858</v>
      </c>
      <c r="U22" s="37">
        <v>1</v>
      </c>
      <c r="V22" s="30">
        <f t="shared" si="12"/>
        <v>13.686476190476192</v>
      </c>
      <c r="W22" s="25">
        <v>76</v>
      </c>
      <c r="X22" s="31">
        <f t="shared" si="25"/>
        <v>123.76</v>
      </c>
      <c r="Y22" s="25">
        <v>91</v>
      </c>
      <c r="Z22" s="25">
        <v>7</v>
      </c>
      <c r="AA22" s="25">
        <v>38</v>
      </c>
      <c r="AB22" s="37">
        <v>1</v>
      </c>
      <c r="AC22" s="30">
        <f t="shared" si="14"/>
        <v>185</v>
      </c>
      <c r="AD22" s="31">
        <f t="shared" si="26"/>
        <v>2</v>
      </c>
      <c r="AE22" s="31">
        <f t="shared" si="27"/>
        <v>8</v>
      </c>
      <c r="AF22" s="31" t="str">
        <f t="shared" si="28"/>
        <v/>
      </c>
      <c r="AG22" s="31" t="str">
        <f t="shared" si="29"/>
        <v/>
      </c>
      <c r="AH22" s="31" t="str">
        <f t="shared" si="30"/>
        <v/>
      </c>
      <c r="AI22" s="31" t="str">
        <f t="shared" si="31"/>
        <v/>
      </c>
      <c r="AJ22" s="25">
        <v>10</v>
      </c>
      <c r="AK22" s="25">
        <v>0</v>
      </c>
      <c r="AL22" s="25">
        <v>0</v>
      </c>
      <c r="AM22" s="23" t="s">
        <v>110</v>
      </c>
      <c r="AN22" s="23" t="s">
        <v>92</v>
      </c>
      <c r="AO22" s="25">
        <v>601</v>
      </c>
      <c r="AR22" s="32" t="str">
        <f t="shared" si="32"/>
        <v>1 door</v>
      </c>
      <c r="AT22" s="23" t="s">
        <v>33</v>
      </c>
      <c r="AU22" s="23" t="str">
        <f t="shared" si="22"/>
        <v>Hungary</v>
      </c>
      <c r="AV22" s="34">
        <f t="shared" si="33"/>
        <v>430.01</v>
      </c>
      <c r="AW22" s="23">
        <v>4</v>
      </c>
      <c r="AX22" s="23">
        <v>30</v>
      </c>
      <c r="AY22" s="23">
        <v>1</v>
      </c>
    </row>
    <row r="23" spans="1:51">
      <c r="A23" s="25">
        <v>602</v>
      </c>
      <c r="D23" s="23">
        <v>1</v>
      </c>
      <c r="E23" s="25" t="s">
        <v>30</v>
      </c>
      <c r="F23" s="25" t="s">
        <v>303</v>
      </c>
      <c r="G23" s="23" t="s">
        <v>27</v>
      </c>
      <c r="H23" s="23" t="s">
        <v>105</v>
      </c>
      <c r="I23" s="25">
        <v>1953</v>
      </c>
      <c r="J23" s="35">
        <v>30</v>
      </c>
      <c r="K23" s="35">
        <v>40</v>
      </c>
      <c r="L23" s="35">
        <v>20</v>
      </c>
      <c r="M23" s="25">
        <v>5</v>
      </c>
      <c r="R23" s="30">
        <f t="shared" si="24"/>
        <v>5</v>
      </c>
      <c r="S23" s="37">
        <v>1</v>
      </c>
      <c r="T23" s="30">
        <f t="shared" si="11"/>
        <v>10.045142857142858</v>
      </c>
      <c r="U23" s="37">
        <v>1</v>
      </c>
      <c r="V23" s="30">
        <f t="shared" si="12"/>
        <v>13.666476190476191</v>
      </c>
      <c r="W23" s="25">
        <v>87</v>
      </c>
      <c r="X23" s="31">
        <f t="shared" si="25"/>
        <v>123.76</v>
      </c>
      <c r="Y23" s="25">
        <v>91</v>
      </c>
      <c r="Z23" s="25">
        <v>7</v>
      </c>
      <c r="AA23" s="25">
        <v>35</v>
      </c>
      <c r="AB23" s="37">
        <v>1</v>
      </c>
      <c r="AC23" s="30">
        <f t="shared" si="14"/>
        <v>150</v>
      </c>
      <c r="AD23" s="31">
        <f t="shared" si="26"/>
        <v>2</v>
      </c>
      <c r="AE23" s="31">
        <f t="shared" si="27"/>
        <v>8</v>
      </c>
      <c r="AF23" s="31" t="str">
        <f t="shared" si="28"/>
        <v/>
      </c>
      <c r="AG23" s="31" t="str">
        <f t="shared" si="29"/>
        <v/>
      </c>
      <c r="AH23" s="31" t="str">
        <f t="shared" si="30"/>
        <v/>
      </c>
      <c r="AI23" s="31" t="str">
        <f t="shared" si="31"/>
        <v/>
      </c>
      <c r="AJ23" s="25">
        <v>10</v>
      </c>
      <c r="AK23" s="25">
        <v>0</v>
      </c>
      <c r="AL23" s="25">
        <v>0</v>
      </c>
      <c r="AM23" s="23" t="s">
        <v>110</v>
      </c>
      <c r="AN23" s="23" t="s">
        <v>92</v>
      </c>
      <c r="AO23" s="25">
        <v>602</v>
      </c>
      <c r="AR23" s="32" t="str">
        <f t="shared" si="32"/>
        <v>1 door</v>
      </c>
      <c r="AT23" s="23" t="s">
        <v>47</v>
      </c>
      <c r="AU23" s="23" t="str">
        <f t="shared" si="22"/>
        <v>CC</v>
      </c>
      <c r="AV23" s="34">
        <f t="shared" si="33"/>
        <v>440</v>
      </c>
      <c r="AW23" s="23">
        <v>4</v>
      </c>
      <c r="AX23" s="23">
        <v>40</v>
      </c>
      <c r="AY23" s="23">
        <v>0</v>
      </c>
    </row>
    <row r="24" spans="1:51">
      <c r="A24" s="25">
        <v>602</v>
      </c>
      <c r="D24" s="23">
        <v>1</v>
      </c>
      <c r="E24" s="25" t="s">
        <v>48</v>
      </c>
      <c r="F24" s="25" t="s">
        <v>48</v>
      </c>
      <c r="G24" s="23" t="s">
        <v>27</v>
      </c>
      <c r="H24" s="23" t="s">
        <v>105</v>
      </c>
      <c r="I24" s="25">
        <v>1953</v>
      </c>
      <c r="J24" s="35">
        <v>30</v>
      </c>
      <c r="K24" s="35">
        <v>40</v>
      </c>
      <c r="L24" s="35">
        <v>20</v>
      </c>
      <c r="M24" s="25">
        <v>5</v>
      </c>
      <c r="R24" s="30">
        <f t="shared" si="24"/>
        <v>5</v>
      </c>
      <c r="S24" s="37">
        <v>1</v>
      </c>
      <c r="T24" s="30">
        <f t="shared" si="11"/>
        <v>10.045142857142858</v>
      </c>
      <c r="U24" s="37">
        <v>1</v>
      </c>
      <c r="V24" s="30">
        <f t="shared" si="12"/>
        <v>13.666476190476191</v>
      </c>
      <c r="W24" s="25">
        <v>87</v>
      </c>
      <c r="X24" s="31">
        <f t="shared" si="25"/>
        <v>123.76</v>
      </c>
      <c r="Y24" s="25">
        <v>91</v>
      </c>
      <c r="Z24" s="25">
        <v>7</v>
      </c>
      <c r="AA24" s="25">
        <v>35</v>
      </c>
      <c r="AB24" s="37">
        <v>1</v>
      </c>
      <c r="AC24" s="30">
        <f t="shared" si="14"/>
        <v>150</v>
      </c>
      <c r="AD24" s="31">
        <f t="shared" si="26"/>
        <v>2</v>
      </c>
      <c r="AE24" s="31">
        <f t="shared" si="27"/>
        <v>8</v>
      </c>
      <c r="AF24" s="31" t="str">
        <f t="shared" si="28"/>
        <v/>
      </c>
      <c r="AG24" s="31" t="str">
        <f t="shared" si="29"/>
        <v/>
      </c>
      <c r="AH24" s="31" t="str">
        <f t="shared" si="30"/>
        <v/>
      </c>
      <c r="AI24" s="31" t="str">
        <f t="shared" si="31"/>
        <v/>
      </c>
      <c r="AJ24" s="25">
        <v>10</v>
      </c>
      <c r="AK24" s="25">
        <v>0</v>
      </c>
      <c r="AL24" s="25">
        <v>0</v>
      </c>
      <c r="AM24" s="23" t="s">
        <v>110</v>
      </c>
      <c r="AN24" s="23" t="s">
        <v>92</v>
      </c>
      <c r="AO24" s="25">
        <v>602</v>
      </c>
      <c r="AR24" s="32" t="str">
        <f t="shared" si="32"/>
        <v>1 door</v>
      </c>
      <c r="AT24" s="23" t="s">
        <v>47</v>
      </c>
      <c r="AU24" s="23" t="str">
        <f t="shared" si="22"/>
        <v>Hungary</v>
      </c>
      <c r="AV24" s="34">
        <f t="shared" si="33"/>
        <v>440.01</v>
      </c>
      <c r="AW24" s="23">
        <v>4</v>
      </c>
      <c r="AX24" s="23">
        <v>40</v>
      </c>
      <c r="AY24" s="23">
        <v>1</v>
      </c>
    </row>
    <row r="25" spans="1:51">
      <c r="A25" s="25" t="s">
        <v>223</v>
      </c>
      <c r="B25" s="23" t="s">
        <v>135</v>
      </c>
      <c r="D25" s="23">
        <v>3</v>
      </c>
      <c r="E25" s="25" t="s">
        <v>30</v>
      </c>
      <c r="F25" s="25" t="s">
        <v>310</v>
      </c>
      <c r="G25" s="23" t="s">
        <v>27</v>
      </c>
      <c r="H25" s="23" t="s">
        <v>222</v>
      </c>
      <c r="I25" s="25">
        <v>1961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O25" s="25">
        <v>10</v>
      </c>
      <c r="R25" s="30">
        <f t="shared" si="24"/>
        <v>26</v>
      </c>
      <c r="S25" s="37">
        <v>1</v>
      </c>
      <c r="T25" s="30">
        <f t="shared" si="11"/>
        <v>15.065142857142858</v>
      </c>
      <c r="U25" s="37">
        <v>1</v>
      </c>
      <c r="V25" s="30">
        <f t="shared" si="12"/>
        <v>18.35314285714286</v>
      </c>
      <c r="W25" s="25">
        <v>55</v>
      </c>
      <c r="X25" s="31">
        <f t="shared" si="25"/>
        <v>144.16</v>
      </c>
      <c r="Y25" s="25">
        <v>106</v>
      </c>
      <c r="Z25" s="25">
        <v>12</v>
      </c>
      <c r="AA25" s="25">
        <v>132</v>
      </c>
      <c r="AB25" s="37">
        <v>1</v>
      </c>
      <c r="AC25" s="30">
        <f t="shared" si="14"/>
        <v>200</v>
      </c>
      <c r="AD25" s="31">
        <f t="shared" si="26"/>
        <v>8</v>
      </c>
      <c r="AE25" s="31" t="str">
        <f t="shared" si="27"/>
        <v/>
      </c>
      <c r="AF25" s="31">
        <f t="shared" si="28"/>
        <v>6</v>
      </c>
      <c r="AG25" s="31" t="str">
        <f t="shared" si="29"/>
        <v/>
      </c>
      <c r="AH25" s="31" t="str">
        <f t="shared" si="30"/>
        <v/>
      </c>
      <c r="AI25" s="31" t="str">
        <f t="shared" si="31"/>
        <v/>
      </c>
      <c r="AJ25" s="25">
        <v>8</v>
      </c>
      <c r="AK25" s="25">
        <v>6</v>
      </c>
      <c r="AL25" s="25">
        <v>0</v>
      </c>
      <c r="AM25" s="23" t="s">
        <v>110</v>
      </c>
      <c r="AN25" s="23" t="s">
        <v>92</v>
      </c>
      <c r="AO25" s="25" t="s">
        <v>223</v>
      </c>
      <c r="AR25" s="32" t="str">
        <f t="shared" si="32"/>
        <v>3 doors</v>
      </c>
      <c r="AT25" s="23" t="s">
        <v>32</v>
      </c>
      <c r="AU25" s="23" t="str">
        <f t="shared" si="22"/>
        <v>CC</v>
      </c>
      <c r="AV25" s="34">
        <f t="shared" si="33"/>
        <v>460</v>
      </c>
      <c r="AW25" s="23">
        <v>4</v>
      </c>
      <c r="AX25" s="23">
        <v>60</v>
      </c>
      <c r="AY25" s="23">
        <v>0</v>
      </c>
    </row>
    <row r="26" spans="1:51">
      <c r="A26" s="25" t="s">
        <v>223</v>
      </c>
      <c r="B26" s="23" t="s">
        <v>135</v>
      </c>
      <c r="D26" s="23">
        <v>3</v>
      </c>
      <c r="E26" s="25" t="s">
        <v>85</v>
      </c>
      <c r="F26" s="25" t="s">
        <v>85</v>
      </c>
      <c r="G26" s="23" t="s">
        <v>27</v>
      </c>
      <c r="H26" s="23" t="s">
        <v>222</v>
      </c>
      <c r="I26" s="25">
        <v>1961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O26" s="25">
        <v>10</v>
      </c>
      <c r="R26" s="30">
        <f t="shared" si="24"/>
        <v>26</v>
      </c>
      <c r="S26" s="37">
        <v>1</v>
      </c>
      <c r="T26" s="30">
        <f t="shared" si="11"/>
        <v>15.065142857142858</v>
      </c>
      <c r="U26" s="37">
        <v>1</v>
      </c>
      <c r="V26" s="30">
        <f t="shared" si="12"/>
        <v>18.35314285714286</v>
      </c>
      <c r="W26" s="25">
        <v>55</v>
      </c>
      <c r="X26" s="31">
        <f t="shared" si="25"/>
        <v>144.16</v>
      </c>
      <c r="Y26" s="25">
        <v>106</v>
      </c>
      <c r="Z26" s="25">
        <v>12</v>
      </c>
      <c r="AA26" s="25">
        <v>132</v>
      </c>
      <c r="AB26" s="37">
        <v>1</v>
      </c>
      <c r="AC26" s="30">
        <f t="shared" si="14"/>
        <v>200</v>
      </c>
      <c r="AD26" s="31">
        <f t="shared" si="26"/>
        <v>8</v>
      </c>
      <c r="AE26" s="31" t="str">
        <f t="shared" si="27"/>
        <v/>
      </c>
      <c r="AF26" s="31">
        <f t="shared" si="28"/>
        <v>6</v>
      </c>
      <c r="AG26" s="31" t="str">
        <f t="shared" si="29"/>
        <v/>
      </c>
      <c r="AH26" s="31" t="str">
        <f t="shared" si="30"/>
        <v/>
      </c>
      <c r="AI26" s="31" t="str">
        <f t="shared" si="31"/>
        <v/>
      </c>
      <c r="AJ26" s="25">
        <v>8</v>
      </c>
      <c r="AK26" s="25">
        <v>6</v>
      </c>
      <c r="AL26" s="25">
        <v>0</v>
      </c>
      <c r="AM26" s="23" t="s">
        <v>110</v>
      </c>
      <c r="AN26" s="23" t="s">
        <v>92</v>
      </c>
      <c r="AO26" s="25" t="s">
        <v>223</v>
      </c>
      <c r="AR26" s="32" t="str">
        <f t="shared" si="32"/>
        <v>3 doors</v>
      </c>
      <c r="AT26" s="23" t="s">
        <v>32</v>
      </c>
      <c r="AU26" s="23" t="str">
        <f t="shared" si="22"/>
        <v>Hungary</v>
      </c>
      <c r="AV26" s="34">
        <f t="shared" si="33"/>
        <v>460.01</v>
      </c>
      <c r="AW26" s="23">
        <v>4</v>
      </c>
      <c r="AX26" s="23">
        <v>60</v>
      </c>
      <c r="AY26" s="23">
        <v>1</v>
      </c>
    </row>
    <row r="27" spans="1:51">
      <c r="A27" s="25" t="s">
        <v>224</v>
      </c>
      <c r="B27" s="23" t="s">
        <v>225</v>
      </c>
      <c r="D27" s="23">
        <v>2</v>
      </c>
      <c r="E27" s="25" t="s">
        <v>30</v>
      </c>
      <c r="F27" s="25" t="s">
        <v>310</v>
      </c>
      <c r="G27" s="23" t="s">
        <v>27</v>
      </c>
      <c r="H27" s="23" t="s">
        <v>221</v>
      </c>
      <c r="I27" s="25">
        <v>1960</v>
      </c>
      <c r="J27" s="35">
        <v>30</v>
      </c>
      <c r="K27" s="35">
        <v>40</v>
      </c>
      <c r="L27" s="35">
        <v>20</v>
      </c>
      <c r="M27" s="25">
        <v>8</v>
      </c>
      <c r="N27" s="25">
        <v>8</v>
      </c>
      <c r="R27" s="30">
        <f t="shared" si="24"/>
        <v>16</v>
      </c>
      <c r="S27" s="37">
        <v>1</v>
      </c>
      <c r="T27" s="30">
        <f t="shared" si="11"/>
        <v>12.830857142857143</v>
      </c>
      <c r="U27" s="37">
        <v>1</v>
      </c>
      <c r="V27" s="30">
        <f t="shared" si="12"/>
        <v>15.472190476190477</v>
      </c>
      <c r="W27" s="25">
        <v>55</v>
      </c>
      <c r="X27" s="31">
        <f t="shared" si="25"/>
        <v>123.76</v>
      </c>
      <c r="Y27" s="25">
        <v>91</v>
      </c>
      <c r="Z27" s="25">
        <v>11</v>
      </c>
      <c r="AA27" s="25">
        <v>128</v>
      </c>
      <c r="AB27" s="37">
        <v>1</v>
      </c>
      <c r="AC27" s="30">
        <f t="shared" si="14"/>
        <v>185</v>
      </c>
      <c r="AD27" s="31">
        <f t="shared" si="26"/>
        <v>8</v>
      </c>
      <c r="AE27" s="31" t="str">
        <f t="shared" si="27"/>
        <v/>
      </c>
      <c r="AF27" s="31">
        <f t="shared" si="28"/>
        <v>6</v>
      </c>
      <c r="AG27" s="31" t="str">
        <f t="shared" si="29"/>
        <v/>
      </c>
      <c r="AH27" s="31" t="str">
        <f t="shared" si="30"/>
        <v/>
      </c>
      <c r="AI27" s="31" t="str">
        <f t="shared" si="31"/>
        <v/>
      </c>
      <c r="AJ27" s="25">
        <v>8</v>
      </c>
      <c r="AK27" s="25">
        <v>6</v>
      </c>
      <c r="AL27" s="25">
        <v>0</v>
      </c>
      <c r="AM27" s="23" t="s">
        <v>110</v>
      </c>
      <c r="AN27" s="23" t="s">
        <v>92</v>
      </c>
      <c r="AO27" s="25" t="s">
        <v>224</v>
      </c>
      <c r="AR27" s="32" t="str">
        <f t="shared" si="32"/>
        <v>2 doors</v>
      </c>
      <c r="AT27" s="23" t="s">
        <v>33</v>
      </c>
      <c r="AU27" s="23" t="str">
        <f t="shared" si="22"/>
        <v>CC</v>
      </c>
      <c r="AV27" s="34">
        <f t="shared" si="33"/>
        <v>470</v>
      </c>
      <c r="AW27" s="23">
        <v>4</v>
      </c>
      <c r="AX27" s="23">
        <v>70</v>
      </c>
      <c r="AY27" s="23">
        <v>0</v>
      </c>
    </row>
    <row r="28" spans="1:51">
      <c r="A28" s="25" t="s">
        <v>224</v>
      </c>
      <c r="B28" s="23" t="s">
        <v>225</v>
      </c>
      <c r="D28" s="23">
        <v>2</v>
      </c>
      <c r="E28" s="25" t="s">
        <v>95</v>
      </c>
      <c r="F28" s="25" t="s">
        <v>95</v>
      </c>
      <c r="G28" s="23" t="s">
        <v>27</v>
      </c>
      <c r="H28" s="23" t="s">
        <v>221</v>
      </c>
      <c r="I28" s="25">
        <v>1960</v>
      </c>
      <c r="J28" s="35">
        <v>30</v>
      </c>
      <c r="K28" s="35">
        <v>40</v>
      </c>
      <c r="L28" s="35">
        <v>20</v>
      </c>
      <c r="M28" s="25">
        <v>8</v>
      </c>
      <c r="N28" s="25">
        <v>8</v>
      </c>
      <c r="R28" s="30">
        <f t="shared" si="24"/>
        <v>16</v>
      </c>
      <c r="S28" s="37">
        <v>1</v>
      </c>
      <c r="T28" s="30">
        <f t="shared" si="11"/>
        <v>12.830857142857143</v>
      </c>
      <c r="U28" s="37">
        <v>1</v>
      </c>
      <c r="V28" s="30">
        <f t="shared" si="12"/>
        <v>15.472190476190477</v>
      </c>
      <c r="W28" s="25">
        <v>55</v>
      </c>
      <c r="X28" s="31">
        <f t="shared" si="25"/>
        <v>123.76</v>
      </c>
      <c r="Y28" s="25">
        <v>91</v>
      </c>
      <c r="Z28" s="25">
        <v>11</v>
      </c>
      <c r="AA28" s="25">
        <v>128</v>
      </c>
      <c r="AB28" s="37">
        <v>1</v>
      </c>
      <c r="AC28" s="30">
        <f t="shared" si="14"/>
        <v>185</v>
      </c>
      <c r="AD28" s="31">
        <f t="shared" si="26"/>
        <v>8</v>
      </c>
      <c r="AE28" s="31" t="str">
        <f t="shared" si="27"/>
        <v/>
      </c>
      <c r="AF28" s="31">
        <f t="shared" si="28"/>
        <v>6</v>
      </c>
      <c r="AG28" s="31" t="str">
        <f t="shared" si="29"/>
        <v/>
      </c>
      <c r="AH28" s="31" t="str">
        <f t="shared" si="30"/>
        <v/>
      </c>
      <c r="AI28" s="31" t="str">
        <f t="shared" si="31"/>
        <v/>
      </c>
      <c r="AJ28" s="25">
        <v>8</v>
      </c>
      <c r="AK28" s="25">
        <v>6</v>
      </c>
      <c r="AL28" s="25">
        <v>0</v>
      </c>
      <c r="AM28" s="23" t="s">
        <v>110</v>
      </c>
      <c r="AN28" s="23" t="s">
        <v>92</v>
      </c>
      <c r="AO28" s="25" t="s">
        <v>224</v>
      </c>
      <c r="AR28" s="32" t="str">
        <f t="shared" si="32"/>
        <v>2 doors</v>
      </c>
      <c r="AT28" s="23" t="s">
        <v>33</v>
      </c>
      <c r="AU28" s="23" t="str">
        <f t="shared" si="22"/>
        <v>Hungary</v>
      </c>
      <c r="AV28" s="34">
        <f t="shared" si="33"/>
        <v>470.01</v>
      </c>
      <c r="AW28" s="23">
        <v>4</v>
      </c>
      <c r="AX28" s="23">
        <v>70</v>
      </c>
      <c r="AY28" s="23">
        <v>1</v>
      </c>
    </row>
    <row r="29" spans="1:51">
      <c r="A29" s="25">
        <v>66</v>
      </c>
      <c r="B29" s="23" t="s">
        <v>89</v>
      </c>
      <c r="D29" s="23">
        <v>3</v>
      </c>
      <c r="E29" s="25" t="s">
        <v>30</v>
      </c>
      <c r="F29" s="25" t="s">
        <v>310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24"/>
        <v>19</v>
      </c>
      <c r="S29" s="37">
        <v>1</v>
      </c>
      <c r="T29" s="30">
        <f t="shared" si="11"/>
        <v>13.065142857142858</v>
      </c>
      <c r="U29" s="37">
        <v>1</v>
      </c>
      <c r="V29" s="30">
        <f t="shared" si="12"/>
        <v>17.406476190476191</v>
      </c>
      <c r="W29" s="25">
        <v>61</v>
      </c>
      <c r="X29" s="31">
        <f t="shared" si="25"/>
        <v>144.16</v>
      </c>
      <c r="Y29" s="25">
        <v>106</v>
      </c>
      <c r="Z29" s="25">
        <v>9</v>
      </c>
      <c r="AA29" s="25">
        <v>110</v>
      </c>
      <c r="AB29" s="37">
        <v>1</v>
      </c>
      <c r="AC29" s="30">
        <f t="shared" si="14"/>
        <v>200</v>
      </c>
      <c r="AD29" s="31">
        <f t="shared" si="26"/>
        <v>6</v>
      </c>
      <c r="AE29" s="31">
        <f t="shared" si="27"/>
        <v>8</v>
      </c>
      <c r="AF29" s="31" t="str">
        <f t="shared" si="28"/>
        <v/>
      </c>
      <c r="AG29" s="31" t="str">
        <f t="shared" si="29"/>
        <v/>
      </c>
      <c r="AH29" s="31" t="str">
        <f t="shared" si="30"/>
        <v/>
      </c>
      <c r="AI29" s="31" t="str">
        <f t="shared" si="31"/>
        <v/>
      </c>
      <c r="AJ29" s="25">
        <v>14</v>
      </c>
      <c r="AK29" s="25">
        <v>0</v>
      </c>
      <c r="AL29" s="25">
        <v>0</v>
      </c>
      <c r="AM29" s="23" t="s">
        <v>110</v>
      </c>
      <c r="AN29" s="23" t="s">
        <v>92</v>
      </c>
      <c r="AO29" s="25">
        <v>66</v>
      </c>
      <c r="AR29" s="32" t="str">
        <f t="shared" si="32"/>
        <v>3 doors</v>
      </c>
      <c r="AT29" s="23" t="s">
        <v>32</v>
      </c>
      <c r="AU29" s="23" t="str">
        <f t="shared" si="22"/>
        <v>CC</v>
      </c>
      <c r="AV29" s="34">
        <f t="shared" si="33"/>
        <v>500</v>
      </c>
      <c r="AW29" s="23">
        <v>5</v>
      </c>
      <c r="AX29" s="23">
        <v>0</v>
      </c>
      <c r="AY29" s="23">
        <v>0</v>
      </c>
    </row>
    <row r="30" spans="1:51">
      <c r="A30" s="25">
        <v>66</v>
      </c>
      <c r="B30" s="23" t="s">
        <v>89</v>
      </c>
      <c r="D30" s="23">
        <v>3</v>
      </c>
      <c r="E30" s="25" t="s">
        <v>42</v>
      </c>
      <c r="F30" s="25" t="s">
        <v>310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24"/>
        <v>19</v>
      </c>
      <c r="S30" s="37">
        <v>1</v>
      </c>
      <c r="T30" s="30">
        <f t="shared" si="11"/>
        <v>13.065142857142858</v>
      </c>
      <c r="U30" s="37">
        <v>1</v>
      </c>
      <c r="V30" s="30">
        <f t="shared" si="12"/>
        <v>17.406476190476191</v>
      </c>
      <c r="W30" s="25">
        <v>61</v>
      </c>
      <c r="X30" s="31">
        <f t="shared" si="25"/>
        <v>144.16</v>
      </c>
      <c r="Y30" s="25">
        <v>106</v>
      </c>
      <c r="Z30" s="25">
        <v>9</v>
      </c>
      <c r="AA30" s="25">
        <v>110</v>
      </c>
      <c r="AB30" s="37">
        <v>1</v>
      </c>
      <c r="AC30" s="30">
        <f t="shared" si="14"/>
        <v>200</v>
      </c>
      <c r="AD30" s="31">
        <f t="shared" si="26"/>
        <v>6</v>
      </c>
      <c r="AE30" s="31">
        <f t="shared" si="27"/>
        <v>8</v>
      </c>
      <c r="AF30" s="31" t="str">
        <f t="shared" si="28"/>
        <v/>
      </c>
      <c r="AG30" s="31" t="str">
        <f t="shared" si="29"/>
        <v/>
      </c>
      <c r="AH30" s="31" t="str">
        <f t="shared" si="30"/>
        <v/>
      </c>
      <c r="AI30" s="31" t="str">
        <f t="shared" si="31"/>
        <v/>
      </c>
      <c r="AJ30" s="25">
        <v>14</v>
      </c>
      <c r="AK30" s="25">
        <v>0</v>
      </c>
      <c r="AL30" s="25">
        <v>0</v>
      </c>
      <c r="AM30" s="23" t="s">
        <v>110</v>
      </c>
      <c r="AN30" s="23" t="s">
        <v>92</v>
      </c>
      <c r="AO30" s="25">
        <v>66</v>
      </c>
      <c r="AR30" s="32" t="str">
        <f t="shared" si="32"/>
        <v>3 doors</v>
      </c>
      <c r="AT30" s="23" t="s">
        <v>32</v>
      </c>
      <c r="AU30" s="23" t="str">
        <f t="shared" si="22"/>
        <v>CC</v>
      </c>
      <c r="AV30" s="34">
        <f t="shared" si="33"/>
        <v>500.01</v>
      </c>
      <c r="AW30" s="23">
        <v>5</v>
      </c>
      <c r="AX30" s="23">
        <v>0</v>
      </c>
      <c r="AY30" s="23">
        <v>1</v>
      </c>
    </row>
    <row r="31" spans="1:51">
      <c r="A31" s="25">
        <v>66</v>
      </c>
      <c r="B31" s="23" t="s">
        <v>89</v>
      </c>
      <c r="D31" s="23">
        <v>3</v>
      </c>
      <c r="E31" s="25" t="s">
        <v>96</v>
      </c>
      <c r="F31" s="25" t="s">
        <v>85</v>
      </c>
      <c r="G31" s="23" t="s">
        <v>27</v>
      </c>
      <c r="H31" s="23" t="s">
        <v>139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O31" s="25">
        <v>4</v>
      </c>
      <c r="R31" s="30">
        <f t="shared" si="24"/>
        <v>19</v>
      </c>
      <c r="S31" s="37">
        <v>1</v>
      </c>
      <c r="T31" s="30">
        <f t="shared" si="11"/>
        <v>13.065142857142858</v>
      </c>
      <c r="U31" s="37">
        <v>1</v>
      </c>
      <c r="V31" s="30">
        <f t="shared" si="12"/>
        <v>17.406476190476191</v>
      </c>
      <c r="W31" s="25">
        <v>61</v>
      </c>
      <c r="X31" s="31">
        <f t="shared" si="25"/>
        <v>144.16</v>
      </c>
      <c r="Y31" s="25">
        <v>106</v>
      </c>
      <c r="Z31" s="25">
        <v>9</v>
      </c>
      <c r="AA31" s="25">
        <v>110</v>
      </c>
      <c r="AB31" s="37">
        <v>1</v>
      </c>
      <c r="AC31" s="30">
        <f t="shared" si="14"/>
        <v>200</v>
      </c>
      <c r="AD31" s="31">
        <f t="shared" si="26"/>
        <v>6</v>
      </c>
      <c r="AE31" s="31">
        <f t="shared" si="27"/>
        <v>8</v>
      </c>
      <c r="AF31" s="31" t="str">
        <f t="shared" si="28"/>
        <v/>
      </c>
      <c r="AG31" s="31" t="str">
        <f t="shared" si="29"/>
        <v/>
      </c>
      <c r="AH31" s="31" t="str">
        <f t="shared" si="30"/>
        <v/>
      </c>
      <c r="AI31" s="31" t="str">
        <f t="shared" si="31"/>
        <v/>
      </c>
      <c r="AJ31" s="25">
        <v>14</v>
      </c>
      <c r="AK31" s="25">
        <v>0</v>
      </c>
      <c r="AL31" s="25">
        <v>0</v>
      </c>
      <c r="AM31" s="23" t="s">
        <v>110</v>
      </c>
      <c r="AN31" s="23" t="s">
        <v>92</v>
      </c>
      <c r="AO31" s="25">
        <v>66</v>
      </c>
      <c r="AR31" s="32" t="str">
        <f t="shared" si="32"/>
        <v>3 doors</v>
      </c>
      <c r="AT31" s="23" t="s">
        <v>32</v>
      </c>
      <c r="AU31" s="23" t="str">
        <f t="shared" si="22"/>
        <v>Hungary</v>
      </c>
      <c r="AV31" s="34">
        <f t="shared" si="33"/>
        <v>500.02</v>
      </c>
      <c r="AW31" s="23">
        <v>5</v>
      </c>
      <c r="AX31" s="23">
        <v>0</v>
      </c>
      <c r="AY31" s="23">
        <v>2</v>
      </c>
    </row>
    <row r="32" spans="1:51">
      <c r="A32" s="25">
        <v>66</v>
      </c>
      <c r="B32" s="23" t="s">
        <v>89</v>
      </c>
      <c r="D32" s="23">
        <v>3</v>
      </c>
      <c r="E32" s="25" t="s">
        <v>97</v>
      </c>
      <c r="F32" s="25" t="s">
        <v>85</v>
      </c>
      <c r="G32" s="23" t="s">
        <v>27</v>
      </c>
      <c r="H32" s="23" t="s">
        <v>139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O32" s="25">
        <v>4</v>
      </c>
      <c r="R32" s="30">
        <f t="shared" si="24"/>
        <v>19</v>
      </c>
      <c r="S32" s="37">
        <v>1</v>
      </c>
      <c r="T32" s="30">
        <f t="shared" si="11"/>
        <v>13.065142857142858</v>
      </c>
      <c r="U32" s="37">
        <v>1</v>
      </c>
      <c r="V32" s="30">
        <f t="shared" si="12"/>
        <v>17.406476190476191</v>
      </c>
      <c r="W32" s="25">
        <v>61</v>
      </c>
      <c r="X32" s="31">
        <f t="shared" si="25"/>
        <v>144.16</v>
      </c>
      <c r="Y32" s="25">
        <v>106</v>
      </c>
      <c r="Z32" s="25">
        <v>9</v>
      </c>
      <c r="AA32" s="25">
        <v>110</v>
      </c>
      <c r="AB32" s="37">
        <v>1</v>
      </c>
      <c r="AC32" s="30">
        <f t="shared" si="14"/>
        <v>200</v>
      </c>
      <c r="AD32" s="31">
        <f t="shared" si="26"/>
        <v>6</v>
      </c>
      <c r="AE32" s="31">
        <f t="shared" si="27"/>
        <v>8</v>
      </c>
      <c r="AF32" s="31" t="str">
        <f t="shared" si="28"/>
        <v/>
      </c>
      <c r="AG32" s="31" t="str">
        <f t="shared" si="29"/>
        <v/>
      </c>
      <c r="AH32" s="31" t="str">
        <f t="shared" si="30"/>
        <v/>
      </c>
      <c r="AI32" s="31" t="str">
        <f t="shared" si="31"/>
        <v/>
      </c>
      <c r="AJ32" s="25">
        <v>14</v>
      </c>
      <c r="AK32" s="25">
        <v>0</v>
      </c>
      <c r="AL32" s="25">
        <v>0</v>
      </c>
      <c r="AM32" s="23" t="s">
        <v>110</v>
      </c>
      <c r="AN32" s="23" t="s">
        <v>92</v>
      </c>
      <c r="AO32" s="25">
        <v>66</v>
      </c>
      <c r="AR32" s="32" t="str">
        <f t="shared" si="32"/>
        <v>3 doors</v>
      </c>
      <c r="AT32" s="23" t="s">
        <v>32</v>
      </c>
      <c r="AU32" s="23" t="str">
        <f t="shared" si="22"/>
        <v>Hungary</v>
      </c>
      <c r="AV32" s="34">
        <f t="shared" si="33"/>
        <v>500.03</v>
      </c>
      <c r="AW32" s="23">
        <v>5</v>
      </c>
      <c r="AX32" s="23">
        <v>0</v>
      </c>
      <c r="AY32" s="23">
        <v>3</v>
      </c>
    </row>
    <row r="33" spans="1:51">
      <c r="A33" s="25">
        <v>66</v>
      </c>
      <c r="D33" s="23">
        <v>2</v>
      </c>
      <c r="E33" s="25" t="s">
        <v>30</v>
      </c>
      <c r="F33" s="25" t="s">
        <v>312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24"/>
        <v>15</v>
      </c>
      <c r="S33" s="37">
        <v>1</v>
      </c>
      <c r="T33" s="30">
        <f t="shared" si="11"/>
        <v>12.779428571428571</v>
      </c>
      <c r="U33" s="37">
        <v>1</v>
      </c>
      <c r="V33" s="30">
        <f t="shared" si="12"/>
        <v>16.920761904761907</v>
      </c>
      <c r="W33" s="25">
        <v>78</v>
      </c>
      <c r="X33" s="31">
        <f t="shared" si="25"/>
        <v>144.16</v>
      </c>
      <c r="Y33" s="25">
        <v>106</v>
      </c>
      <c r="Z33" s="25">
        <v>9</v>
      </c>
      <c r="AA33" s="25">
        <v>80</v>
      </c>
      <c r="AB33" s="37">
        <v>1</v>
      </c>
      <c r="AC33" s="30">
        <f t="shared" si="14"/>
        <v>185</v>
      </c>
      <c r="AD33" s="31">
        <f t="shared" si="26"/>
        <v>6</v>
      </c>
      <c r="AE33" s="31">
        <f t="shared" si="27"/>
        <v>8</v>
      </c>
      <c r="AF33" s="31" t="str">
        <f t="shared" si="28"/>
        <v/>
      </c>
      <c r="AG33" s="31" t="str">
        <f t="shared" si="29"/>
        <v/>
      </c>
      <c r="AH33" s="31" t="str">
        <f t="shared" si="30"/>
        <v/>
      </c>
      <c r="AI33" s="31" t="str">
        <f t="shared" si="31"/>
        <v/>
      </c>
      <c r="AJ33" s="25">
        <v>14</v>
      </c>
      <c r="AK33" s="25">
        <v>0</v>
      </c>
      <c r="AL33" s="25">
        <v>0</v>
      </c>
      <c r="AM33" s="23" t="s">
        <v>110</v>
      </c>
      <c r="AN33" s="23" t="s">
        <v>92</v>
      </c>
      <c r="AO33" s="25">
        <v>66</v>
      </c>
      <c r="AR33" s="32" t="str">
        <f t="shared" si="32"/>
        <v>2 doors</v>
      </c>
      <c r="AT33" s="23" t="s">
        <v>33</v>
      </c>
      <c r="AU33" s="23" t="str">
        <f t="shared" si="22"/>
        <v>CC</v>
      </c>
      <c r="AV33" s="34">
        <f t="shared" si="33"/>
        <v>520</v>
      </c>
      <c r="AW33" s="23">
        <v>5</v>
      </c>
      <c r="AX33" s="23">
        <v>20</v>
      </c>
      <c r="AY33" s="23">
        <v>0</v>
      </c>
    </row>
    <row r="34" spans="1:51">
      <c r="A34" s="25">
        <v>66</v>
      </c>
      <c r="D34" s="23">
        <v>2</v>
      </c>
      <c r="E34" s="25" t="s">
        <v>42</v>
      </c>
      <c r="F34" s="25" t="s">
        <v>303</v>
      </c>
      <c r="G34" s="23" t="s">
        <v>27</v>
      </c>
      <c r="H34" s="23" t="s">
        <v>140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N34" s="25">
        <v>10</v>
      </c>
      <c r="R34" s="30">
        <f t="shared" si="24"/>
        <v>15</v>
      </c>
      <c r="S34" s="37">
        <v>1</v>
      </c>
      <c r="T34" s="30">
        <f t="shared" si="11"/>
        <v>12.779428571428571</v>
      </c>
      <c r="U34" s="37">
        <v>1</v>
      </c>
      <c r="V34" s="30">
        <f t="shared" si="12"/>
        <v>16.920761904761907</v>
      </c>
      <c r="W34" s="25">
        <v>78</v>
      </c>
      <c r="X34" s="31">
        <f t="shared" si="25"/>
        <v>144.16</v>
      </c>
      <c r="Y34" s="25">
        <v>106</v>
      </c>
      <c r="Z34" s="25">
        <v>9</v>
      </c>
      <c r="AA34" s="25">
        <v>80</v>
      </c>
      <c r="AB34" s="37">
        <v>1</v>
      </c>
      <c r="AC34" s="30">
        <f t="shared" si="14"/>
        <v>185</v>
      </c>
      <c r="AD34" s="31">
        <f t="shared" si="26"/>
        <v>6</v>
      </c>
      <c r="AE34" s="31">
        <f t="shared" si="27"/>
        <v>8</v>
      </c>
      <c r="AF34" s="31" t="str">
        <f t="shared" si="28"/>
        <v/>
      </c>
      <c r="AG34" s="31" t="str">
        <f t="shared" si="29"/>
        <v/>
      </c>
      <c r="AH34" s="31" t="str">
        <f t="shared" si="30"/>
        <v/>
      </c>
      <c r="AI34" s="31" t="str">
        <f t="shared" si="31"/>
        <v/>
      </c>
      <c r="AJ34" s="25">
        <v>14</v>
      </c>
      <c r="AK34" s="25">
        <v>0</v>
      </c>
      <c r="AL34" s="25">
        <v>0</v>
      </c>
      <c r="AM34" s="23" t="s">
        <v>110</v>
      </c>
      <c r="AN34" s="23" t="s">
        <v>92</v>
      </c>
      <c r="AO34" s="25">
        <v>66</v>
      </c>
      <c r="AR34" s="32" t="str">
        <f t="shared" si="32"/>
        <v>2 doors</v>
      </c>
      <c r="AT34" s="23" t="s">
        <v>33</v>
      </c>
      <c r="AU34" s="23" t="str">
        <f t="shared" si="22"/>
        <v>CC</v>
      </c>
      <c r="AV34" s="34">
        <f t="shared" si="33"/>
        <v>520.01</v>
      </c>
      <c r="AW34" s="23">
        <v>5</v>
      </c>
      <c r="AX34" s="23">
        <v>20</v>
      </c>
      <c r="AY34" s="23">
        <v>1</v>
      </c>
    </row>
    <row r="35" spans="1:51">
      <c r="A35" s="25">
        <v>66</v>
      </c>
      <c r="D35" s="23">
        <v>2</v>
      </c>
      <c r="E35" s="25" t="s">
        <v>46</v>
      </c>
      <c r="F35" s="25" t="s">
        <v>46</v>
      </c>
      <c r="G35" s="23" t="s">
        <v>27</v>
      </c>
      <c r="H35" s="23" t="s">
        <v>140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N35" s="25">
        <v>10</v>
      </c>
      <c r="R35" s="30">
        <f t="shared" si="24"/>
        <v>15</v>
      </c>
      <c r="S35" s="37">
        <v>1</v>
      </c>
      <c r="T35" s="30">
        <f t="shared" si="11"/>
        <v>12.779428571428571</v>
      </c>
      <c r="U35" s="37">
        <v>1</v>
      </c>
      <c r="V35" s="30">
        <f t="shared" si="12"/>
        <v>16.920761904761907</v>
      </c>
      <c r="W35" s="25">
        <v>78</v>
      </c>
      <c r="X35" s="31">
        <f t="shared" si="25"/>
        <v>144.16</v>
      </c>
      <c r="Y35" s="25">
        <v>106</v>
      </c>
      <c r="Z35" s="25">
        <v>9</v>
      </c>
      <c r="AA35" s="25">
        <v>80</v>
      </c>
      <c r="AB35" s="37">
        <v>1</v>
      </c>
      <c r="AC35" s="30">
        <f t="shared" si="14"/>
        <v>185</v>
      </c>
      <c r="AD35" s="31">
        <f t="shared" si="26"/>
        <v>6</v>
      </c>
      <c r="AE35" s="31">
        <f t="shared" si="27"/>
        <v>8</v>
      </c>
      <c r="AF35" s="31" t="str">
        <f t="shared" si="28"/>
        <v/>
      </c>
      <c r="AG35" s="31" t="str">
        <f t="shared" si="29"/>
        <v/>
      </c>
      <c r="AH35" s="31" t="str">
        <f t="shared" si="30"/>
        <v/>
      </c>
      <c r="AI35" s="31" t="str">
        <f t="shared" si="31"/>
        <v/>
      </c>
      <c r="AJ35" s="25">
        <v>14</v>
      </c>
      <c r="AK35" s="25">
        <v>0</v>
      </c>
      <c r="AL35" s="25">
        <v>0</v>
      </c>
      <c r="AM35" s="23" t="s">
        <v>110</v>
      </c>
      <c r="AN35" s="23" t="s">
        <v>92</v>
      </c>
      <c r="AO35" s="25">
        <v>66</v>
      </c>
      <c r="AR35" s="32" t="str">
        <f t="shared" si="32"/>
        <v>2 doors</v>
      </c>
      <c r="AT35" s="23" t="s">
        <v>33</v>
      </c>
      <c r="AU35" s="23" t="str">
        <f t="shared" si="22"/>
        <v>Hungary</v>
      </c>
      <c r="AV35" s="34">
        <f t="shared" si="33"/>
        <v>520.02</v>
      </c>
      <c r="AW35" s="23">
        <v>5</v>
      </c>
      <c r="AX35" s="23">
        <v>20</v>
      </c>
      <c r="AY35" s="23">
        <v>2</v>
      </c>
    </row>
    <row r="36" spans="1:51">
      <c r="A36" s="25">
        <v>55</v>
      </c>
      <c r="D36" s="23">
        <v>1</v>
      </c>
      <c r="E36" s="25" t="s">
        <v>30</v>
      </c>
      <c r="F36" s="25" t="s">
        <v>313</v>
      </c>
      <c r="G36" s="23" t="s">
        <v>27</v>
      </c>
      <c r="H36" s="23" t="s">
        <v>103</v>
      </c>
      <c r="I36" s="25">
        <v>1952</v>
      </c>
      <c r="J36" s="35">
        <v>30</v>
      </c>
      <c r="K36" s="35">
        <v>40</v>
      </c>
      <c r="L36" s="35">
        <v>20</v>
      </c>
      <c r="M36" s="25">
        <v>5</v>
      </c>
      <c r="R36" s="30">
        <f t="shared" ref="R36:R85" si="34">SUM(M36:Q36)</f>
        <v>5</v>
      </c>
      <c r="S36" s="37">
        <v>1</v>
      </c>
      <c r="T36" s="30">
        <f t="shared" si="11"/>
        <v>12.565142857142858</v>
      </c>
      <c r="U36" s="37">
        <v>1</v>
      </c>
      <c r="V36" s="30">
        <f t="shared" si="12"/>
        <v>16.053142857142859</v>
      </c>
      <c r="W36" s="25">
        <v>99</v>
      </c>
      <c r="X36" s="31">
        <f t="shared" ref="X36:X85" si="35">Y36*1.36</f>
        <v>144.16</v>
      </c>
      <c r="Y36" s="25">
        <v>106</v>
      </c>
      <c r="Z36" s="25">
        <v>10</v>
      </c>
      <c r="AA36" s="25">
        <v>42</v>
      </c>
      <c r="AB36" s="37">
        <v>1</v>
      </c>
      <c r="AC36" s="30">
        <f t="shared" si="14"/>
        <v>150</v>
      </c>
      <c r="AD36" s="31">
        <f t="shared" ref="AD36:AD85" si="36">IF(AJ36&gt;8, AJ36-8, AJ36)</f>
        <v>6</v>
      </c>
      <c r="AE36" s="31">
        <f t="shared" ref="AE36:AE85" si="37">IF(AJ36&gt;8, 8, "")</f>
        <v>8</v>
      </c>
      <c r="AF36" s="31" t="str">
        <f t="shared" ref="AF36:AF85" si="38">IF(AK36&gt;8, AK36-8, IF(AK36=0, "", AK36))</f>
        <v/>
      </c>
      <c r="AG36" s="31" t="str">
        <f t="shared" ref="AG36:AG85" si="39">IF(AK36&gt;8, 8, "")</f>
        <v/>
      </c>
      <c r="AH36" s="31" t="str">
        <f t="shared" ref="AH36:AH85" si="40">IF(AL36&gt;8, AL36-8, IF(AL36=0, "", AL36))</f>
        <v/>
      </c>
      <c r="AI36" s="31" t="str">
        <f t="shared" ref="AI36:AI85" si="41">IF(AL36&gt;8, 8, "")</f>
        <v/>
      </c>
      <c r="AJ36" s="25">
        <v>14</v>
      </c>
      <c r="AK36" s="25">
        <v>0</v>
      </c>
      <c r="AL36" s="25">
        <v>0</v>
      </c>
      <c r="AM36" s="23" t="s">
        <v>110</v>
      </c>
      <c r="AN36" s="23" t="s">
        <v>92</v>
      </c>
      <c r="AO36" s="25">
        <v>55</v>
      </c>
      <c r="AR36" s="32" t="str">
        <f t="shared" ref="AR36:AR85" si="42">IF(Q36&gt;0, "5 doors", IF(P36&gt;0, "4 doors", IF(O36&gt;0, "3 doors", IF(N36&gt;0, "2 doors", "1 door"))))</f>
        <v>1 door</v>
      </c>
      <c r="AT36" s="23" t="s">
        <v>47</v>
      </c>
      <c r="AU36" s="23" t="str">
        <f t="shared" si="22"/>
        <v>CC</v>
      </c>
      <c r="AV36" s="34">
        <f t="shared" ref="AV36:AV85" si="43">(AW36*100)+AX36+(AY36/100)</f>
        <v>540</v>
      </c>
      <c r="AW36" s="23">
        <v>5</v>
      </c>
      <c r="AX36" s="23">
        <v>40</v>
      </c>
      <c r="AY36" s="23">
        <v>0</v>
      </c>
    </row>
    <row r="37" spans="1:51">
      <c r="A37" s="25">
        <v>55</v>
      </c>
      <c r="D37" s="23">
        <v>1</v>
      </c>
      <c r="E37" s="25" t="s">
        <v>42</v>
      </c>
      <c r="F37" s="25" t="s">
        <v>313</v>
      </c>
      <c r="G37" s="23" t="s">
        <v>27</v>
      </c>
      <c r="H37" s="23" t="s">
        <v>103</v>
      </c>
      <c r="I37" s="25">
        <v>1952</v>
      </c>
      <c r="J37" s="35">
        <v>30</v>
      </c>
      <c r="K37" s="35">
        <v>40</v>
      </c>
      <c r="L37" s="35">
        <v>20</v>
      </c>
      <c r="M37" s="25">
        <v>5</v>
      </c>
      <c r="R37" s="30">
        <f t="shared" si="34"/>
        <v>5</v>
      </c>
      <c r="S37" s="37">
        <v>1</v>
      </c>
      <c r="T37" s="30">
        <f t="shared" si="11"/>
        <v>12.565142857142858</v>
      </c>
      <c r="U37" s="37">
        <v>1</v>
      </c>
      <c r="V37" s="30">
        <f t="shared" si="12"/>
        <v>16.053142857142859</v>
      </c>
      <c r="W37" s="25">
        <v>99</v>
      </c>
      <c r="X37" s="31">
        <f t="shared" si="35"/>
        <v>144.16</v>
      </c>
      <c r="Y37" s="25">
        <v>106</v>
      </c>
      <c r="Z37" s="25">
        <v>10</v>
      </c>
      <c r="AA37" s="25">
        <v>42</v>
      </c>
      <c r="AB37" s="37">
        <v>1</v>
      </c>
      <c r="AC37" s="30">
        <f t="shared" si="14"/>
        <v>150</v>
      </c>
      <c r="AD37" s="31">
        <f t="shared" si="36"/>
        <v>6</v>
      </c>
      <c r="AE37" s="31">
        <f t="shared" si="37"/>
        <v>8</v>
      </c>
      <c r="AF37" s="31" t="str">
        <f t="shared" si="38"/>
        <v/>
      </c>
      <c r="AG37" s="31" t="str">
        <f t="shared" si="39"/>
        <v/>
      </c>
      <c r="AH37" s="31" t="str">
        <f t="shared" si="40"/>
        <v/>
      </c>
      <c r="AI37" s="31" t="str">
        <f t="shared" si="41"/>
        <v/>
      </c>
      <c r="AJ37" s="25">
        <v>14</v>
      </c>
      <c r="AK37" s="25">
        <v>0</v>
      </c>
      <c r="AL37" s="25">
        <v>0</v>
      </c>
      <c r="AM37" s="23" t="s">
        <v>110</v>
      </c>
      <c r="AN37" s="23" t="s">
        <v>92</v>
      </c>
      <c r="AO37" s="25">
        <v>55</v>
      </c>
      <c r="AR37" s="32" t="str">
        <f t="shared" si="42"/>
        <v>1 door</v>
      </c>
      <c r="AT37" s="23" t="s">
        <v>47</v>
      </c>
      <c r="AU37" s="23" t="str">
        <f t="shared" si="22"/>
        <v>CC</v>
      </c>
      <c r="AV37" s="34">
        <f t="shared" si="43"/>
        <v>540.01</v>
      </c>
      <c r="AW37" s="23">
        <v>5</v>
      </c>
      <c r="AX37" s="23">
        <v>40</v>
      </c>
      <c r="AY37" s="23">
        <v>1</v>
      </c>
    </row>
    <row r="38" spans="1:51">
      <c r="A38" s="25">
        <v>620</v>
      </c>
      <c r="D38" s="23">
        <v>2</v>
      </c>
      <c r="E38" s="25" t="s">
        <v>30</v>
      </c>
      <c r="F38" s="25" t="s">
        <v>310</v>
      </c>
      <c r="G38" s="23" t="s">
        <v>27</v>
      </c>
      <c r="H38" s="23" t="s">
        <v>107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N38" s="25">
        <v>10</v>
      </c>
      <c r="R38" s="30">
        <f t="shared" si="34"/>
        <v>20</v>
      </c>
      <c r="S38" s="37">
        <v>1</v>
      </c>
      <c r="T38" s="30">
        <f t="shared" si="11"/>
        <v>12.636571428571429</v>
      </c>
      <c r="U38" s="37">
        <v>1</v>
      </c>
      <c r="V38" s="30">
        <f t="shared" si="12"/>
        <v>17.071238095238094</v>
      </c>
      <c r="W38" s="25">
        <v>68</v>
      </c>
      <c r="X38" s="31">
        <f t="shared" si="35"/>
        <v>144.16</v>
      </c>
      <c r="Y38" s="25">
        <v>106</v>
      </c>
      <c r="Z38" s="25">
        <v>8</v>
      </c>
      <c r="AA38" s="25">
        <v>64</v>
      </c>
      <c r="AB38" s="37">
        <v>1</v>
      </c>
      <c r="AC38" s="30">
        <f t="shared" si="14"/>
        <v>200</v>
      </c>
      <c r="AD38" s="31">
        <f t="shared" si="36"/>
        <v>1</v>
      </c>
      <c r="AE38" s="31">
        <f t="shared" si="37"/>
        <v>8</v>
      </c>
      <c r="AF38" s="31" t="str">
        <f t="shared" si="38"/>
        <v/>
      </c>
      <c r="AG38" s="31" t="str">
        <f t="shared" si="39"/>
        <v/>
      </c>
      <c r="AH38" s="31" t="str">
        <f t="shared" si="40"/>
        <v/>
      </c>
      <c r="AI38" s="31" t="str">
        <f t="shared" si="41"/>
        <v/>
      </c>
      <c r="AJ38" s="25">
        <v>9</v>
      </c>
      <c r="AK38" s="25">
        <v>0</v>
      </c>
      <c r="AL38" s="25">
        <v>0</v>
      </c>
      <c r="AM38" s="23" t="s">
        <v>110</v>
      </c>
      <c r="AN38" s="23" t="s">
        <v>92</v>
      </c>
      <c r="AO38" s="25">
        <v>620</v>
      </c>
      <c r="AR38" s="32" t="str">
        <f t="shared" si="42"/>
        <v>2 doors</v>
      </c>
      <c r="AT38" s="23" t="s">
        <v>32</v>
      </c>
      <c r="AU38" s="23" t="str">
        <f t="shared" si="22"/>
        <v>CC</v>
      </c>
      <c r="AV38" s="34">
        <f t="shared" si="43"/>
        <v>700</v>
      </c>
      <c r="AW38" s="23">
        <v>7</v>
      </c>
      <c r="AX38" s="23">
        <v>0</v>
      </c>
      <c r="AY38" s="23">
        <v>0</v>
      </c>
    </row>
    <row r="39" spans="1:51">
      <c r="A39" s="25">
        <v>620</v>
      </c>
      <c r="D39" s="23">
        <v>2</v>
      </c>
      <c r="E39" s="25" t="s">
        <v>85</v>
      </c>
      <c r="F39" s="25" t="s">
        <v>85</v>
      </c>
      <c r="G39" s="23" t="s">
        <v>27</v>
      </c>
      <c r="H39" s="23" t="s">
        <v>107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N39" s="25">
        <v>10</v>
      </c>
      <c r="R39" s="30">
        <f t="shared" si="34"/>
        <v>20</v>
      </c>
      <c r="S39" s="37">
        <v>1</v>
      </c>
      <c r="T39" s="30">
        <f t="shared" si="11"/>
        <v>12.636571428571429</v>
      </c>
      <c r="U39" s="37">
        <v>1</v>
      </c>
      <c r="V39" s="30">
        <f t="shared" si="12"/>
        <v>17.071238095238094</v>
      </c>
      <c r="W39" s="25">
        <v>68</v>
      </c>
      <c r="X39" s="31">
        <f t="shared" si="35"/>
        <v>144.16</v>
      </c>
      <c r="Y39" s="25">
        <v>106</v>
      </c>
      <c r="Z39" s="25">
        <v>8</v>
      </c>
      <c r="AA39" s="25">
        <v>64</v>
      </c>
      <c r="AB39" s="37">
        <v>1</v>
      </c>
      <c r="AC39" s="30">
        <f t="shared" si="14"/>
        <v>200</v>
      </c>
      <c r="AD39" s="31">
        <f t="shared" si="36"/>
        <v>1</v>
      </c>
      <c r="AE39" s="31">
        <f t="shared" si="37"/>
        <v>8</v>
      </c>
      <c r="AF39" s="31" t="str">
        <f t="shared" si="38"/>
        <v/>
      </c>
      <c r="AG39" s="31" t="str">
        <f t="shared" si="39"/>
        <v/>
      </c>
      <c r="AH39" s="31" t="str">
        <f t="shared" si="40"/>
        <v/>
      </c>
      <c r="AI39" s="31" t="str">
        <f t="shared" si="41"/>
        <v/>
      </c>
      <c r="AJ39" s="25">
        <v>9</v>
      </c>
      <c r="AK39" s="25">
        <v>0</v>
      </c>
      <c r="AL39" s="25">
        <v>0</v>
      </c>
      <c r="AM39" s="23" t="s">
        <v>110</v>
      </c>
      <c r="AN39" s="23" t="s">
        <v>92</v>
      </c>
      <c r="AO39" s="25">
        <v>620</v>
      </c>
      <c r="AR39" s="32" t="str">
        <f t="shared" si="42"/>
        <v>2 doors</v>
      </c>
      <c r="AT39" s="23" t="s">
        <v>32</v>
      </c>
      <c r="AU39" s="23" t="str">
        <f t="shared" si="22"/>
        <v>Hungary</v>
      </c>
      <c r="AV39" s="34">
        <f t="shared" si="43"/>
        <v>700.01</v>
      </c>
      <c r="AW39" s="23">
        <v>7</v>
      </c>
      <c r="AX39" s="23">
        <v>0</v>
      </c>
      <c r="AY39" s="23">
        <v>1</v>
      </c>
    </row>
    <row r="40" spans="1:51">
      <c r="A40" s="25">
        <v>630</v>
      </c>
      <c r="D40" s="23">
        <v>1</v>
      </c>
      <c r="E40" s="25" t="s">
        <v>30</v>
      </c>
      <c r="F40" s="25" t="s">
        <v>303</v>
      </c>
      <c r="G40" s="23" t="s">
        <v>27</v>
      </c>
      <c r="H40" s="23" t="s">
        <v>138</v>
      </c>
      <c r="I40" s="25">
        <v>1958</v>
      </c>
      <c r="J40" s="35">
        <v>30</v>
      </c>
      <c r="K40" s="35">
        <v>40</v>
      </c>
      <c r="L40" s="35">
        <v>20</v>
      </c>
      <c r="M40" s="25">
        <v>10</v>
      </c>
      <c r="R40" s="30">
        <f t="shared" si="34"/>
        <v>10</v>
      </c>
      <c r="S40" s="37">
        <v>1</v>
      </c>
      <c r="T40" s="30">
        <f t="shared" si="11"/>
        <v>11.922285714285714</v>
      </c>
      <c r="U40" s="37">
        <v>1</v>
      </c>
      <c r="V40" s="30">
        <f t="shared" si="12"/>
        <v>16.316952380952383</v>
      </c>
      <c r="W40" s="25">
        <v>78</v>
      </c>
      <c r="X40" s="31">
        <f t="shared" si="35"/>
        <v>144.16</v>
      </c>
      <c r="Y40" s="25">
        <v>106</v>
      </c>
      <c r="Z40" s="25">
        <v>8</v>
      </c>
      <c r="AA40" s="25">
        <v>58</v>
      </c>
      <c r="AB40" s="37">
        <v>1</v>
      </c>
      <c r="AC40" s="30">
        <f t="shared" si="14"/>
        <v>150</v>
      </c>
      <c r="AD40" s="31">
        <f t="shared" si="36"/>
        <v>1</v>
      </c>
      <c r="AE40" s="31">
        <f t="shared" si="37"/>
        <v>8</v>
      </c>
      <c r="AF40" s="31" t="str">
        <f t="shared" si="38"/>
        <v/>
      </c>
      <c r="AG40" s="31" t="str">
        <f t="shared" si="39"/>
        <v/>
      </c>
      <c r="AH40" s="31" t="str">
        <f t="shared" si="40"/>
        <v/>
      </c>
      <c r="AI40" s="31" t="str">
        <f t="shared" si="41"/>
        <v/>
      </c>
      <c r="AJ40" s="25">
        <v>9</v>
      </c>
      <c r="AK40" s="25">
        <v>0</v>
      </c>
      <c r="AL40" s="25">
        <v>0</v>
      </c>
      <c r="AM40" s="23" t="s">
        <v>110</v>
      </c>
      <c r="AN40" s="23" t="s">
        <v>92</v>
      </c>
      <c r="AO40" s="25">
        <v>630</v>
      </c>
      <c r="AR40" s="32" t="str">
        <f t="shared" si="42"/>
        <v>1 door</v>
      </c>
      <c r="AT40" s="23" t="s">
        <v>47</v>
      </c>
      <c r="AU40" s="23" t="str">
        <f t="shared" si="22"/>
        <v>CC</v>
      </c>
      <c r="AV40" s="34">
        <f t="shared" si="43"/>
        <v>720</v>
      </c>
      <c r="AW40" s="23">
        <v>7</v>
      </c>
      <c r="AX40" s="23">
        <v>20</v>
      </c>
      <c r="AY40" s="23">
        <v>0</v>
      </c>
    </row>
    <row r="41" spans="1:51">
      <c r="A41" s="25">
        <v>630</v>
      </c>
      <c r="D41" s="23">
        <v>1</v>
      </c>
      <c r="E41" s="25" t="s">
        <v>46</v>
      </c>
      <c r="F41" s="25" t="s">
        <v>46</v>
      </c>
      <c r="G41" s="23" t="s">
        <v>27</v>
      </c>
      <c r="H41" s="23" t="s">
        <v>138</v>
      </c>
      <c r="I41" s="25">
        <v>1958</v>
      </c>
      <c r="J41" s="35">
        <v>30</v>
      </c>
      <c r="K41" s="35">
        <v>40</v>
      </c>
      <c r="L41" s="35">
        <v>20</v>
      </c>
      <c r="M41" s="25">
        <v>10</v>
      </c>
      <c r="R41" s="30">
        <f t="shared" si="34"/>
        <v>10</v>
      </c>
      <c r="S41" s="37">
        <v>1</v>
      </c>
      <c r="T41" s="30">
        <f t="shared" si="11"/>
        <v>11.922285714285714</v>
      </c>
      <c r="U41" s="37">
        <v>1</v>
      </c>
      <c r="V41" s="30">
        <f t="shared" si="12"/>
        <v>16.316952380952383</v>
      </c>
      <c r="W41" s="25">
        <v>78</v>
      </c>
      <c r="X41" s="31">
        <f t="shared" si="35"/>
        <v>144.16</v>
      </c>
      <c r="Y41" s="25">
        <v>106</v>
      </c>
      <c r="Z41" s="25">
        <v>8</v>
      </c>
      <c r="AA41" s="25">
        <v>58</v>
      </c>
      <c r="AB41" s="37">
        <v>1</v>
      </c>
      <c r="AC41" s="30">
        <f t="shared" si="14"/>
        <v>150</v>
      </c>
      <c r="AD41" s="31">
        <f t="shared" si="36"/>
        <v>1</v>
      </c>
      <c r="AE41" s="31">
        <f t="shared" si="37"/>
        <v>8</v>
      </c>
      <c r="AF41" s="31" t="str">
        <f t="shared" si="38"/>
        <v/>
      </c>
      <c r="AG41" s="31" t="str">
        <f t="shared" si="39"/>
        <v/>
      </c>
      <c r="AH41" s="31" t="str">
        <f t="shared" si="40"/>
        <v/>
      </c>
      <c r="AI41" s="31" t="str">
        <f t="shared" si="41"/>
        <v/>
      </c>
      <c r="AJ41" s="25">
        <v>9</v>
      </c>
      <c r="AK41" s="25">
        <v>0</v>
      </c>
      <c r="AL41" s="25">
        <v>0</v>
      </c>
      <c r="AM41" s="23" t="s">
        <v>110</v>
      </c>
      <c r="AN41" s="23" t="s">
        <v>92</v>
      </c>
      <c r="AO41" s="25">
        <v>630</v>
      </c>
      <c r="AR41" s="32" t="str">
        <f t="shared" si="42"/>
        <v>1 door</v>
      </c>
      <c r="AT41" s="23" t="s">
        <v>47</v>
      </c>
      <c r="AU41" s="23" t="str">
        <f t="shared" si="22"/>
        <v>Hungary</v>
      </c>
      <c r="AV41" s="34">
        <f t="shared" si="43"/>
        <v>720.01</v>
      </c>
      <c r="AW41" s="23">
        <v>7</v>
      </c>
      <c r="AX41" s="23">
        <v>20</v>
      </c>
      <c r="AY41" s="23">
        <v>1</v>
      </c>
    </row>
    <row r="42" spans="1:51">
      <c r="A42" s="25">
        <v>622</v>
      </c>
      <c r="B42" s="23" t="s">
        <v>134</v>
      </c>
      <c r="C42" s="23" t="s">
        <v>132</v>
      </c>
      <c r="D42" s="23">
        <v>3</v>
      </c>
      <c r="E42" s="25" t="s">
        <v>30</v>
      </c>
      <c r="F42" s="25" t="s">
        <v>310</v>
      </c>
      <c r="G42" s="23" t="s">
        <v>27</v>
      </c>
      <c r="H42" s="23" t="s">
        <v>136</v>
      </c>
      <c r="I42" s="25">
        <v>1961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34"/>
        <v>30</v>
      </c>
      <c r="S42" s="37">
        <v>1</v>
      </c>
      <c r="T42" s="30">
        <f t="shared" si="11"/>
        <v>15.350857142857143</v>
      </c>
      <c r="U42" s="37">
        <v>1</v>
      </c>
      <c r="V42" s="30">
        <f t="shared" si="12"/>
        <v>18.718857142857143</v>
      </c>
      <c r="W42" s="25">
        <v>61</v>
      </c>
      <c r="X42" s="31">
        <f t="shared" si="35"/>
        <v>144.16</v>
      </c>
      <c r="Y42" s="25">
        <v>106</v>
      </c>
      <c r="Z42" s="25">
        <v>12</v>
      </c>
      <c r="AA42" s="25">
        <v>144</v>
      </c>
      <c r="AB42" s="37">
        <v>1</v>
      </c>
      <c r="AC42" s="30">
        <f t="shared" si="14"/>
        <v>200</v>
      </c>
      <c r="AD42" s="31">
        <f t="shared" si="36"/>
        <v>7</v>
      </c>
      <c r="AE42" s="31" t="str">
        <f t="shared" si="37"/>
        <v/>
      </c>
      <c r="AF42" s="31">
        <f t="shared" si="38"/>
        <v>7</v>
      </c>
      <c r="AG42" s="31" t="str">
        <f t="shared" si="39"/>
        <v/>
      </c>
      <c r="AH42" s="31" t="str">
        <f t="shared" si="40"/>
        <v/>
      </c>
      <c r="AI42" s="31" t="str">
        <f t="shared" si="41"/>
        <v/>
      </c>
      <c r="AJ42" s="25">
        <v>7</v>
      </c>
      <c r="AK42" s="25">
        <v>7</v>
      </c>
      <c r="AL42" s="25">
        <v>0</v>
      </c>
      <c r="AM42" s="23" t="s">
        <v>110</v>
      </c>
      <c r="AN42" s="23" t="s">
        <v>92</v>
      </c>
      <c r="AO42" s="25">
        <v>622</v>
      </c>
      <c r="AR42" s="32" t="str">
        <f t="shared" si="42"/>
        <v>3 doors</v>
      </c>
      <c r="AT42" s="23" t="s">
        <v>32</v>
      </c>
      <c r="AU42" s="23" t="str">
        <f t="shared" si="22"/>
        <v>CC</v>
      </c>
      <c r="AV42" s="34">
        <f t="shared" si="43"/>
        <v>740</v>
      </c>
      <c r="AW42" s="23">
        <v>7</v>
      </c>
      <c r="AX42" s="23">
        <v>40</v>
      </c>
      <c r="AY42" s="23">
        <v>0</v>
      </c>
    </row>
    <row r="43" spans="1:51">
      <c r="A43" s="25">
        <v>622</v>
      </c>
      <c r="B43" s="23" t="s">
        <v>134</v>
      </c>
      <c r="C43" s="23" t="s">
        <v>132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136</v>
      </c>
      <c r="I43" s="25">
        <v>1961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34"/>
        <v>30</v>
      </c>
      <c r="S43" s="37">
        <v>1</v>
      </c>
      <c r="T43" s="30">
        <f t="shared" si="11"/>
        <v>15.350857142857143</v>
      </c>
      <c r="U43" s="37">
        <v>1</v>
      </c>
      <c r="V43" s="30">
        <f t="shared" si="12"/>
        <v>18.718857142857143</v>
      </c>
      <c r="W43" s="25">
        <v>61</v>
      </c>
      <c r="X43" s="31">
        <f t="shared" si="35"/>
        <v>144.16</v>
      </c>
      <c r="Y43" s="25">
        <v>106</v>
      </c>
      <c r="Z43" s="25">
        <v>12</v>
      </c>
      <c r="AA43" s="25">
        <v>144</v>
      </c>
      <c r="AB43" s="37">
        <v>1</v>
      </c>
      <c r="AC43" s="30">
        <f t="shared" si="14"/>
        <v>200</v>
      </c>
      <c r="AD43" s="31">
        <f t="shared" si="36"/>
        <v>7</v>
      </c>
      <c r="AE43" s="31" t="str">
        <f t="shared" si="37"/>
        <v/>
      </c>
      <c r="AF43" s="31">
        <f t="shared" si="38"/>
        <v>7</v>
      </c>
      <c r="AG43" s="31" t="str">
        <f t="shared" si="39"/>
        <v/>
      </c>
      <c r="AH43" s="31" t="str">
        <f t="shared" si="40"/>
        <v/>
      </c>
      <c r="AI43" s="31" t="str">
        <f t="shared" si="41"/>
        <v/>
      </c>
      <c r="AJ43" s="25">
        <v>7</v>
      </c>
      <c r="AK43" s="25">
        <v>7</v>
      </c>
      <c r="AL43" s="25">
        <v>0</v>
      </c>
      <c r="AM43" s="23" t="s">
        <v>110</v>
      </c>
      <c r="AN43" s="23" t="s">
        <v>92</v>
      </c>
      <c r="AO43" s="25">
        <v>622</v>
      </c>
      <c r="AR43" s="32" t="str">
        <f t="shared" si="42"/>
        <v>3 doors</v>
      </c>
      <c r="AT43" s="23" t="s">
        <v>32</v>
      </c>
      <c r="AU43" s="23" t="str">
        <f t="shared" si="22"/>
        <v>Hungary</v>
      </c>
      <c r="AV43" s="34">
        <f t="shared" si="43"/>
        <v>740.01</v>
      </c>
      <c r="AW43" s="23">
        <v>7</v>
      </c>
      <c r="AX43" s="23">
        <v>40</v>
      </c>
      <c r="AY43" s="23">
        <v>1</v>
      </c>
    </row>
    <row r="44" spans="1:51">
      <c r="A44" s="25">
        <v>622</v>
      </c>
      <c r="B44" s="23" t="s">
        <v>133</v>
      </c>
      <c r="C44" s="23" t="s">
        <v>131</v>
      </c>
      <c r="D44" s="23">
        <v>3</v>
      </c>
      <c r="E44" s="25" t="s">
        <v>30</v>
      </c>
      <c r="F44" s="25" t="s">
        <v>310</v>
      </c>
      <c r="G44" s="23" t="s">
        <v>27</v>
      </c>
      <c r="H44" s="23" t="s">
        <v>137</v>
      </c>
      <c r="I44" s="25">
        <v>1962</v>
      </c>
      <c r="J44" s="35">
        <v>30</v>
      </c>
      <c r="K44" s="35">
        <v>40</v>
      </c>
      <c r="L44" s="35">
        <v>20</v>
      </c>
      <c r="M44" s="25">
        <v>10</v>
      </c>
      <c r="N44" s="25">
        <v>10</v>
      </c>
      <c r="O44" s="25">
        <v>10</v>
      </c>
      <c r="R44" s="30">
        <f t="shared" si="34"/>
        <v>30</v>
      </c>
      <c r="S44" s="37">
        <v>1</v>
      </c>
      <c r="T44" s="30">
        <f t="shared" si="11"/>
        <v>14.850857142857143</v>
      </c>
      <c r="U44" s="37">
        <v>1</v>
      </c>
      <c r="V44" s="30">
        <f t="shared" si="12"/>
        <v>18.538857142857143</v>
      </c>
      <c r="W44" s="25">
        <v>61</v>
      </c>
      <c r="X44" s="31">
        <f t="shared" si="35"/>
        <v>144.16</v>
      </c>
      <c r="Y44" s="25">
        <v>106</v>
      </c>
      <c r="Z44" s="25">
        <v>11</v>
      </c>
      <c r="AA44" s="25">
        <v>132</v>
      </c>
      <c r="AB44" s="37">
        <v>1</v>
      </c>
      <c r="AC44" s="30">
        <f t="shared" si="14"/>
        <v>200</v>
      </c>
      <c r="AD44" s="31">
        <f t="shared" si="36"/>
        <v>7</v>
      </c>
      <c r="AE44" s="31" t="str">
        <f t="shared" si="37"/>
        <v/>
      </c>
      <c r="AF44" s="31">
        <f t="shared" si="38"/>
        <v>6</v>
      </c>
      <c r="AG44" s="31" t="str">
        <f t="shared" si="39"/>
        <v/>
      </c>
      <c r="AH44" s="31" t="str">
        <f t="shared" si="40"/>
        <v/>
      </c>
      <c r="AI44" s="31" t="str">
        <f t="shared" si="41"/>
        <v/>
      </c>
      <c r="AJ44" s="25">
        <v>7</v>
      </c>
      <c r="AK44" s="25">
        <v>6</v>
      </c>
      <c r="AL44" s="25">
        <v>0</v>
      </c>
      <c r="AM44" s="23" t="s">
        <v>110</v>
      </c>
      <c r="AN44" s="23" t="s">
        <v>92</v>
      </c>
      <c r="AO44" s="25">
        <v>622</v>
      </c>
      <c r="AR44" s="32" t="str">
        <f t="shared" si="42"/>
        <v>3 doors</v>
      </c>
      <c r="AT44" s="23" t="s">
        <v>32</v>
      </c>
      <c r="AU44" s="23" t="str">
        <f t="shared" si="22"/>
        <v>CC</v>
      </c>
      <c r="AV44" s="34">
        <f t="shared" si="43"/>
        <v>750</v>
      </c>
      <c r="AW44" s="23">
        <v>7</v>
      </c>
      <c r="AX44" s="23">
        <v>50</v>
      </c>
      <c r="AY44" s="23">
        <v>0</v>
      </c>
    </row>
    <row r="45" spans="1:51">
      <c r="A45" s="25">
        <v>622</v>
      </c>
      <c r="B45" s="23" t="s">
        <v>133</v>
      </c>
      <c r="C45" s="23" t="s">
        <v>131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137</v>
      </c>
      <c r="I45" s="25">
        <v>1962</v>
      </c>
      <c r="J45" s="35">
        <v>30</v>
      </c>
      <c r="K45" s="35">
        <v>40</v>
      </c>
      <c r="L45" s="35">
        <v>20</v>
      </c>
      <c r="M45" s="25">
        <v>10</v>
      </c>
      <c r="N45" s="25">
        <v>10</v>
      </c>
      <c r="O45" s="25">
        <v>10</v>
      </c>
      <c r="R45" s="30">
        <f t="shared" si="34"/>
        <v>30</v>
      </c>
      <c r="S45" s="37">
        <v>1</v>
      </c>
      <c r="T45" s="30">
        <f t="shared" si="11"/>
        <v>14.850857142857143</v>
      </c>
      <c r="U45" s="37">
        <v>1</v>
      </c>
      <c r="V45" s="30">
        <f t="shared" si="12"/>
        <v>18.538857142857143</v>
      </c>
      <c r="W45" s="25">
        <v>61</v>
      </c>
      <c r="X45" s="31">
        <f t="shared" si="35"/>
        <v>144.16</v>
      </c>
      <c r="Y45" s="25">
        <v>106</v>
      </c>
      <c r="Z45" s="25">
        <v>11</v>
      </c>
      <c r="AA45" s="25">
        <v>132</v>
      </c>
      <c r="AB45" s="37">
        <v>1</v>
      </c>
      <c r="AC45" s="30">
        <f t="shared" si="14"/>
        <v>200</v>
      </c>
      <c r="AD45" s="31">
        <f t="shared" si="36"/>
        <v>7</v>
      </c>
      <c r="AE45" s="31" t="str">
        <f t="shared" si="37"/>
        <v/>
      </c>
      <c r="AF45" s="31">
        <f t="shared" si="38"/>
        <v>6</v>
      </c>
      <c r="AG45" s="31" t="str">
        <f t="shared" si="39"/>
        <v/>
      </c>
      <c r="AH45" s="31" t="str">
        <f t="shared" si="40"/>
        <v/>
      </c>
      <c r="AI45" s="31" t="str">
        <f t="shared" si="41"/>
        <v/>
      </c>
      <c r="AJ45" s="25">
        <v>7</v>
      </c>
      <c r="AK45" s="25">
        <v>6</v>
      </c>
      <c r="AL45" s="25">
        <v>0</v>
      </c>
      <c r="AM45" s="23" t="s">
        <v>110</v>
      </c>
      <c r="AN45" s="23" t="s">
        <v>92</v>
      </c>
      <c r="AO45" s="25">
        <v>622</v>
      </c>
      <c r="AR45" s="32" t="str">
        <f t="shared" si="42"/>
        <v>3 doors</v>
      </c>
      <c r="AT45" s="23" t="s">
        <v>32</v>
      </c>
      <c r="AU45" s="23" t="str">
        <f t="shared" si="22"/>
        <v>Hungary</v>
      </c>
      <c r="AV45" s="34">
        <f t="shared" si="43"/>
        <v>750.01</v>
      </c>
      <c r="AW45" s="23">
        <v>7</v>
      </c>
      <c r="AX45" s="23">
        <v>50</v>
      </c>
      <c r="AY45" s="23">
        <v>1</v>
      </c>
    </row>
    <row r="46" spans="1:51">
      <c r="A46" s="25">
        <v>556</v>
      </c>
      <c r="D46" s="23">
        <v>3</v>
      </c>
      <c r="E46" s="25" t="s">
        <v>30</v>
      </c>
      <c r="F46" s="25" t="s">
        <v>310</v>
      </c>
      <c r="G46" s="23" t="s">
        <v>27</v>
      </c>
      <c r="H46" s="23" t="s">
        <v>101</v>
      </c>
      <c r="I46" s="25">
        <v>1965</v>
      </c>
      <c r="J46" s="35">
        <v>30</v>
      </c>
      <c r="K46" s="35">
        <v>40</v>
      </c>
      <c r="L46" s="35">
        <v>20</v>
      </c>
      <c r="M46" s="25">
        <v>5</v>
      </c>
      <c r="N46" s="25">
        <v>10</v>
      </c>
      <c r="O46" s="25">
        <v>12</v>
      </c>
      <c r="R46" s="30">
        <f t="shared" si="34"/>
        <v>27</v>
      </c>
      <c r="S46" s="37">
        <v>1</v>
      </c>
      <c r="T46" s="30">
        <f t="shared" si="11"/>
        <v>15.51657142857143</v>
      </c>
      <c r="U46" s="37">
        <v>1</v>
      </c>
      <c r="V46" s="30">
        <f t="shared" si="12"/>
        <v>22.571238095238094</v>
      </c>
      <c r="W46" s="25">
        <v>63</v>
      </c>
      <c r="X46" s="31">
        <f t="shared" si="35"/>
        <v>191.76000000000002</v>
      </c>
      <c r="Y46" s="25">
        <v>141</v>
      </c>
      <c r="Z46" s="25">
        <v>8</v>
      </c>
      <c r="AA46" s="25">
        <v>100</v>
      </c>
      <c r="AB46" s="37">
        <v>1</v>
      </c>
      <c r="AC46" s="30">
        <f t="shared" si="14"/>
        <v>200</v>
      </c>
      <c r="AD46" s="31">
        <f t="shared" si="36"/>
        <v>2</v>
      </c>
      <c r="AE46" s="31">
        <f t="shared" si="37"/>
        <v>8</v>
      </c>
      <c r="AF46" s="31" t="str">
        <f t="shared" si="38"/>
        <v/>
      </c>
      <c r="AG46" s="31" t="str">
        <f t="shared" si="39"/>
        <v/>
      </c>
      <c r="AH46" s="31" t="str">
        <f t="shared" si="40"/>
        <v/>
      </c>
      <c r="AI46" s="31" t="str">
        <f t="shared" si="41"/>
        <v/>
      </c>
      <c r="AJ46" s="25">
        <v>10</v>
      </c>
      <c r="AK46" s="25">
        <v>0</v>
      </c>
      <c r="AL46" s="25">
        <v>0</v>
      </c>
      <c r="AM46" s="23" t="s">
        <v>110</v>
      </c>
      <c r="AN46" s="23" t="s">
        <v>92</v>
      </c>
      <c r="AO46" s="25">
        <v>556</v>
      </c>
      <c r="AR46" s="32" t="str">
        <f t="shared" si="42"/>
        <v>3 doors</v>
      </c>
      <c r="AT46" s="23" t="s">
        <v>32</v>
      </c>
      <c r="AU46" s="23" t="str">
        <f t="shared" si="22"/>
        <v>CC</v>
      </c>
      <c r="AV46" s="34">
        <f t="shared" si="43"/>
        <v>800</v>
      </c>
      <c r="AW46" s="23">
        <v>8</v>
      </c>
      <c r="AX46" s="23">
        <v>0</v>
      </c>
      <c r="AY46" s="23">
        <v>0</v>
      </c>
    </row>
    <row r="47" spans="1:51">
      <c r="A47" s="25">
        <v>556</v>
      </c>
      <c r="D47" s="23">
        <v>3</v>
      </c>
      <c r="E47" s="25" t="s">
        <v>85</v>
      </c>
      <c r="F47" s="25" t="s">
        <v>85</v>
      </c>
      <c r="G47" s="23" t="s">
        <v>27</v>
      </c>
      <c r="H47" s="23" t="s">
        <v>101</v>
      </c>
      <c r="I47" s="25">
        <v>1965</v>
      </c>
      <c r="J47" s="35">
        <v>30</v>
      </c>
      <c r="K47" s="35">
        <v>40</v>
      </c>
      <c r="L47" s="35">
        <v>20</v>
      </c>
      <c r="M47" s="25">
        <v>5</v>
      </c>
      <c r="N47" s="25">
        <v>10</v>
      </c>
      <c r="O47" s="25">
        <v>12</v>
      </c>
      <c r="R47" s="30">
        <f t="shared" si="34"/>
        <v>27</v>
      </c>
      <c r="S47" s="37">
        <v>1</v>
      </c>
      <c r="T47" s="30">
        <f t="shared" si="11"/>
        <v>15.51657142857143</v>
      </c>
      <c r="U47" s="37">
        <v>1</v>
      </c>
      <c r="V47" s="30">
        <f t="shared" si="12"/>
        <v>22.571238095238094</v>
      </c>
      <c r="W47" s="25">
        <v>63</v>
      </c>
      <c r="X47" s="31">
        <f t="shared" si="35"/>
        <v>191.76000000000002</v>
      </c>
      <c r="Y47" s="25">
        <v>141</v>
      </c>
      <c r="Z47" s="25">
        <v>8</v>
      </c>
      <c r="AA47" s="25">
        <v>100</v>
      </c>
      <c r="AB47" s="37">
        <v>1</v>
      </c>
      <c r="AC47" s="30">
        <f t="shared" si="14"/>
        <v>200</v>
      </c>
      <c r="AD47" s="31">
        <f t="shared" si="36"/>
        <v>2</v>
      </c>
      <c r="AE47" s="31">
        <f t="shared" si="37"/>
        <v>8</v>
      </c>
      <c r="AF47" s="31" t="str">
        <f t="shared" si="38"/>
        <v/>
      </c>
      <c r="AG47" s="31" t="str">
        <f t="shared" si="39"/>
        <v/>
      </c>
      <c r="AH47" s="31" t="str">
        <f t="shared" si="40"/>
        <v/>
      </c>
      <c r="AI47" s="31" t="str">
        <f t="shared" si="41"/>
        <v/>
      </c>
      <c r="AJ47" s="25">
        <v>10</v>
      </c>
      <c r="AK47" s="25">
        <v>0</v>
      </c>
      <c r="AL47" s="25">
        <v>0</v>
      </c>
      <c r="AM47" s="23" t="s">
        <v>110</v>
      </c>
      <c r="AN47" s="23" t="s">
        <v>92</v>
      </c>
      <c r="AO47" s="25">
        <v>556</v>
      </c>
      <c r="AR47" s="32" t="str">
        <f t="shared" si="42"/>
        <v>3 doors</v>
      </c>
      <c r="AT47" s="23" t="s">
        <v>32</v>
      </c>
      <c r="AU47" s="23" t="str">
        <f t="shared" si="22"/>
        <v>Hungary</v>
      </c>
      <c r="AV47" s="34">
        <f t="shared" si="43"/>
        <v>800.01</v>
      </c>
      <c r="AW47" s="23">
        <v>8</v>
      </c>
      <c r="AX47" s="23">
        <v>0</v>
      </c>
      <c r="AY47" s="23">
        <v>1</v>
      </c>
    </row>
    <row r="48" spans="1:51">
      <c r="A48" s="25">
        <v>557</v>
      </c>
      <c r="D48" s="23">
        <v>1</v>
      </c>
      <c r="E48" s="25" t="s">
        <v>30</v>
      </c>
      <c r="F48" s="25" t="s">
        <v>303</v>
      </c>
      <c r="G48" s="23" t="s">
        <v>27</v>
      </c>
      <c r="H48" s="23" t="s">
        <v>102</v>
      </c>
      <c r="I48" s="25">
        <v>1964</v>
      </c>
      <c r="J48" s="35">
        <v>30</v>
      </c>
      <c r="K48" s="35">
        <v>40</v>
      </c>
      <c r="L48" s="35">
        <v>20</v>
      </c>
      <c r="M48" s="25">
        <v>5</v>
      </c>
      <c r="R48" s="30">
        <f t="shared" si="34"/>
        <v>5</v>
      </c>
      <c r="S48" s="37">
        <v>1</v>
      </c>
      <c r="T48" s="30">
        <f t="shared" si="11"/>
        <v>13.945142857142859</v>
      </c>
      <c r="U48" s="37">
        <v>1</v>
      </c>
      <c r="V48" s="30">
        <f t="shared" si="12"/>
        <v>20.659809523809528</v>
      </c>
      <c r="W48" s="25">
        <v>103</v>
      </c>
      <c r="X48" s="31">
        <f t="shared" si="35"/>
        <v>191.76000000000002</v>
      </c>
      <c r="Y48" s="25">
        <v>141</v>
      </c>
      <c r="Z48" s="25">
        <v>8</v>
      </c>
      <c r="AA48" s="25">
        <v>49</v>
      </c>
      <c r="AB48" s="37">
        <v>1</v>
      </c>
      <c r="AC48" s="30">
        <f t="shared" si="14"/>
        <v>150</v>
      </c>
      <c r="AD48" s="31">
        <f t="shared" si="36"/>
        <v>2</v>
      </c>
      <c r="AE48" s="31">
        <f t="shared" si="37"/>
        <v>8</v>
      </c>
      <c r="AF48" s="31" t="str">
        <f t="shared" si="38"/>
        <v/>
      </c>
      <c r="AG48" s="31" t="str">
        <f t="shared" si="39"/>
        <v/>
      </c>
      <c r="AH48" s="31" t="str">
        <f t="shared" si="40"/>
        <v/>
      </c>
      <c r="AI48" s="31" t="str">
        <f t="shared" si="41"/>
        <v/>
      </c>
      <c r="AJ48" s="25">
        <v>10</v>
      </c>
      <c r="AK48" s="25">
        <v>0</v>
      </c>
      <c r="AL48" s="25">
        <v>0</v>
      </c>
      <c r="AM48" s="23" t="s">
        <v>110</v>
      </c>
      <c r="AN48" s="23" t="s">
        <v>92</v>
      </c>
      <c r="AO48" s="25">
        <v>557</v>
      </c>
      <c r="AR48" s="32" t="str">
        <f t="shared" si="42"/>
        <v>1 door</v>
      </c>
      <c r="AT48" s="23" t="s">
        <v>47</v>
      </c>
      <c r="AU48" s="23" t="str">
        <f t="shared" si="22"/>
        <v>CC</v>
      </c>
      <c r="AV48" s="34">
        <f t="shared" si="43"/>
        <v>820</v>
      </c>
      <c r="AW48" s="23">
        <v>8</v>
      </c>
      <c r="AX48" s="23">
        <v>20</v>
      </c>
      <c r="AY48" s="23">
        <v>0</v>
      </c>
    </row>
    <row r="49" spans="1:51">
      <c r="A49" s="25" t="s">
        <v>108</v>
      </c>
      <c r="D49" s="23">
        <v>2</v>
      </c>
      <c r="E49" s="25" t="s">
        <v>30</v>
      </c>
      <c r="F49" s="25" t="s">
        <v>310</v>
      </c>
      <c r="G49" s="23" t="s">
        <v>27</v>
      </c>
      <c r="H49" s="23" t="s">
        <v>100</v>
      </c>
      <c r="I49" s="25">
        <v>1969</v>
      </c>
      <c r="J49" s="35">
        <v>30</v>
      </c>
      <c r="K49" s="35">
        <v>40</v>
      </c>
      <c r="L49" s="35">
        <v>20</v>
      </c>
      <c r="M49" s="25">
        <v>5</v>
      </c>
      <c r="N49" s="25">
        <v>12</v>
      </c>
      <c r="R49" s="30">
        <f t="shared" si="34"/>
        <v>17</v>
      </c>
      <c r="S49" s="37">
        <v>1</v>
      </c>
      <c r="T49" s="30">
        <f t="shared" si="11"/>
        <v>16.802285714285716</v>
      </c>
      <c r="U49" s="37">
        <v>1</v>
      </c>
      <c r="V49" s="30">
        <f t="shared" si="12"/>
        <v>22.423619047619052</v>
      </c>
      <c r="W49" s="25">
        <v>63</v>
      </c>
      <c r="X49" s="31">
        <f t="shared" si="35"/>
        <v>191.76000000000002</v>
      </c>
      <c r="Y49" s="25">
        <v>141</v>
      </c>
      <c r="Z49" s="25">
        <v>12</v>
      </c>
      <c r="AA49" s="25">
        <v>125</v>
      </c>
      <c r="AB49" s="37">
        <v>1</v>
      </c>
      <c r="AC49" s="30">
        <f t="shared" si="14"/>
        <v>200</v>
      </c>
      <c r="AD49" s="31">
        <f t="shared" si="36"/>
        <v>2</v>
      </c>
      <c r="AE49" s="31">
        <f t="shared" si="37"/>
        <v>8</v>
      </c>
      <c r="AF49" s="31" t="str">
        <f t="shared" si="38"/>
        <v/>
      </c>
      <c r="AG49" s="31" t="str">
        <f t="shared" si="39"/>
        <v/>
      </c>
      <c r="AH49" s="31" t="str">
        <f t="shared" si="40"/>
        <v/>
      </c>
      <c r="AI49" s="31" t="str">
        <f t="shared" si="41"/>
        <v/>
      </c>
      <c r="AJ49" s="25">
        <v>10</v>
      </c>
      <c r="AK49" s="25">
        <v>0</v>
      </c>
      <c r="AL49" s="25">
        <v>0</v>
      </c>
      <c r="AM49" s="23" t="s">
        <v>110</v>
      </c>
      <c r="AN49" s="23" t="s">
        <v>92</v>
      </c>
      <c r="AO49" s="25" t="s">
        <v>108</v>
      </c>
      <c r="AR49" s="32" t="str">
        <f t="shared" si="42"/>
        <v>2 doors</v>
      </c>
      <c r="AT49" s="23" t="s">
        <v>32</v>
      </c>
      <c r="AU49" s="23" t="str">
        <f t="shared" si="22"/>
        <v>CC</v>
      </c>
      <c r="AV49" s="34">
        <f t="shared" si="43"/>
        <v>840</v>
      </c>
      <c r="AW49" s="23">
        <v>8</v>
      </c>
      <c r="AX49" s="23">
        <v>40</v>
      </c>
      <c r="AY49" s="23">
        <v>0</v>
      </c>
    </row>
    <row r="50" spans="1:51">
      <c r="A50" s="25" t="s">
        <v>108</v>
      </c>
      <c r="D50" s="23">
        <v>2</v>
      </c>
      <c r="E50" s="25" t="s">
        <v>95</v>
      </c>
      <c r="F50" s="25" t="s">
        <v>95</v>
      </c>
      <c r="G50" s="23" t="s">
        <v>27</v>
      </c>
      <c r="H50" s="23" t="s">
        <v>100</v>
      </c>
      <c r="I50" s="25">
        <v>1969</v>
      </c>
      <c r="J50" s="35">
        <v>30</v>
      </c>
      <c r="K50" s="35">
        <v>40</v>
      </c>
      <c r="L50" s="35">
        <v>20</v>
      </c>
      <c r="M50" s="25">
        <v>5</v>
      </c>
      <c r="N50" s="25">
        <v>12</v>
      </c>
      <c r="R50" s="30">
        <f t="shared" si="34"/>
        <v>17</v>
      </c>
      <c r="S50" s="37">
        <v>1</v>
      </c>
      <c r="T50" s="30">
        <f t="shared" si="11"/>
        <v>16.802285714285716</v>
      </c>
      <c r="U50" s="37">
        <v>1</v>
      </c>
      <c r="V50" s="30">
        <f t="shared" si="12"/>
        <v>22.423619047619052</v>
      </c>
      <c r="W50" s="25">
        <v>63</v>
      </c>
      <c r="X50" s="31">
        <f t="shared" si="35"/>
        <v>191.76000000000002</v>
      </c>
      <c r="Y50" s="25">
        <v>141</v>
      </c>
      <c r="Z50" s="25">
        <v>12</v>
      </c>
      <c r="AA50" s="25">
        <v>125</v>
      </c>
      <c r="AB50" s="37">
        <v>1</v>
      </c>
      <c r="AC50" s="30">
        <f t="shared" si="14"/>
        <v>200</v>
      </c>
      <c r="AD50" s="31">
        <f t="shared" si="36"/>
        <v>2</v>
      </c>
      <c r="AE50" s="31">
        <f t="shared" si="37"/>
        <v>8</v>
      </c>
      <c r="AF50" s="31" t="str">
        <f t="shared" si="38"/>
        <v/>
      </c>
      <c r="AG50" s="31" t="str">
        <f t="shared" si="39"/>
        <v/>
      </c>
      <c r="AH50" s="31" t="str">
        <f t="shared" si="40"/>
        <v/>
      </c>
      <c r="AI50" s="31" t="str">
        <f t="shared" si="41"/>
        <v/>
      </c>
      <c r="AJ50" s="25">
        <v>10</v>
      </c>
      <c r="AK50" s="25">
        <v>0</v>
      </c>
      <c r="AL50" s="25">
        <v>0</v>
      </c>
      <c r="AM50" s="23" t="s">
        <v>110</v>
      </c>
      <c r="AN50" s="23" t="s">
        <v>92</v>
      </c>
      <c r="AO50" s="25" t="s">
        <v>108</v>
      </c>
      <c r="AR50" s="32" t="str">
        <f t="shared" si="42"/>
        <v>2 doors</v>
      </c>
      <c r="AT50" s="23" t="s">
        <v>32</v>
      </c>
      <c r="AU50" s="23" t="str">
        <f t="shared" si="22"/>
        <v>Hungary</v>
      </c>
      <c r="AV50" s="34">
        <f t="shared" si="43"/>
        <v>840.01</v>
      </c>
      <c r="AW50" s="23">
        <v>8</v>
      </c>
      <c r="AX50" s="23">
        <v>40</v>
      </c>
      <c r="AY50" s="23">
        <v>1</v>
      </c>
    </row>
    <row r="51" spans="1:51">
      <c r="A51" s="25">
        <v>180</v>
      </c>
      <c r="D51" s="23">
        <v>4</v>
      </c>
      <c r="E51" s="25" t="s">
        <v>30</v>
      </c>
      <c r="F51" s="25" t="s">
        <v>310</v>
      </c>
      <c r="G51" s="23" t="s">
        <v>27</v>
      </c>
      <c r="H51" s="23" t="s">
        <v>143</v>
      </c>
      <c r="I51" s="25">
        <v>1966</v>
      </c>
      <c r="J51" s="35">
        <v>30</v>
      </c>
      <c r="K51" s="35">
        <v>40</v>
      </c>
      <c r="L51" s="35">
        <v>20</v>
      </c>
      <c r="M51" s="25">
        <v>8</v>
      </c>
      <c r="N51" s="25">
        <v>10</v>
      </c>
      <c r="O51" s="25">
        <v>8</v>
      </c>
      <c r="P51" s="25">
        <v>15</v>
      </c>
      <c r="R51" s="30">
        <f t="shared" si="34"/>
        <v>41</v>
      </c>
      <c r="S51" s="37">
        <v>1</v>
      </c>
      <c r="T51" s="30">
        <f t="shared" si="11"/>
        <v>18.516571428571428</v>
      </c>
      <c r="U51" s="37">
        <v>1</v>
      </c>
      <c r="V51" s="30">
        <f t="shared" si="12"/>
        <v>24.517904761904763</v>
      </c>
      <c r="W51" s="25">
        <v>63</v>
      </c>
      <c r="X51" s="31">
        <f t="shared" si="35"/>
        <v>191.76000000000002</v>
      </c>
      <c r="Y51" s="25">
        <v>141</v>
      </c>
      <c r="Z51" s="25">
        <v>12</v>
      </c>
      <c r="AA51" s="25">
        <v>182</v>
      </c>
      <c r="AB51" s="37">
        <v>1</v>
      </c>
      <c r="AC51" s="30">
        <f t="shared" si="14"/>
        <v>200</v>
      </c>
      <c r="AD51" s="31">
        <f t="shared" si="36"/>
        <v>8</v>
      </c>
      <c r="AE51" s="31" t="str">
        <f t="shared" si="37"/>
        <v/>
      </c>
      <c r="AF51" s="31">
        <f t="shared" si="38"/>
        <v>7</v>
      </c>
      <c r="AG51" s="31" t="str">
        <f t="shared" si="39"/>
        <v/>
      </c>
      <c r="AH51" s="31" t="str">
        <f t="shared" si="40"/>
        <v/>
      </c>
      <c r="AI51" s="31" t="str">
        <f t="shared" si="41"/>
        <v/>
      </c>
      <c r="AJ51" s="25">
        <v>8</v>
      </c>
      <c r="AK51" s="25">
        <v>7</v>
      </c>
      <c r="AL51" s="25">
        <v>0</v>
      </c>
      <c r="AM51" s="23" t="s">
        <v>110</v>
      </c>
      <c r="AN51" s="23" t="s">
        <v>92</v>
      </c>
      <c r="AO51" s="25">
        <v>180</v>
      </c>
      <c r="AR51" s="32" t="str">
        <f t="shared" si="42"/>
        <v>4 doors</v>
      </c>
      <c r="AT51" s="23" t="s">
        <v>32</v>
      </c>
      <c r="AU51" s="23" t="str">
        <f t="shared" si="22"/>
        <v>CC</v>
      </c>
      <c r="AV51" s="34">
        <f t="shared" si="43"/>
        <v>860</v>
      </c>
      <c r="AW51" s="23">
        <v>8</v>
      </c>
      <c r="AX51" s="23">
        <v>60</v>
      </c>
      <c r="AY51" s="23">
        <v>0</v>
      </c>
    </row>
    <row r="52" spans="1:51">
      <c r="A52" s="25">
        <v>180</v>
      </c>
      <c r="D52" s="23">
        <v>4</v>
      </c>
      <c r="E52" s="25" t="s">
        <v>85</v>
      </c>
      <c r="F52" s="25" t="s">
        <v>85</v>
      </c>
      <c r="G52" s="23" t="s">
        <v>27</v>
      </c>
      <c r="H52" s="23" t="s">
        <v>143</v>
      </c>
      <c r="I52" s="25">
        <v>1966</v>
      </c>
      <c r="J52" s="35">
        <v>30</v>
      </c>
      <c r="K52" s="35">
        <v>40</v>
      </c>
      <c r="L52" s="35">
        <v>20</v>
      </c>
      <c r="M52" s="25">
        <v>8</v>
      </c>
      <c r="N52" s="25">
        <v>10</v>
      </c>
      <c r="O52" s="25">
        <v>8</v>
      </c>
      <c r="P52" s="25">
        <v>15</v>
      </c>
      <c r="R52" s="30">
        <f t="shared" si="34"/>
        <v>41</v>
      </c>
      <c r="S52" s="37">
        <v>1</v>
      </c>
      <c r="T52" s="30">
        <f t="shared" si="11"/>
        <v>18.516571428571428</v>
      </c>
      <c r="U52" s="37">
        <v>1</v>
      </c>
      <c r="V52" s="30">
        <f t="shared" si="12"/>
        <v>24.517904761904763</v>
      </c>
      <c r="W52" s="25">
        <v>63</v>
      </c>
      <c r="X52" s="31">
        <f t="shared" si="35"/>
        <v>191.76000000000002</v>
      </c>
      <c r="Y52" s="25">
        <v>141</v>
      </c>
      <c r="Z52" s="25">
        <v>12</v>
      </c>
      <c r="AA52" s="25">
        <v>182</v>
      </c>
      <c r="AB52" s="37">
        <v>1</v>
      </c>
      <c r="AC52" s="30">
        <f t="shared" si="14"/>
        <v>200</v>
      </c>
      <c r="AD52" s="31">
        <f t="shared" si="36"/>
        <v>8</v>
      </c>
      <c r="AE52" s="31" t="str">
        <f t="shared" si="37"/>
        <v/>
      </c>
      <c r="AF52" s="31">
        <f t="shared" si="38"/>
        <v>7</v>
      </c>
      <c r="AG52" s="31" t="str">
        <f t="shared" si="39"/>
        <v/>
      </c>
      <c r="AH52" s="31" t="str">
        <f t="shared" si="40"/>
        <v/>
      </c>
      <c r="AI52" s="31" t="str">
        <f t="shared" si="41"/>
        <v/>
      </c>
      <c r="AJ52" s="25">
        <v>8</v>
      </c>
      <c r="AK52" s="25">
        <v>7</v>
      </c>
      <c r="AL52" s="25">
        <v>0</v>
      </c>
      <c r="AM52" s="23" t="s">
        <v>110</v>
      </c>
      <c r="AN52" s="23" t="s">
        <v>92</v>
      </c>
      <c r="AO52" s="25">
        <v>180</v>
      </c>
      <c r="AR52" s="32" t="str">
        <f t="shared" si="42"/>
        <v>4 doors</v>
      </c>
      <c r="AT52" s="23" t="s">
        <v>32</v>
      </c>
      <c r="AU52" s="23" t="str">
        <f t="shared" si="22"/>
        <v>Hungary</v>
      </c>
      <c r="AV52" s="34">
        <f t="shared" si="43"/>
        <v>860.01</v>
      </c>
      <c r="AW52" s="23">
        <v>8</v>
      </c>
      <c r="AX52" s="23">
        <v>60</v>
      </c>
      <c r="AY52" s="23">
        <v>1</v>
      </c>
    </row>
    <row r="53" spans="1:51">
      <c r="A53" s="25">
        <v>210</v>
      </c>
      <c r="D53" s="23">
        <v>1</v>
      </c>
      <c r="E53" s="25" t="s">
        <v>30</v>
      </c>
      <c r="F53" s="25" t="s">
        <v>335</v>
      </c>
      <c r="G53" s="23" t="s">
        <v>27</v>
      </c>
      <c r="H53" s="23" t="s">
        <v>144</v>
      </c>
      <c r="I53" s="25">
        <v>1969</v>
      </c>
      <c r="J53" s="35">
        <v>30</v>
      </c>
      <c r="K53" s="35">
        <v>40</v>
      </c>
      <c r="L53" s="35">
        <v>20</v>
      </c>
      <c r="M53" s="25">
        <v>5</v>
      </c>
      <c r="R53" s="30">
        <f t="shared" si="34"/>
        <v>5</v>
      </c>
      <c r="S53" s="37">
        <v>1</v>
      </c>
      <c r="T53" s="30">
        <f t="shared" si="11"/>
        <v>11.065142857142858</v>
      </c>
      <c r="U53" s="37">
        <v>1</v>
      </c>
      <c r="V53" s="30">
        <f t="shared" si="12"/>
        <v>15.746476190476189</v>
      </c>
      <c r="W53" s="25">
        <v>107</v>
      </c>
      <c r="X53" s="31">
        <f t="shared" si="35"/>
        <v>144.16</v>
      </c>
      <c r="Y53" s="25">
        <v>106</v>
      </c>
      <c r="Z53" s="25">
        <v>7</v>
      </c>
      <c r="AA53" s="25">
        <v>41</v>
      </c>
      <c r="AB53" s="37">
        <v>1</v>
      </c>
      <c r="AC53" s="30">
        <f t="shared" si="14"/>
        <v>150</v>
      </c>
      <c r="AD53" s="31">
        <f t="shared" si="36"/>
        <v>7</v>
      </c>
      <c r="AE53" s="31" t="str">
        <f t="shared" si="37"/>
        <v/>
      </c>
      <c r="AF53" s="31" t="str">
        <f t="shared" si="38"/>
        <v/>
      </c>
      <c r="AG53" s="31" t="str">
        <f t="shared" si="39"/>
        <v/>
      </c>
      <c r="AH53" s="31" t="str">
        <f t="shared" si="40"/>
        <v/>
      </c>
      <c r="AI53" s="31" t="str">
        <f t="shared" si="41"/>
        <v/>
      </c>
      <c r="AJ53" s="25">
        <v>7</v>
      </c>
      <c r="AK53" s="25">
        <v>0</v>
      </c>
      <c r="AL53" s="25">
        <v>0</v>
      </c>
      <c r="AM53" s="23" t="s">
        <v>206</v>
      </c>
      <c r="AN53" s="23" t="s">
        <v>92</v>
      </c>
      <c r="AO53" s="25">
        <v>210</v>
      </c>
      <c r="AR53" s="32" t="str">
        <f t="shared" si="42"/>
        <v>1 door</v>
      </c>
      <c r="AT53" s="23" t="s">
        <v>47</v>
      </c>
      <c r="AU53" s="23" t="str">
        <f t="shared" si="22"/>
        <v>CC</v>
      </c>
      <c r="AV53" s="34">
        <f t="shared" si="43"/>
        <v>1000</v>
      </c>
      <c r="AW53" s="23">
        <v>10</v>
      </c>
      <c r="AX53" s="23">
        <v>0</v>
      </c>
      <c r="AY53" s="23">
        <v>0</v>
      </c>
    </row>
    <row r="54" spans="1:51">
      <c r="A54" s="25">
        <v>211</v>
      </c>
      <c r="D54" s="23">
        <v>1</v>
      </c>
      <c r="E54" s="25" t="s">
        <v>30</v>
      </c>
      <c r="F54" s="25" t="s">
        <v>304</v>
      </c>
      <c r="G54" s="23" t="s">
        <v>27</v>
      </c>
      <c r="H54" s="23" t="s">
        <v>145</v>
      </c>
      <c r="I54" s="25">
        <v>1975</v>
      </c>
      <c r="J54" s="35">
        <v>30</v>
      </c>
      <c r="K54" s="35">
        <v>40</v>
      </c>
      <c r="L54" s="35">
        <v>20</v>
      </c>
      <c r="M54" s="25">
        <v>5</v>
      </c>
      <c r="R54" s="30">
        <f t="shared" si="34"/>
        <v>5</v>
      </c>
      <c r="S54" s="37">
        <v>1</v>
      </c>
      <c r="T54" s="30">
        <f t="shared" si="11"/>
        <v>10.113142857142858</v>
      </c>
      <c r="U54" s="37">
        <v>1</v>
      </c>
      <c r="V54" s="30">
        <f t="shared" si="12"/>
        <v>13.815809523809525</v>
      </c>
      <c r="W54" s="25">
        <v>90</v>
      </c>
      <c r="X54" s="31">
        <f t="shared" si="35"/>
        <v>125.12</v>
      </c>
      <c r="Y54" s="25">
        <v>92</v>
      </c>
      <c r="Z54" s="25">
        <v>7</v>
      </c>
      <c r="AA54" s="25">
        <v>37</v>
      </c>
      <c r="AB54" s="37">
        <v>1</v>
      </c>
      <c r="AC54" s="30">
        <f t="shared" si="14"/>
        <v>185</v>
      </c>
      <c r="AD54" s="31">
        <f t="shared" si="36"/>
        <v>8</v>
      </c>
      <c r="AE54" s="31" t="str">
        <f t="shared" si="37"/>
        <v/>
      </c>
      <c r="AF54" s="31" t="str">
        <f t="shared" si="38"/>
        <v/>
      </c>
      <c r="AG54" s="31" t="str">
        <f t="shared" si="39"/>
        <v/>
      </c>
      <c r="AH54" s="31" t="str">
        <f t="shared" si="40"/>
        <v/>
      </c>
      <c r="AI54" s="31" t="str">
        <f t="shared" si="41"/>
        <v/>
      </c>
      <c r="AJ54" s="25">
        <v>8</v>
      </c>
      <c r="AK54" s="25">
        <v>0</v>
      </c>
      <c r="AL54" s="25">
        <v>0</v>
      </c>
      <c r="AM54" s="23" t="s">
        <v>206</v>
      </c>
      <c r="AN54" s="23" t="s">
        <v>92</v>
      </c>
      <c r="AO54" s="25">
        <v>211</v>
      </c>
      <c r="AR54" s="32" t="str">
        <f t="shared" si="42"/>
        <v>1 door</v>
      </c>
      <c r="AT54" s="23" t="s">
        <v>33</v>
      </c>
      <c r="AU54" s="23" t="str">
        <f t="shared" si="22"/>
        <v>CC</v>
      </c>
      <c r="AV54" s="34">
        <f t="shared" si="43"/>
        <v>1020</v>
      </c>
      <c r="AW54" s="23">
        <v>10</v>
      </c>
      <c r="AX54" s="23">
        <v>20</v>
      </c>
      <c r="AY54" s="23">
        <v>0</v>
      </c>
    </row>
    <row r="55" spans="1:51">
      <c r="A55" s="25">
        <v>212</v>
      </c>
      <c r="D55" s="23">
        <v>1</v>
      </c>
      <c r="E55" s="25" t="s">
        <v>30</v>
      </c>
      <c r="F55" s="25" t="s">
        <v>302</v>
      </c>
      <c r="G55" s="23" t="s">
        <v>27</v>
      </c>
      <c r="H55" s="23" t="s">
        <v>146</v>
      </c>
      <c r="I55" s="25">
        <v>1976</v>
      </c>
      <c r="J55" s="35">
        <v>30</v>
      </c>
      <c r="K55" s="35">
        <v>40</v>
      </c>
      <c r="L55" s="35">
        <v>20</v>
      </c>
      <c r="M55" s="25">
        <v>5</v>
      </c>
      <c r="N55" s="25">
        <v>5</v>
      </c>
      <c r="R55" s="30">
        <f t="shared" si="34"/>
        <v>10</v>
      </c>
      <c r="S55" s="37">
        <v>1</v>
      </c>
      <c r="T55" s="30">
        <f t="shared" si="11"/>
        <v>12.670285714285713</v>
      </c>
      <c r="U55" s="37">
        <v>1</v>
      </c>
      <c r="V55" s="30">
        <f t="shared" si="12"/>
        <v>17.632952380952382</v>
      </c>
      <c r="W55" s="25">
        <v>97</v>
      </c>
      <c r="X55" s="31">
        <f t="shared" si="35"/>
        <v>159.12</v>
      </c>
      <c r="Y55" s="25">
        <v>117</v>
      </c>
      <c r="Z55" s="25">
        <v>8</v>
      </c>
      <c r="AA55" s="25">
        <v>31</v>
      </c>
      <c r="AB55" s="37">
        <v>1</v>
      </c>
      <c r="AC55" s="30">
        <f t="shared" si="14"/>
        <v>100</v>
      </c>
      <c r="AD55" s="31">
        <f t="shared" si="36"/>
        <v>8</v>
      </c>
      <c r="AE55" s="31" t="str">
        <f t="shared" si="37"/>
        <v/>
      </c>
      <c r="AF55" s="31" t="str">
        <f t="shared" si="38"/>
        <v/>
      </c>
      <c r="AG55" s="31" t="str">
        <f t="shared" si="39"/>
        <v/>
      </c>
      <c r="AH55" s="31" t="str">
        <f t="shared" si="40"/>
        <v/>
      </c>
      <c r="AI55" s="31" t="str">
        <f t="shared" si="41"/>
        <v/>
      </c>
      <c r="AJ55" s="25">
        <v>8</v>
      </c>
      <c r="AK55" s="25">
        <v>0</v>
      </c>
      <c r="AL55" s="25">
        <v>0</v>
      </c>
      <c r="AM55" s="23" t="s">
        <v>206</v>
      </c>
      <c r="AN55" s="23" t="s">
        <v>92</v>
      </c>
      <c r="AO55" s="25">
        <v>212</v>
      </c>
      <c r="AR55" s="32" t="str">
        <f t="shared" si="42"/>
        <v>2 doors</v>
      </c>
      <c r="AT55" s="23" t="s">
        <v>48</v>
      </c>
      <c r="AU55" s="23" t="str">
        <f t="shared" si="22"/>
        <v>CC</v>
      </c>
      <c r="AV55" s="34">
        <f t="shared" si="43"/>
        <v>1040</v>
      </c>
      <c r="AW55" s="23">
        <v>10</v>
      </c>
      <c r="AX55" s="23">
        <v>40</v>
      </c>
      <c r="AY55" s="23">
        <v>0</v>
      </c>
    </row>
    <row r="56" spans="1:51">
      <c r="A56" s="25">
        <v>222</v>
      </c>
      <c r="D56" s="23">
        <v>3</v>
      </c>
      <c r="E56" s="25" t="s">
        <v>30</v>
      </c>
      <c r="F56" s="25" t="s">
        <v>301</v>
      </c>
      <c r="G56" s="23" t="s">
        <v>27</v>
      </c>
      <c r="H56" s="23" t="s">
        <v>147</v>
      </c>
      <c r="I56" s="25">
        <v>1975</v>
      </c>
      <c r="J56" s="35">
        <v>30</v>
      </c>
      <c r="K56" s="35">
        <v>40</v>
      </c>
      <c r="L56" s="35">
        <v>20</v>
      </c>
      <c r="M56" s="25">
        <v>8</v>
      </c>
      <c r="N56" s="25">
        <v>12</v>
      </c>
      <c r="O56" s="25">
        <v>6</v>
      </c>
      <c r="R56" s="30">
        <f t="shared" si="34"/>
        <v>26</v>
      </c>
      <c r="S56" s="37">
        <v>1</v>
      </c>
      <c r="T56" s="30">
        <f t="shared" si="11"/>
        <v>13.157142857142858</v>
      </c>
      <c r="U56" s="37">
        <v>1</v>
      </c>
      <c r="V56" s="30">
        <f t="shared" si="12"/>
        <v>16.87047619047619</v>
      </c>
      <c r="W56" s="25">
        <v>78</v>
      </c>
      <c r="X56" s="31">
        <f t="shared" si="35"/>
        <v>136</v>
      </c>
      <c r="Y56" s="25">
        <v>100</v>
      </c>
      <c r="Z56" s="25">
        <v>9</v>
      </c>
      <c r="AA56" s="25">
        <v>77</v>
      </c>
      <c r="AB56" s="37">
        <v>1</v>
      </c>
      <c r="AC56" s="30">
        <f t="shared" si="14"/>
        <v>200</v>
      </c>
      <c r="AD56" s="31">
        <f t="shared" si="36"/>
        <v>8</v>
      </c>
      <c r="AE56" s="31" t="str">
        <f t="shared" si="37"/>
        <v/>
      </c>
      <c r="AF56" s="31" t="str">
        <f t="shared" si="38"/>
        <v/>
      </c>
      <c r="AG56" s="31" t="str">
        <f t="shared" si="39"/>
        <v/>
      </c>
      <c r="AH56" s="31" t="str">
        <f t="shared" si="40"/>
        <v/>
      </c>
      <c r="AI56" s="31" t="str">
        <f t="shared" si="41"/>
        <v/>
      </c>
      <c r="AJ56" s="25">
        <v>8</v>
      </c>
      <c r="AK56" s="25">
        <v>0</v>
      </c>
      <c r="AL56" s="25">
        <v>0</v>
      </c>
      <c r="AM56" s="23" t="s">
        <v>206</v>
      </c>
      <c r="AN56" s="23" t="s">
        <v>92</v>
      </c>
      <c r="AO56" s="25">
        <v>222</v>
      </c>
      <c r="AR56" s="32" t="str">
        <f t="shared" si="42"/>
        <v>3 doors</v>
      </c>
      <c r="AT56" s="23" t="s">
        <v>32</v>
      </c>
      <c r="AU56" s="23" t="str">
        <f t="shared" si="22"/>
        <v>CC</v>
      </c>
      <c r="AV56" s="34">
        <f t="shared" si="43"/>
        <v>1060</v>
      </c>
      <c r="AW56" s="23">
        <v>10</v>
      </c>
      <c r="AX56" s="23">
        <v>60</v>
      </c>
      <c r="AY56" s="23">
        <v>0</v>
      </c>
    </row>
    <row r="57" spans="1:51">
      <c r="A57" s="25">
        <v>250</v>
      </c>
      <c r="D57" s="23">
        <v>1</v>
      </c>
      <c r="E57" s="25" t="s">
        <v>30</v>
      </c>
      <c r="F57" s="25" t="s">
        <v>314</v>
      </c>
      <c r="G57" s="23" t="s">
        <v>27</v>
      </c>
      <c r="H57" s="23" t="s">
        <v>148</v>
      </c>
      <c r="I57" s="25">
        <v>1967</v>
      </c>
      <c r="J57" s="35">
        <v>30</v>
      </c>
      <c r="K57" s="35">
        <v>40</v>
      </c>
      <c r="L57" s="35">
        <v>20</v>
      </c>
      <c r="M57" s="25">
        <v>6</v>
      </c>
      <c r="R57" s="30">
        <f t="shared" si="34"/>
        <v>6</v>
      </c>
      <c r="S57" s="37">
        <v>1</v>
      </c>
      <c r="T57" s="30">
        <f t="shared" si="11"/>
        <v>16.944571428571429</v>
      </c>
      <c r="U57" s="37">
        <v>1</v>
      </c>
      <c r="V57" s="30">
        <f t="shared" si="12"/>
        <v>23.900571428571428</v>
      </c>
      <c r="W57" s="25">
        <v>102</v>
      </c>
      <c r="X57" s="31">
        <f t="shared" si="35"/>
        <v>220.32000000000002</v>
      </c>
      <c r="Y57" s="25">
        <v>162</v>
      </c>
      <c r="Z57" s="25">
        <v>11</v>
      </c>
      <c r="AA57" s="25">
        <v>51</v>
      </c>
      <c r="AB57" s="37">
        <v>1</v>
      </c>
      <c r="AC57" s="30">
        <f t="shared" si="14"/>
        <v>100</v>
      </c>
      <c r="AD57" s="31">
        <f t="shared" si="36"/>
        <v>2</v>
      </c>
      <c r="AE57" s="31">
        <f t="shared" si="37"/>
        <v>8</v>
      </c>
      <c r="AF57" s="31" t="str">
        <f t="shared" si="38"/>
        <v/>
      </c>
      <c r="AG57" s="31" t="str">
        <f t="shared" si="39"/>
        <v/>
      </c>
      <c r="AH57" s="31" t="str">
        <f t="shared" si="40"/>
        <v/>
      </c>
      <c r="AI57" s="31" t="str">
        <f t="shared" si="41"/>
        <v/>
      </c>
      <c r="AJ57" s="25">
        <v>10</v>
      </c>
      <c r="AK57" s="25">
        <v>0</v>
      </c>
      <c r="AL57" s="25">
        <v>0</v>
      </c>
      <c r="AM57" s="23" t="s">
        <v>206</v>
      </c>
      <c r="AN57" s="23" t="s">
        <v>92</v>
      </c>
      <c r="AO57" s="25">
        <v>250</v>
      </c>
      <c r="AR57" s="32" t="str">
        <f t="shared" si="42"/>
        <v>1 door</v>
      </c>
      <c r="AT57" s="23" t="s">
        <v>48</v>
      </c>
      <c r="AU57" s="23" t="str">
        <f t="shared" si="22"/>
        <v>CC</v>
      </c>
      <c r="AV57" s="34">
        <f t="shared" si="43"/>
        <v>1100</v>
      </c>
      <c r="AW57" s="23">
        <v>11</v>
      </c>
      <c r="AX57" s="23">
        <v>0</v>
      </c>
      <c r="AY57" s="23">
        <v>0</v>
      </c>
    </row>
    <row r="58" spans="1:51">
      <c r="A58" s="25">
        <v>250</v>
      </c>
      <c r="D58" s="23">
        <v>2</v>
      </c>
      <c r="E58" s="25" t="s">
        <v>30</v>
      </c>
      <c r="F58" s="25" t="s">
        <v>314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ref="R58" si="44">SUM(M58:Q58)</f>
        <v>12</v>
      </c>
      <c r="S58" s="37">
        <v>1</v>
      </c>
      <c r="T58" s="30">
        <f t="shared" si="11"/>
        <v>18.869142857142858</v>
      </c>
      <c r="U58" s="37">
        <v>1</v>
      </c>
      <c r="V58" s="30">
        <f t="shared" si="12"/>
        <v>27.321142857142856</v>
      </c>
      <c r="W58" s="25">
        <v>100</v>
      </c>
      <c r="X58" s="31">
        <f t="shared" ref="X58" si="45">Y58*1.36</f>
        <v>250.24</v>
      </c>
      <c r="Y58" s="25">
        <v>184</v>
      </c>
      <c r="Z58" s="25">
        <v>11</v>
      </c>
      <c r="AA58" s="25">
        <v>51</v>
      </c>
      <c r="AB58" s="37">
        <v>1</v>
      </c>
      <c r="AC58" s="30">
        <f t="shared" si="14"/>
        <v>150</v>
      </c>
      <c r="AD58" s="31">
        <f t="shared" ref="AD58" si="46">IF(AJ58&gt;8, AJ58-8, AJ58)</f>
        <v>2</v>
      </c>
      <c r="AE58" s="31">
        <f t="shared" ref="AE58" si="47">IF(AJ58&gt;8, 8, "")</f>
        <v>8</v>
      </c>
      <c r="AF58" s="31" t="str">
        <f t="shared" ref="AF58" si="48">IF(AK58&gt;8, AK58-8, IF(AK58=0, "", AK58))</f>
        <v/>
      </c>
      <c r="AG58" s="31" t="str">
        <f t="shared" ref="AG58" si="49">IF(AK58&gt;8, 8, "")</f>
        <v/>
      </c>
      <c r="AH58" s="31" t="str">
        <f t="shared" ref="AH58" si="50">IF(AL58&gt;8, AL58-8, IF(AL58=0, "", AL58))</f>
        <v/>
      </c>
      <c r="AI58" s="31" t="str">
        <f t="shared" ref="AI58" si="51">IF(AL58&gt;8, 8, "")</f>
        <v/>
      </c>
      <c r="AJ58" s="25">
        <v>10</v>
      </c>
      <c r="AK58" s="25">
        <v>0</v>
      </c>
      <c r="AL58" s="25">
        <v>0</v>
      </c>
      <c r="AM58" s="23" t="s">
        <v>206</v>
      </c>
      <c r="AN58" s="23" t="s">
        <v>92</v>
      </c>
      <c r="AO58" s="25">
        <v>250</v>
      </c>
      <c r="AR58" s="32" t="str">
        <f t="shared" ref="AR58" si="52">IF(Q58&gt;0, "5 doors", IF(P58&gt;0, "4 doors", IF(O58&gt;0, "3 doors", IF(N58&gt;0, "2 doors", "1 door"))))</f>
        <v>2 doors</v>
      </c>
      <c r="AS58" s="23" t="s">
        <v>230</v>
      </c>
      <c r="AT58" s="23" t="s">
        <v>47</v>
      </c>
      <c r="AU58" s="23" t="str">
        <f t="shared" ref="AU58" si="53">IF(ISNUMBER(SEARCH("CC", E58)), "CC", "Hungary")</f>
        <v>CC</v>
      </c>
      <c r="AV58" s="34">
        <f t="shared" ref="AV58" si="54">(AW58*100)+AX58+(AY58/100)</f>
        <v>1120</v>
      </c>
      <c r="AW58" s="23">
        <v>11</v>
      </c>
      <c r="AX58" s="23">
        <v>20</v>
      </c>
      <c r="AY58" s="23">
        <v>0</v>
      </c>
    </row>
    <row r="59" spans="1:51">
      <c r="A59" s="25">
        <v>250</v>
      </c>
      <c r="D59" s="23">
        <v>2</v>
      </c>
      <c r="E59" s="25" t="s">
        <v>42</v>
      </c>
      <c r="F59" s="25" t="s">
        <v>304</v>
      </c>
      <c r="G59" s="23" t="s">
        <v>27</v>
      </c>
      <c r="H59" s="23" t="s">
        <v>149</v>
      </c>
      <c r="I59" s="25">
        <v>1970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34"/>
        <v>12</v>
      </c>
      <c r="S59" s="37">
        <v>1</v>
      </c>
      <c r="T59" s="30">
        <f t="shared" si="11"/>
        <v>18.869142857142858</v>
      </c>
      <c r="U59" s="37">
        <v>1</v>
      </c>
      <c r="V59" s="30">
        <f t="shared" si="12"/>
        <v>27.321142857142856</v>
      </c>
      <c r="W59" s="25">
        <v>100</v>
      </c>
      <c r="X59" s="31">
        <f t="shared" si="35"/>
        <v>250.24</v>
      </c>
      <c r="Y59" s="25">
        <v>184</v>
      </c>
      <c r="Z59" s="25">
        <v>11</v>
      </c>
      <c r="AA59" s="25">
        <v>51</v>
      </c>
      <c r="AB59" s="37">
        <v>1</v>
      </c>
      <c r="AC59" s="30">
        <f t="shared" si="14"/>
        <v>150</v>
      </c>
      <c r="AD59" s="31">
        <f t="shared" si="36"/>
        <v>2</v>
      </c>
      <c r="AE59" s="31">
        <f t="shared" si="37"/>
        <v>8</v>
      </c>
      <c r="AF59" s="31" t="str">
        <f t="shared" si="38"/>
        <v/>
      </c>
      <c r="AG59" s="31" t="str">
        <f t="shared" si="39"/>
        <v/>
      </c>
      <c r="AH59" s="31" t="str">
        <f t="shared" si="40"/>
        <v/>
      </c>
      <c r="AI59" s="31" t="str">
        <f t="shared" si="41"/>
        <v/>
      </c>
      <c r="AJ59" s="25">
        <v>10</v>
      </c>
      <c r="AK59" s="25">
        <v>0</v>
      </c>
      <c r="AL59" s="25">
        <v>0</v>
      </c>
      <c r="AM59" s="23" t="s">
        <v>206</v>
      </c>
      <c r="AN59" s="23" t="s">
        <v>92</v>
      </c>
      <c r="AO59" s="25">
        <v>250</v>
      </c>
      <c r="AR59" s="32" t="str">
        <f t="shared" si="42"/>
        <v>2 doors</v>
      </c>
      <c r="AS59" s="23" t="s">
        <v>230</v>
      </c>
      <c r="AT59" s="23" t="s">
        <v>47</v>
      </c>
      <c r="AU59" s="23" t="str">
        <f t="shared" si="22"/>
        <v>CC</v>
      </c>
      <c r="AV59" s="34">
        <f t="shared" si="43"/>
        <v>1120.01</v>
      </c>
      <c r="AW59" s="23">
        <v>11</v>
      </c>
      <c r="AX59" s="23">
        <v>20</v>
      </c>
      <c r="AY59" s="23">
        <v>1</v>
      </c>
    </row>
    <row r="60" spans="1:51">
      <c r="A60" s="25">
        <v>250</v>
      </c>
      <c r="D60" s="23">
        <v>2</v>
      </c>
      <c r="E60" s="25" t="s">
        <v>43</v>
      </c>
      <c r="F60" s="25" t="s">
        <v>308</v>
      </c>
      <c r="G60" s="23" t="s">
        <v>27</v>
      </c>
      <c r="H60" s="23" t="s">
        <v>149</v>
      </c>
      <c r="I60" s="25">
        <v>1970</v>
      </c>
      <c r="J60" s="35">
        <v>30</v>
      </c>
      <c r="K60" s="35">
        <v>40</v>
      </c>
      <c r="L60" s="35">
        <v>20</v>
      </c>
      <c r="M60" s="25">
        <v>6</v>
      </c>
      <c r="N60" s="25">
        <v>6</v>
      </c>
      <c r="R60" s="30">
        <f t="shared" si="34"/>
        <v>12</v>
      </c>
      <c r="S60" s="37">
        <v>1</v>
      </c>
      <c r="T60" s="30">
        <f t="shared" si="11"/>
        <v>18.869142857142858</v>
      </c>
      <c r="U60" s="37">
        <v>1</v>
      </c>
      <c r="V60" s="30">
        <f t="shared" si="12"/>
        <v>27.321142857142856</v>
      </c>
      <c r="W60" s="25">
        <v>100</v>
      </c>
      <c r="X60" s="31">
        <f t="shared" si="35"/>
        <v>250.24</v>
      </c>
      <c r="Y60" s="25">
        <v>184</v>
      </c>
      <c r="Z60" s="25">
        <v>11</v>
      </c>
      <c r="AA60" s="25">
        <v>51</v>
      </c>
      <c r="AB60" s="37">
        <v>1</v>
      </c>
      <c r="AC60" s="30">
        <f t="shared" si="14"/>
        <v>150</v>
      </c>
      <c r="AD60" s="31">
        <f t="shared" si="36"/>
        <v>2</v>
      </c>
      <c r="AE60" s="31">
        <f t="shared" si="37"/>
        <v>8</v>
      </c>
      <c r="AF60" s="31" t="str">
        <f t="shared" si="38"/>
        <v/>
      </c>
      <c r="AG60" s="31" t="str">
        <f t="shared" si="39"/>
        <v/>
      </c>
      <c r="AH60" s="31" t="str">
        <f t="shared" si="40"/>
        <v/>
      </c>
      <c r="AI60" s="31" t="str">
        <f t="shared" si="41"/>
        <v/>
      </c>
      <c r="AJ60" s="25">
        <v>10</v>
      </c>
      <c r="AK60" s="25">
        <v>0</v>
      </c>
      <c r="AL60" s="25">
        <v>0</v>
      </c>
      <c r="AM60" s="23" t="s">
        <v>206</v>
      </c>
      <c r="AN60" s="23" t="s">
        <v>92</v>
      </c>
      <c r="AO60" s="25">
        <v>250</v>
      </c>
      <c r="AR60" s="32" t="str">
        <f t="shared" si="42"/>
        <v>2 doors</v>
      </c>
      <c r="AS60" s="23" t="s">
        <v>230</v>
      </c>
      <c r="AT60" s="23" t="s">
        <v>47</v>
      </c>
      <c r="AU60" s="23" t="str">
        <f t="shared" si="22"/>
        <v>CC</v>
      </c>
      <c r="AV60" s="34">
        <f t="shared" si="43"/>
        <v>1120.02</v>
      </c>
      <c r="AW60" s="23">
        <v>11</v>
      </c>
      <c r="AX60" s="23">
        <v>20</v>
      </c>
      <c r="AY60" s="23">
        <v>2</v>
      </c>
    </row>
    <row r="61" spans="1:51">
      <c r="A61" s="25">
        <v>250</v>
      </c>
      <c r="D61" s="23">
        <v>2</v>
      </c>
      <c r="E61" s="25" t="s">
        <v>46</v>
      </c>
      <c r="F61" s="25" t="s">
        <v>46</v>
      </c>
      <c r="G61" s="23" t="s">
        <v>27</v>
      </c>
      <c r="H61" s="23" t="s">
        <v>149</v>
      </c>
      <c r="I61" s="25">
        <v>1970</v>
      </c>
      <c r="J61" s="35">
        <v>30</v>
      </c>
      <c r="K61" s="35">
        <v>40</v>
      </c>
      <c r="L61" s="35">
        <v>20</v>
      </c>
      <c r="M61" s="25">
        <v>6</v>
      </c>
      <c r="N61" s="25">
        <v>6</v>
      </c>
      <c r="R61" s="30">
        <f t="shared" si="34"/>
        <v>12</v>
      </c>
      <c r="S61" s="37">
        <v>1</v>
      </c>
      <c r="T61" s="30">
        <f t="shared" si="11"/>
        <v>18.869142857142858</v>
      </c>
      <c r="U61" s="37">
        <v>1</v>
      </c>
      <c r="V61" s="30">
        <f t="shared" si="12"/>
        <v>27.321142857142856</v>
      </c>
      <c r="W61" s="25">
        <v>100</v>
      </c>
      <c r="X61" s="31">
        <f t="shared" si="35"/>
        <v>250.24</v>
      </c>
      <c r="Y61" s="25">
        <v>184</v>
      </c>
      <c r="Z61" s="25">
        <v>11</v>
      </c>
      <c r="AA61" s="25">
        <v>51</v>
      </c>
      <c r="AB61" s="37">
        <v>1</v>
      </c>
      <c r="AC61" s="30">
        <f t="shared" si="14"/>
        <v>150</v>
      </c>
      <c r="AD61" s="31">
        <f t="shared" si="36"/>
        <v>2</v>
      </c>
      <c r="AE61" s="31">
        <f t="shared" si="37"/>
        <v>8</v>
      </c>
      <c r="AF61" s="31" t="str">
        <f t="shared" si="38"/>
        <v/>
      </c>
      <c r="AG61" s="31" t="str">
        <f t="shared" si="39"/>
        <v/>
      </c>
      <c r="AH61" s="31" t="str">
        <f t="shared" si="40"/>
        <v/>
      </c>
      <c r="AI61" s="31" t="str">
        <f t="shared" si="41"/>
        <v/>
      </c>
      <c r="AJ61" s="25">
        <v>10</v>
      </c>
      <c r="AK61" s="25">
        <v>0</v>
      </c>
      <c r="AL61" s="25">
        <v>0</v>
      </c>
      <c r="AM61" s="23" t="s">
        <v>206</v>
      </c>
      <c r="AN61" s="23" t="s">
        <v>92</v>
      </c>
      <c r="AO61" s="25">
        <v>250</v>
      </c>
      <c r="AR61" s="32" t="str">
        <f t="shared" si="42"/>
        <v>2 doors</v>
      </c>
      <c r="AS61" s="23" t="s">
        <v>230</v>
      </c>
      <c r="AT61" s="23" t="s">
        <v>47</v>
      </c>
      <c r="AU61" s="23" t="str">
        <f t="shared" si="22"/>
        <v>Hungary</v>
      </c>
      <c r="AV61" s="34">
        <f t="shared" si="43"/>
        <v>1120.03</v>
      </c>
      <c r="AW61" s="23">
        <v>11</v>
      </c>
      <c r="AX61" s="23">
        <v>20</v>
      </c>
      <c r="AY61" s="23">
        <v>3</v>
      </c>
    </row>
    <row r="62" spans="1:51">
      <c r="A62" s="25">
        <v>253</v>
      </c>
      <c r="D62" s="23">
        <v>2</v>
      </c>
      <c r="E62" s="25" t="s">
        <v>30</v>
      </c>
      <c r="F62" s="25" t="s">
        <v>318</v>
      </c>
      <c r="G62" s="23" t="s">
        <v>27</v>
      </c>
      <c r="H62" s="23" t="s">
        <v>242</v>
      </c>
      <c r="I62" s="25">
        <v>1990</v>
      </c>
      <c r="J62" s="35">
        <v>30</v>
      </c>
      <c r="K62" s="35">
        <v>40</v>
      </c>
      <c r="L62" s="35">
        <v>20</v>
      </c>
      <c r="M62" s="25">
        <v>6</v>
      </c>
      <c r="N62" s="25">
        <v>6</v>
      </c>
      <c r="R62" s="30">
        <f t="shared" si="34"/>
        <v>12</v>
      </c>
      <c r="S62" s="37">
        <v>1.2</v>
      </c>
      <c r="T62" s="30">
        <f t="shared" si="11"/>
        <v>22.642971428571428</v>
      </c>
      <c r="U62" s="37">
        <v>1.1000000000000001</v>
      </c>
      <c r="V62" s="30">
        <f t="shared" si="12"/>
        <v>30.04592380952381</v>
      </c>
      <c r="W62" s="25">
        <v>100</v>
      </c>
      <c r="X62" s="31">
        <f t="shared" si="35"/>
        <v>250.24</v>
      </c>
      <c r="Y62" s="25">
        <v>184</v>
      </c>
      <c r="Z62" s="25">
        <v>11</v>
      </c>
      <c r="AA62" s="25">
        <v>50</v>
      </c>
      <c r="AB62" s="37">
        <v>0.8</v>
      </c>
      <c r="AC62" s="30">
        <f t="shared" si="14"/>
        <v>80</v>
      </c>
      <c r="AD62" s="31">
        <f t="shared" si="36"/>
        <v>2</v>
      </c>
      <c r="AE62" s="31">
        <f t="shared" si="37"/>
        <v>8</v>
      </c>
      <c r="AF62" s="31" t="str">
        <f t="shared" si="38"/>
        <v/>
      </c>
      <c r="AG62" s="31" t="str">
        <f t="shared" si="39"/>
        <v/>
      </c>
      <c r="AH62" s="31" t="str">
        <f t="shared" si="40"/>
        <v/>
      </c>
      <c r="AI62" s="31" t="str">
        <f t="shared" si="41"/>
        <v/>
      </c>
      <c r="AJ62" s="25">
        <v>10</v>
      </c>
      <c r="AK62" s="25">
        <v>0</v>
      </c>
      <c r="AL62" s="25">
        <v>0</v>
      </c>
      <c r="AM62" s="23" t="s">
        <v>206</v>
      </c>
      <c r="AN62" s="23" t="s">
        <v>92</v>
      </c>
      <c r="AO62" s="25">
        <v>253</v>
      </c>
      <c r="AR62" s="32" t="str">
        <f t="shared" si="42"/>
        <v>2 doors</v>
      </c>
      <c r="AT62" s="23" t="s">
        <v>48</v>
      </c>
      <c r="AU62" s="23" t="str">
        <f t="shared" si="22"/>
        <v>CC</v>
      </c>
      <c r="AV62" s="34">
        <f t="shared" si="43"/>
        <v>1150</v>
      </c>
      <c r="AW62" s="23">
        <v>11</v>
      </c>
      <c r="AX62" s="23">
        <v>50</v>
      </c>
      <c r="AY62" s="23">
        <v>0</v>
      </c>
    </row>
    <row r="63" spans="1:51">
      <c r="A63" s="25">
        <v>253</v>
      </c>
      <c r="D63" s="23">
        <v>2</v>
      </c>
      <c r="E63" s="25" t="s">
        <v>42</v>
      </c>
      <c r="F63" s="25" t="s">
        <v>317</v>
      </c>
      <c r="G63" s="23" t="s">
        <v>27</v>
      </c>
      <c r="H63" s="23" t="s">
        <v>242</v>
      </c>
      <c r="I63" s="25">
        <v>1990</v>
      </c>
      <c r="J63" s="35">
        <v>30</v>
      </c>
      <c r="K63" s="35">
        <v>40</v>
      </c>
      <c r="L63" s="35">
        <v>20</v>
      </c>
      <c r="M63" s="25">
        <v>6</v>
      </c>
      <c r="N63" s="25">
        <v>6</v>
      </c>
      <c r="R63" s="30">
        <f t="shared" ref="R63" si="55">SUM(M63:Q63)</f>
        <v>12</v>
      </c>
      <c r="S63" s="37">
        <v>1.2</v>
      </c>
      <c r="T63" s="30">
        <f t="shared" si="11"/>
        <v>22.642971428571428</v>
      </c>
      <c r="U63" s="37">
        <v>1.1000000000000001</v>
      </c>
      <c r="V63" s="30">
        <f t="shared" si="12"/>
        <v>30.04592380952381</v>
      </c>
      <c r="W63" s="25">
        <v>100</v>
      </c>
      <c r="X63" s="31">
        <f t="shared" ref="X63" si="56">Y63*1.36</f>
        <v>250.24</v>
      </c>
      <c r="Y63" s="25">
        <v>184</v>
      </c>
      <c r="Z63" s="25">
        <v>11</v>
      </c>
      <c r="AA63" s="25">
        <v>50</v>
      </c>
      <c r="AB63" s="37">
        <v>0.8</v>
      </c>
      <c r="AC63" s="30">
        <f t="shared" si="14"/>
        <v>80</v>
      </c>
      <c r="AD63" s="31">
        <f t="shared" ref="AD63" si="57">IF(AJ63&gt;8, AJ63-8, AJ63)</f>
        <v>2</v>
      </c>
      <c r="AE63" s="31">
        <f t="shared" ref="AE63" si="58">IF(AJ63&gt;8, 8, "")</f>
        <v>8</v>
      </c>
      <c r="AF63" s="31" t="str">
        <f t="shared" ref="AF63" si="59">IF(AK63&gt;8, AK63-8, IF(AK63=0, "", AK63))</f>
        <v/>
      </c>
      <c r="AG63" s="31" t="str">
        <f t="shared" ref="AG63" si="60">IF(AK63&gt;8, 8, "")</f>
        <v/>
      </c>
      <c r="AH63" s="31" t="str">
        <f t="shared" ref="AH63" si="61">IF(AL63&gt;8, AL63-8, IF(AL63=0, "", AL63))</f>
        <v/>
      </c>
      <c r="AI63" s="31" t="str">
        <f t="shared" ref="AI63" si="62">IF(AL63&gt;8, 8, "")</f>
        <v/>
      </c>
      <c r="AJ63" s="25">
        <v>10</v>
      </c>
      <c r="AK63" s="25">
        <v>0</v>
      </c>
      <c r="AL63" s="25">
        <v>0</v>
      </c>
      <c r="AM63" s="23" t="s">
        <v>206</v>
      </c>
      <c r="AN63" s="23" t="s">
        <v>92</v>
      </c>
      <c r="AO63" s="25">
        <v>253</v>
      </c>
      <c r="AR63" s="32" t="str">
        <f t="shared" ref="AR63" si="63">IF(Q63&gt;0, "5 doors", IF(P63&gt;0, "4 doors", IF(O63&gt;0, "3 doors", IF(N63&gt;0, "2 doors", "1 door"))))</f>
        <v>2 doors</v>
      </c>
      <c r="AT63" s="23" t="s">
        <v>48</v>
      </c>
      <c r="AU63" s="23" t="str">
        <f t="shared" ref="AU63" si="64">IF(ISNUMBER(SEARCH("CC", E63)), "CC", "Hungary")</f>
        <v>CC</v>
      </c>
      <c r="AV63" s="34">
        <f t="shared" ref="AV63" si="65">(AW63*100)+AX63+(AY63/100)</f>
        <v>1150.01</v>
      </c>
      <c r="AW63" s="23">
        <v>11</v>
      </c>
      <c r="AX63" s="23">
        <v>50</v>
      </c>
      <c r="AY63" s="23">
        <v>1</v>
      </c>
    </row>
    <row r="64" spans="1:51">
      <c r="A64" s="25">
        <v>254</v>
      </c>
      <c r="D64" s="23">
        <v>2</v>
      </c>
      <c r="E64" s="25" t="s">
        <v>30</v>
      </c>
      <c r="F64" s="25" t="s">
        <v>308</v>
      </c>
      <c r="G64" s="23" t="s">
        <v>27</v>
      </c>
      <c r="H64" s="23" t="s">
        <v>150</v>
      </c>
      <c r="I64" s="25">
        <v>1975</v>
      </c>
      <c r="J64" s="35">
        <v>30</v>
      </c>
      <c r="K64" s="35">
        <v>40</v>
      </c>
      <c r="L64" s="35">
        <v>20</v>
      </c>
      <c r="M64" s="25">
        <v>4</v>
      </c>
      <c r="N64" s="25">
        <v>4</v>
      </c>
      <c r="R64" s="30">
        <f t="shared" si="34"/>
        <v>8</v>
      </c>
      <c r="S64" s="37">
        <v>1.2</v>
      </c>
      <c r="T64" s="30">
        <f t="shared" si="11"/>
        <v>24.368914285714286</v>
      </c>
      <c r="U64" s="37">
        <v>1.1000000000000001</v>
      </c>
      <c r="V64" s="30">
        <f t="shared" si="12"/>
        <v>32.468438095238106</v>
      </c>
      <c r="W64" s="25">
        <v>121</v>
      </c>
      <c r="X64" s="31">
        <f t="shared" si="35"/>
        <v>274.72000000000003</v>
      </c>
      <c r="Y64" s="25">
        <v>202</v>
      </c>
      <c r="Z64" s="25">
        <v>12</v>
      </c>
      <c r="AA64" s="25">
        <v>41</v>
      </c>
      <c r="AB64" s="37">
        <v>0.8</v>
      </c>
      <c r="AC64" s="30">
        <f t="shared" si="14"/>
        <v>80</v>
      </c>
      <c r="AD64" s="31">
        <f t="shared" si="36"/>
        <v>2</v>
      </c>
      <c r="AE64" s="31">
        <f t="shared" si="37"/>
        <v>8</v>
      </c>
      <c r="AF64" s="31" t="str">
        <f t="shared" si="38"/>
        <v/>
      </c>
      <c r="AG64" s="31" t="str">
        <f t="shared" si="39"/>
        <v/>
      </c>
      <c r="AH64" s="31" t="str">
        <f t="shared" si="40"/>
        <v/>
      </c>
      <c r="AI64" s="31" t="str">
        <f t="shared" si="41"/>
        <v/>
      </c>
      <c r="AJ64" s="25">
        <v>10</v>
      </c>
      <c r="AK64" s="25">
        <v>0</v>
      </c>
      <c r="AL64" s="25">
        <v>0</v>
      </c>
      <c r="AM64" s="23" t="s">
        <v>206</v>
      </c>
      <c r="AN64" s="23" t="s">
        <v>92</v>
      </c>
      <c r="AO64" s="25">
        <v>254</v>
      </c>
      <c r="AR64" s="32" t="str">
        <f t="shared" si="42"/>
        <v>2 doors</v>
      </c>
      <c r="AT64" s="23" t="s">
        <v>48</v>
      </c>
      <c r="AU64" s="23" t="str">
        <f t="shared" si="22"/>
        <v>CC</v>
      </c>
      <c r="AV64" s="34">
        <f t="shared" si="43"/>
        <v>1160</v>
      </c>
      <c r="AW64" s="23">
        <v>11</v>
      </c>
      <c r="AX64" s="23">
        <v>60</v>
      </c>
      <c r="AY64" s="23">
        <v>0</v>
      </c>
    </row>
    <row r="65" spans="1:51">
      <c r="A65" s="25">
        <v>266</v>
      </c>
      <c r="D65" s="23">
        <v>2</v>
      </c>
      <c r="E65" s="25" t="s">
        <v>30</v>
      </c>
      <c r="F65" s="25" t="s">
        <v>302</v>
      </c>
      <c r="G65" s="23" t="s">
        <v>27</v>
      </c>
      <c r="H65" s="23" t="s">
        <v>162</v>
      </c>
      <c r="I65" s="25">
        <v>1972</v>
      </c>
      <c r="J65" s="35">
        <v>30</v>
      </c>
      <c r="K65" s="35">
        <v>40</v>
      </c>
      <c r="L65" s="35">
        <v>20</v>
      </c>
      <c r="M65" s="25">
        <v>8</v>
      </c>
      <c r="N65" s="25">
        <v>10</v>
      </c>
      <c r="R65" s="30">
        <f t="shared" si="34"/>
        <v>18</v>
      </c>
      <c r="S65" s="37">
        <v>0.7</v>
      </c>
      <c r="T65" s="30">
        <f t="shared" si="11"/>
        <v>10.761600000000001</v>
      </c>
      <c r="U65" s="37">
        <v>0.7</v>
      </c>
      <c r="V65" s="30">
        <f t="shared" si="12"/>
        <v>15.3592</v>
      </c>
      <c r="W65" s="25">
        <v>80</v>
      </c>
      <c r="X65" s="31">
        <f t="shared" si="35"/>
        <v>191.76000000000002</v>
      </c>
      <c r="Y65" s="25">
        <v>141</v>
      </c>
      <c r="Z65" s="25">
        <v>9</v>
      </c>
      <c r="AA65" s="25">
        <v>87</v>
      </c>
      <c r="AB65" s="37">
        <v>1.1000000000000001</v>
      </c>
      <c r="AC65" s="30">
        <f t="shared" si="14"/>
        <v>220.00000000000003</v>
      </c>
      <c r="AD65" s="31">
        <f t="shared" si="36"/>
        <v>2</v>
      </c>
      <c r="AE65" s="31">
        <f t="shared" si="37"/>
        <v>8</v>
      </c>
      <c r="AF65" s="31" t="str">
        <f t="shared" si="38"/>
        <v/>
      </c>
      <c r="AG65" s="31" t="str">
        <f t="shared" si="39"/>
        <v/>
      </c>
      <c r="AH65" s="31" t="str">
        <f t="shared" si="40"/>
        <v/>
      </c>
      <c r="AI65" s="31" t="str">
        <f t="shared" si="41"/>
        <v/>
      </c>
      <c r="AJ65" s="25">
        <v>10</v>
      </c>
      <c r="AK65" s="25">
        <v>0</v>
      </c>
      <c r="AL65" s="25">
        <v>0</v>
      </c>
      <c r="AM65" s="23" t="s">
        <v>206</v>
      </c>
      <c r="AN65" s="23" t="s">
        <v>92</v>
      </c>
      <c r="AO65" s="25">
        <v>266</v>
      </c>
      <c r="AR65" s="32" t="str">
        <f t="shared" si="42"/>
        <v>2 doors</v>
      </c>
      <c r="AT65" s="23" t="s">
        <v>270</v>
      </c>
      <c r="AU65" s="23" t="str">
        <f t="shared" si="22"/>
        <v>CC</v>
      </c>
      <c r="AV65" s="34">
        <f t="shared" si="43"/>
        <v>1200</v>
      </c>
      <c r="AW65" s="23">
        <v>12</v>
      </c>
      <c r="AX65" s="23">
        <v>0</v>
      </c>
      <c r="AY65" s="23">
        <v>0</v>
      </c>
    </row>
    <row r="66" spans="1:51">
      <c r="A66" s="25">
        <v>255</v>
      </c>
      <c r="D66" s="23">
        <v>1</v>
      </c>
      <c r="E66" s="25" t="s">
        <v>30</v>
      </c>
      <c r="F66" s="25" t="s">
        <v>304</v>
      </c>
      <c r="G66" s="23" t="s">
        <v>27</v>
      </c>
      <c r="H66" s="23" t="s">
        <v>151</v>
      </c>
      <c r="I66" s="25">
        <v>1972</v>
      </c>
      <c r="J66" s="35">
        <v>30</v>
      </c>
      <c r="K66" s="35">
        <v>40</v>
      </c>
      <c r="L66" s="35">
        <v>20</v>
      </c>
      <c r="M66" s="25">
        <v>6</v>
      </c>
      <c r="R66" s="30">
        <f t="shared" si="34"/>
        <v>6</v>
      </c>
      <c r="S66" s="37">
        <v>0.7</v>
      </c>
      <c r="T66" s="30">
        <f t="shared" si="11"/>
        <v>10.1616</v>
      </c>
      <c r="U66" s="37">
        <v>0.7</v>
      </c>
      <c r="V66" s="30">
        <f t="shared" si="12"/>
        <v>14.600533333333333</v>
      </c>
      <c r="W66" s="25">
        <v>80</v>
      </c>
      <c r="X66" s="31">
        <f t="shared" si="35"/>
        <v>191.76000000000002</v>
      </c>
      <c r="Y66" s="25">
        <v>141</v>
      </c>
      <c r="Z66" s="25">
        <v>9</v>
      </c>
      <c r="AA66" s="25">
        <v>53</v>
      </c>
      <c r="AB66" s="37">
        <v>1.1000000000000001</v>
      </c>
      <c r="AC66" s="30">
        <f t="shared" si="14"/>
        <v>110.00000000000001</v>
      </c>
      <c r="AD66" s="31">
        <f t="shared" si="36"/>
        <v>1</v>
      </c>
      <c r="AE66" s="31">
        <f t="shared" si="37"/>
        <v>8</v>
      </c>
      <c r="AF66" s="31" t="str">
        <f t="shared" si="38"/>
        <v/>
      </c>
      <c r="AG66" s="31" t="str">
        <f t="shared" si="39"/>
        <v/>
      </c>
      <c r="AH66" s="31" t="str">
        <f t="shared" si="40"/>
        <v/>
      </c>
      <c r="AI66" s="31" t="str">
        <f t="shared" si="41"/>
        <v/>
      </c>
      <c r="AJ66" s="25">
        <v>9</v>
      </c>
      <c r="AK66" s="25">
        <v>0</v>
      </c>
      <c r="AL66" s="25">
        <v>0</v>
      </c>
      <c r="AM66" s="23" t="s">
        <v>206</v>
      </c>
      <c r="AN66" s="23" t="s">
        <v>92</v>
      </c>
      <c r="AO66" s="25">
        <v>255</v>
      </c>
      <c r="AR66" s="32" t="str">
        <f t="shared" si="42"/>
        <v>1 door</v>
      </c>
      <c r="AT66" s="23" t="s">
        <v>48</v>
      </c>
      <c r="AU66" s="23" t="str">
        <f t="shared" si="22"/>
        <v>CC</v>
      </c>
      <c r="AV66" s="34">
        <f t="shared" si="43"/>
        <v>1220</v>
      </c>
      <c r="AW66" s="23">
        <v>12</v>
      </c>
      <c r="AX66" s="23">
        <v>20</v>
      </c>
      <c r="AY66" s="23">
        <v>0</v>
      </c>
    </row>
    <row r="67" spans="1:51">
      <c r="A67" s="25">
        <v>255</v>
      </c>
      <c r="D67" s="23">
        <v>1</v>
      </c>
      <c r="E67" s="25" t="s">
        <v>42</v>
      </c>
      <c r="F67" s="25" t="s">
        <v>314</v>
      </c>
      <c r="G67" s="23" t="s">
        <v>27</v>
      </c>
      <c r="H67" s="23" t="s">
        <v>151</v>
      </c>
      <c r="I67" s="25">
        <v>1972</v>
      </c>
      <c r="J67" s="35">
        <v>30</v>
      </c>
      <c r="K67" s="35">
        <v>40</v>
      </c>
      <c r="L67" s="35">
        <v>20</v>
      </c>
      <c r="M67" s="25">
        <v>6</v>
      </c>
      <c r="R67" s="30">
        <f t="shared" ref="R67:R71" si="66">SUM(M67:Q67)</f>
        <v>6</v>
      </c>
      <c r="S67" s="37">
        <v>0.7</v>
      </c>
      <c r="T67" s="30">
        <f t="shared" ref="T67:T71" si="67">S67*IF(OR(G67="diesel", G67="petrol"), ((Z67+(X67/10))/2)+(R67/14), IF(OR(G67="cng", G67="hybrid"), ((Z67+(X67/10))/2*1.2)+(R67/14), IF(OR(G67="hydrogen", G67="electric"), ((Z67+(X67/10))/2*1.5)+(R67/14), 0)))</f>
        <v>10.1616</v>
      </c>
      <c r="U67" s="37">
        <v>0.7</v>
      </c>
      <c r="V67" s="30">
        <f t="shared" ref="V67:V71" si="68">U67*IF(G67="petrol", ((Z67+(AA67/15)+X67)/10*1.5)+(R67/14), IF(G67="diesel", ((Z67+(AA67/15)+X67)/10)+(R67/14), IF(OR(G67="cng", G67="hybrid"), ((Z67+(AA67/15)+X67)/10*0.8)+(R67/14), IF(OR(G67="hydrogen", G67="electric"), ((Z67+(AA67/15)+X67)/10*0.5)+(R67/14), 0))))</f>
        <v>14.600533333333333</v>
      </c>
      <c r="W67" s="25">
        <v>80</v>
      </c>
      <c r="X67" s="31">
        <f t="shared" ref="X67:X71" si="69">Y67*1.36</f>
        <v>191.76000000000002</v>
      </c>
      <c r="Y67" s="25">
        <v>141</v>
      </c>
      <c r="Z67" s="25">
        <v>9</v>
      </c>
      <c r="AA67" s="25">
        <v>53</v>
      </c>
      <c r="AB67" s="37">
        <v>1.1000000000000001</v>
      </c>
      <c r="AC67" s="30">
        <f t="shared" ref="AC67:AC159" si="70">AB67*IF(AT67="Regional", 185, IF(AT67="Intercity", 150, IF(AT67="Tourist", 100, 200)))</f>
        <v>110.00000000000001</v>
      </c>
      <c r="AD67" s="31">
        <f t="shared" ref="AD67:AD71" si="71">IF(AJ67&gt;8, AJ67-8, AJ67)</f>
        <v>1</v>
      </c>
      <c r="AE67" s="31">
        <f t="shared" ref="AE67:AE71" si="72">IF(AJ67&gt;8, 8, "")</f>
        <v>8</v>
      </c>
      <c r="AF67" s="31" t="str">
        <f t="shared" ref="AF67:AF71" si="73">IF(AK67&gt;8, AK67-8, IF(AK67=0, "", AK67))</f>
        <v/>
      </c>
      <c r="AG67" s="31" t="str">
        <f t="shared" ref="AG67:AG71" si="74">IF(AK67&gt;8, 8, "")</f>
        <v/>
      </c>
      <c r="AH67" s="31" t="str">
        <f t="shared" ref="AH67:AH71" si="75">IF(AL67&gt;8, AL67-8, IF(AL67=0, "", AL67))</f>
        <v/>
      </c>
      <c r="AI67" s="31" t="str">
        <f t="shared" ref="AI67:AI71" si="76">IF(AL67&gt;8, 8, "")</f>
        <v/>
      </c>
      <c r="AJ67" s="25">
        <v>9</v>
      </c>
      <c r="AK67" s="25">
        <v>0</v>
      </c>
      <c r="AL67" s="25">
        <v>0</v>
      </c>
      <c r="AM67" s="23" t="s">
        <v>206</v>
      </c>
      <c r="AN67" s="23" t="s">
        <v>92</v>
      </c>
      <c r="AO67" s="25">
        <v>255</v>
      </c>
      <c r="AR67" s="32" t="str">
        <f t="shared" ref="AR67:AR71" si="77">IF(Q67&gt;0, "5 doors", IF(P67&gt;0, "4 doors", IF(O67&gt;0, "3 doors", IF(N67&gt;0, "2 doors", "1 door"))))</f>
        <v>1 door</v>
      </c>
      <c r="AT67" s="23" t="s">
        <v>48</v>
      </c>
      <c r="AU67" s="23" t="str">
        <f t="shared" ref="AU67:AU71" si="78">IF(ISNUMBER(SEARCH("CC", E67)), "CC", "Hungary")</f>
        <v>CC</v>
      </c>
      <c r="AV67" s="34">
        <f t="shared" ref="AV67:AV71" si="79">(AW67*100)+AX67+(AY67/100)</f>
        <v>1220.01</v>
      </c>
      <c r="AW67" s="23">
        <v>12</v>
      </c>
      <c r="AX67" s="23">
        <v>20</v>
      </c>
      <c r="AY67" s="23">
        <v>1</v>
      </c>
    </row>
    <row r="68" spans="1:51">
      <c r="A68" s="25">
        <v>255</v>
      </c>
      <c r="D68" s="23">
        <v>1</v>
      </c>
      <c r="E68" s="25" t="s">
        <v>43</v>
      </c>
      <c r="F68" s="25" t="s">
        <v>302</v>
      </c>
      <c r="G68" s="23" t="s">
        <v>27</v>
      </c>
      <c r="H68" s="23" t="s">
        <v>151</v>
      </c>
      <c r="I68" s="25">
        <v>1972</v>
      </c>
      <c r="J68" s="35">
        <v>30</v>
      </c>
      <c r="K68" s="35">
        <v>40</v>
      </c>
      <c r="L68" s="35">
        <v>20</v>
      </c>
      <c r="M68" s="25">
        <v>6</v>
      </c>
      <c r="R68" s="30">
        <f t="shared" si="66"/>
        <v>6</v>
      </c>
      <c r="S68" s="37">
        <v>0.7</v>
      </c>
      <c r="T68" s="30">
        <f t="shared" si="67"/>
        <v>10.1616</v>
      </c>
      <c r="U68" s="37">
        <v>0.7</v>
      </c>
      <c r="V68" s="30">
        <f t="shared" si="68"/>
        <v>14.600533333333333</v>
      </c>
      <c r="W68" s="25">
        <v>80</v>
      </c>
      <c r="X68" s="31">
        <f t="shared" si="69"/>
        <v>191.76000000000002</v>
      </c>
      <c r="Y68" s="25">
        <v>141</v>
      </c>
      <c r="Z68" s="25">
        <v>9</v>
      </c>
      <c r="AA68" s="25">
        <v>53</v>
      </c>
      <c r="AB68" s="37">
        <v>1.1000000000000001</v>
      </c>
      <c r="AC68" s="30">
        <f t="shared" si="70"/>
        <v>110.00000000000001</v>
      </c>
      <c r="AD68" s="31">
        <f t="shared" si="71"/>
        <v>1</v>
      </c>
      <c r="AE68" s="31">
        <f t="shared" si="72"/>
        <v>8</v>
      </c>
      <c r="AF68" s="31" t="str">
        <f t="shared" si="73"/>
        <v/>
      </c>
      <c r="AG68" s="31" t="str">
        <f t="shared" si="74"/>
        <v/>
      </c>
      <c r="AH68" s="31" t="str">
        <f t="shared" si="75"/>
        <v/>
      </c>
      <c r="AI68" s="31" t="str">
        <f t="shared" si="76"/>
        <v/>
      </c>
      <c r="AJ68" s="25">
        <v>9</v>
      </c>
      <c r="AK68" s="25">
        <v>0</v>
      </c>
      <c r="AL68" s="25">
        <v>0</v>
      </c>
      <c r="AM68" s="23" t="s">
        <v>206</v>
      </c>
      <c r="AN68" s="23" t="s">
        <v>92</v>
      </c>
      <c r="AO68" s="25">
        <v>255</v>
      </c>
      <c r="AR68" s="32" t="str">
        <f t="shared" si="77"/>
        <v>1 door</v>
      </c>
      <c r="AT68" s="23" t="s">
        <v>48</v>
      </c>
      <c r="AU68" s="23" t="str">
        <f t="shared" si="78"/>
        <v>CC</v>
      </c>
      <c r="AV68" s="34">
        <f t="shared" si="79"/>
        <v>1220.02</v>
      </c>
      <c r="AW68" s="23">
        <v>12</v>
      </c>
      <c r="AX68" s="23">
        <v>20</v>
      </c>
      <c r="AY68" s="23">
        <v>2</v>
      </c>
    </row>
    <row r="69" spans="1:51">
      <c r="A69" s="25">
        <v>255</v>
      </c>
      <c r="D69" s="23">
        <v>1</v>
      </c>
      <c r="E69" s="25" t="s">
        <v>284</v>
      </c>
      <c r="F69" s="25" t="s">
        <v>316</v>
      </c>
      <c r="G69" s="23" t="s">
        <v>27</v>
      </c>
      <c r="H69" s="23" t="s">
        <v>151</v>
      </c>
      <c r="I69" s="25">
        <v>1972</v>
      </c>
      <c r="J69" s="35">
        <v>30</v>
      </c>
      <c r="K69" s="35">
        <v>40</v>
      </c>
      <c r="L69" s="35">
        <v>20</v>
      </c>
      <c r="M69" s="25">
        <v>6</v>
      </c>
      <c r="R69" s="30">
        <f t="shared" si="66"/>
        <v>6</v>
      </c>
      <c r="S69" s="37">
        <v>0.7</v>
      </c>
      <c r="T69" s="30">
        <f t="shared" si="67"/>
        <v>10.1616</v>
      </c>
      <c r="U69" s="37">
        <v>0.7</v>
      </c>
      <c r="V69" s="30">
        <f t="shared" si="68"/>
        <v>14.600533333333333</v>
      </c>
      <c r="W69" s="25">
        <v>80</v>
      </c>
      <c r="X69" s="31">
        <f t="shared" si="69"/>
        <v>191.76000000000002</v>
      </c>
      <c r="Y69" s="25">
        <v>141</v>
      </c>
      <c r="Z69" s="25">
        <v>9</v>
      </c>
      <c r="AA69" s="25">
        <v>53</v>
      </c>
      <c r="AB69" s="37">
        <v>1.1000000000000001</v>
      </c>
      <c r="AC69" s="30">
        <f t="shared" si="70"/>
        <v>110.00000000000001</v>
      </c>
      <c r="AD69" s="31">
        <f t="shared" si="71"/>
        <v>1</v>
      </c>
      <c r="AE69" s="31">
        <f t="shared" si="72"/>
        <v>8</v>
      </c>
      <c r="AF69" s="31" t="str">
        <f t="shared" si="73"/>
        <v/>
      </c>
      <c r="AG69" s="31" t="str">
        <f t="shared" si="74"/>
        <v/>
      </c>
      <c r="AH69" s="31" t="str">
        <f t="shared" si="75"/>
        <v/>
      </c>
      <c r="AI69" s="31" t="str">
        <f t="shared" si="76"/>
        <v/>
      </c>
      <c r="AJ69" s="25">
        <v>9</v>
      </c>
      <c r="AK69" s="25">
        <v>0</v>
      </c>
      <c r="AL69" s="25">
        <v>0</v>
      </c>
      <c r="AM69" s="23" t="s">
        <v>206</v>
      </c>
      <c r="AN69" s="23" t="s">
        <v>92</v>
      </c>
      <c r="AO69" s="25">
        <v>255</v>
      </c>
      <c r="AR69" s="32" t="str">
        <f t="shared" si="77"/>
        <v>1 door</v>
      </c>
      <c r="AT69" s="23" t="s">
        <v>48</v>
      </c>
      <c r="AU69" s="23" t="str">
        <f t="shared" si="78"/>
        <v>CC</v>
      </c>
      <c r="AV69" s="34">
        <f t="shared" si="79"/>
        <v>1220.03</v>
      </c>
      <c r="AW69" s="23">
        <v>12</v>
      </c>
      <c r="AX69" s="23">
        <v>20</v>
      </c>
      <c r="AY69" s="23">
        <v>3</v>
      </c>
    </row>
    <row r="70" spans="1:51">
      <c r="A70" s="25">
        <v>255</v>
      </c>
      <c r="D70" s="23">
        <v>1</v>
      </c>
      <c r="E70" s="25" t="s">
        <v>285</v>
      </c>
      <c r="F70" s="25" t="s">
        <v>303</v>
      </c>
      <c r="G70" s="23" t="s">
        <v>27</v>
      </c>
      <c r="H70" s="23" t="s">
        <v>151</v>
      </c>
      <c r="I70" s="25">
        <v>1972</v>
      </c>
      <c r="J70" s="35">
        <v>30</v>
      </c>
      <c r="K70" s="35">
        <v>40</v>
      </c>
      <c r="L70" s="35">
        <v>20</v>
      </c>
      <c r="M70" s="25">
        <v>6</v>
      </c>
      <c r="R70" s="30">
        <f t="shared" si="66"/>
        <v>6</v>
      </c>
      <c r="S70" s="37">
        <v>0.7</v>
      </c>
      <c r="T70" s="30">
        <f t="shared" si="67"/>
        <v>10.1616</v>
      </c>
      <c r="U70" s="37">
        <v>0.7</v>
      </c>
      <c r="V70" s="30">
        <f t="shared" si="68"/>
        <v>14.600533333333333</v>
      </c>
      <c r="W70" s="25">
        <v>80</v>
      </c>
      <c r="X70" s="31">
        <f t="shared" si="69"/>
        <v>191.76000000000002</v>
      </c>
      <c r="Y70" s="25">
        <v>141</v>
      </c>
      <c r="Z70" s="25">
        <v>9</v>
      </c>
      <c r="AA70" s="25">
        <v>53</v>
      </c>
      <c r="AB70" s="37">
        <v>1.1000000000000001</v>
      </c>
      <c r="AC70" s="30">
        <f t="shared" si="70"/>
        <v>110.00000000000001</v>
      </c>
      <c r="AD70" s="31">
        <f t="shared" si="71"/>
        <v>1</v>
      </c>
      <c r="AE70" s="31">
        <f t="shared" si="72"/>
        <v>8</v>
      </c>
      <c r="AF70" s="31" t="str">
        <f t="shared" si="73"/>
        <v/>
      </c>
      <c r="AG70" s="31" t="str">
        <f t="shared" si="74"/>
        <v/>
      </c>
      <c r="AH70" s="31" t="str">
        <f t="shared" si="75"/>
        <v/>
      </c>
      <c r="AI70" s="31" t="str">
        <f t="shared" si="76"/>
        <v/>
      </c>
      <c r="AJ70" s="25">
        <v>9</v>
      </c>
      <c r="AK70" s="25">
        <v>0</v>
      </c>
      <c r="AL70" s="25">
        <v>0</v>
      </c>
      <c r="AM70" s="23" t="s">
        <v>206</v>
      </c>
      <c r="AN70" s="23" t="s">
        <v>92</v>
      </c>
      <c r="AO70" s="25">
        <v>255</v>
      </c>
      <c r="AR70" s="32" t="str">
        <f t="shared" si="77"/>
        <v>1 door</v>
      </c>
      <c r="AT70" s="23" t="s">
        <v>48</v>
      </c>
      <c r="AU70" s="23" t="str">
        <f t="shared" si="78"/>
        <v>CC</v>
      </c>
      <c r="AV70" s="34">
        <f t="shared" si="79"/>
        <v>1220.04</v>
      </c>
      <c r="AW70" s="23">
        <v>12</v>
      </c>
      <c r="AX70" s="23">
        <v>20</v>
      </c>
      <c r="AY70" s="23">
        <v>4</v>
      </c>
    </row>
    <row r="71" spans="1:51">
      <c r="A71" s="25">
        <v>255</v>
      </c>
      <c r="D71" s="23">
        <v>1</v>
      </c>
      <c r="E71" s="25" t="s">
        <v>286</v>
      </c>
      <c r="F71" s="25" t="s">
        <v>308</v>
      </c>
      <c r="G71" s="23" t="s">
        <v>27</v>
      </c>
      <c r="H71" s="23" t="s">
        <v>151</v>
      </c>
      <c r="I71" s="25">
        <v>1972</v>
      </c>
      <c r="J71" s="35">
        <v>30</v>
      </c>
      <c r="K71" s="35">
        <v>40</v>
      </c>
      <c r="L71" s="35">
        <v>20</v>
      </c>
      <c r="M71" s="25">
        <v>6</v>
      </c>
      <c r="R71" s="30">
        <f t="shared" si="66"/>
        <v>6</v>
      </c>
      <c r="S71" s="37">
        <v>0.7</v>
      </c>
      <c r="T71" s="30">
        <f t="shared" si="67"/>
        <v>10.1616</v>
      </c>
      <c r="U71" s="37">
        <v>0.7</v>
      </c>
      <c r="V71" s="30">
        <f t="shared" si="68"/>
        <v>14.600533333333333</v>
      </c>
      <c r="W71" s="25">
        <v>80</v>
      </c>
      <c r="X71" s="31">
        <f t="shared" si="69"/>
        <v>191.76000000000002</v>
      </c>
      <c r="Y71" s="25">
        <v>141</v>
      </c>
      <c r="Z71" s="25">
        <v>9</v>
      </c>
      <c r="AA71" s="25">
        <v>53</v>
      </c>
      <c r="AB71" s="37">
        <v>1.1000000000000001</v>
      </c>
      <c r="AC71" s="30">
        <f t="shared" si="70"/>
        <v>110.00000000000001</v>
      </c>
      <c r="AD71" s="31">
        <f t="shared" si="71"/>
        <v>1</v>
      </c>
      <c r="AE71" s="31">
        <f t="shared" si="72"/>
        <v>8</v>
      </c>
      <c r="AF71" s="31" t="str">
        <f t="shared" si="73"/>
        <v/>
      </c>
      <c r="AG71" s="31" t="str">
        <f t="shared" si="74"/>
        <v/>
      </c>
      <c r="AH71" s="31" t="str">
        <f t="shared" si="75"/>
        <v/>
      </c>
      <c r="AI71" s="31" t="str">
        <f t="shared" si="76"/>
        <v/>
      </c>
      <c r="AJ71" s="25">
        <v>9</v>
      </c>
      <c r="AK71" s="25">
        <v>0</v>
      </c>
      <c r="AL71" s="25">
        <v>0</v>
      </c>
      <c r="AM71" s="23" t="s">
        <v>206</v>
      </c>
      <c r="AN71" s="23" t="s">
        <v>92</v>
      </c>
      <c r="AO71" s="25">
        <v>255</v>
      </c>
      <c r="AR71" s="32" t="str">
        <f t="shared" si="77"/>
        <v>1 door</v>
      </c>
      <c r="AT71" s="23" t="s">
        <v>48</v>
      </c>
      <c r="AU71" s="23" t="str">
        <f t="shared" si="78"/>
        <v>CC</v>
      </c>
      <c r="AV71" s="34">
        <f t="shared" si="79"/>
        <v>1220.05</v>
      </c>
      <c r="AW71" s="23">
        <v>12</v>
      </c>
      <c r="AX71" s="23">
        <v>20</v>
      </c>
      <c r="AY71" s="23">
        <v>5</v>
      </c>
    </row>
    <row r="72" spans="1:51">
      <c r="A72" s="25">
        <v>255</v>
      </c>
      <c r="D72" s="23">
        <v>2</v>
      </c>
      <c r="E72" s="25" t="s">
        <v>30</v>
      </c>
      <c r="F72" s="25" t="s">
        <v>304</v>
      </c>
      <c r="G72" s="23" t="s">
        <v>27</v>
      </c>
      <c r="H72" s="23" t="s">
        <v>327</v>
      </c>
      <c r="I72" s="25">
        <v>1972</v>
      </c>
      <c r="J72" s="35">
        <v>30</v>
      </c>
      <c r="K72" s="35">
        <v>40</v>
      </c>
      <c r="L72" s="35">
        <v>20</v>
      </c>
      <c r="M72" s="25">
        <v>6</v>
      </c>
      <c r="N72" s="25">
        <v>4</v>
      </c>
      <c r="R72" s="30">
        <f t="shared" ref="R72" si="80">SUM(M72:Q72)</f>
        <v>10</v>
      </c>
      <c r="S72" s="37">
        <v>0.7</v>
      </c>
      <c r="T72" s="30">
        <f t="shared" ref="T72" si="81">S72*IF(OR(G72="diesel", G72="petrol"), ((Z72+(X72/10))/2)+(R72/14), IF(OR(G72="cng", G72="hybrid"), ((Z72+(X72/10))/2*1.2)+(R72/14), IF(OR(G72="hydrogen", G72="electric"), ((Z72+(X72/10))/2*1.5)+(R72/14), 0)))</f>
        <v>10.361599999999999</v>
      </c>
      <c r="U72" s="37">
        <v>0.7</v>
      </c>
      <c r="V72" s="30">
        <f t="shared" ref="V72" si="82">U72*IF(G72="petrol", ((Z72+(AA72/15)+X72)/10*1.5)+(R72/14), IF(G72="diesel", ((Z72+(AA72/15)+X72)/10)+(R72/14), IF(OR(G72="cng", G72="hybrid"), ((Z72+(AA72/15)+X72)/10*0.8)+(R72/14), IF(OR(G72="hydrogen", G72="electric"), ((Z72+(AA72/15)+X72)/10*0.5)+(R72/14), 0))))</f>
        <v>14.777200000000001</v>
      </c>
      <c r="W72" s="25">
        <v>80</v>
      </c>
      <c r="X72" s="31">
        <f t="shared" ref="X72" si="83">Y72*1.36</f>
        <v>191.76000000000002</v>
      </c>
      <c r="Y72" s="25">
        <v>141</v>
      </c>
      <c r="Z72" s="25">
        <v>9</v>
      </c>
      <c r="AA72" s="25">
        <v>48</v>
      </c>
      <c r="AB72" s="37">
        <v>1.1000000000000001</v>
      </c>
      <c r="AC72" s="30">
        <f t="shared" si="70"/>
        <v>110.00000000000001</v>
      </c>
      <c r="AD72" s="31">
        <f t="shared" ref="AD72" si="84">IF(AJ72&gt;8, AJ72-8, AJ72)</f>
        <v>1</v>
      </c>
      <c r="AE72" s="31">
        <f t="shared" ref="AE72" si="85">IF(AJ72&gt;8, 8, "")</f>
        <v>8</v>
      </c>
      <c r="AF72" s="31" t="str">
        <f t="shared" ref="AF72" si="86">IF(AK72&gt;8, AK72-8, IF(AK72=0, "", AK72))</f>
        <v/>
      </c>
      <c r="AG72" s="31" t="str">
        <f t="shared" ref="AG72" si="87">IF(AK72&gt;8, 8, "")</f>
        <v/>
      </c>
      <c r="AH72" s="31" t="str">
        <f t="shared" ref="AH72" si="88">IF(AL72&gt;8, AL72-8, IF(AL72=0, "", AL72))</f>
        <v/>
      </c>
      <c r="AI72" s="31" t="str">
        <f t="shared" ref="AI72" si="89">IF(AL72&gt;8, 8, "")</f>
        <v/>
      </c>
      <c r="AJ72" s="25">
        <v>9</v>
      </c>
      <c r="AK72" s="25">
        <v>0</v>
      </c>
      <c r="AL72" s="25">
        <v>0</v>
      </c>
      <c r="AM72" s="23" t="s">
        <v>206</v>
      </c>
      <c r="AN72" s="23" t="s">
        <v>92</v>
      </c>
      <c r="AO72" s="25">
        <v>255</v>
      </c>
      <c r="AR72" s="32" t="str">
        <f t="shared" ref="AR72" si="90">IF(Q72&gt;0, "5 doors", IF(P72&gt;0, "4 doors", IF(O72&gt;0, "3 doors", IF(N72&gt;0, "2 doors", "1 door"))))</f>
        <v>2 doors</v>
      </c>
      <c r="AT72" s="23" t="s">
        <v>48</v>
      </c>
      <c r="AU72" s="23" t="str">
        <f t="shared" ref="AU72" si="91">IF(ISNUMBER(SEARCH("CC", E72)), "CC", "Hungary")</f>
        <v>CC</v>
      </c>
      <c r="AV72" s="34">
        <f t="shared" ref="AV72" si="92">(AW72*100)+AX72+(AY72/100)</f>
        <v>1221</v>
      </c>
      <c r="AW72" s="23">
        <v>12</v>
      </c>
      <c r="AX72" s="23">
        <v>21</v>
      </c>
      <c r="AY72" s="23">
        <v>0</v>
      </c>
    </row>
    <row r="73" spans="1:51">
      <c r="A73" s="25">
        <v>255</v>
      </c>
      <c r="D73" s="23">
        <v>2</v>
      </c>
      <c r="E73" s="25" t="s">
        <v>42</v>
      </c>
      <c r="F73" s="25" t="s">
        <v>314</v>
      </c>
      <c r="G73" s="23" t="s">
        <v>27</v>
      </c>
      <c r="H73" s="23" t="s">
        <v>327</v>
      </c>
      <c r="I73" s="25">
        <v>1972</v>
      </c>
      <c r="J73" s="35">
        <v>30</v>
      </c>
      <c r="K73" s="35">
        <v>40</v>
      </c>
      <c r="L73" s="35">
        <v>20</v>
      </c>
      <c r="M73" s="25">
        <v>6</v>
      </c>
      <c r="N73" s="25">
        <v>4</v>
      </c>
      <c r="R73" s="30">
        <f t="shared" ref="R73:R77" si="93">SUM(M73:Q73)</f>
        <v>10</v>
      </c>
      <c r="S73" s="37">
        <v>0.7</v>
      </c>
      <c r="T73" s="30">
        <f t="shared" ref="T73:T77" si="94">S73*IF(OR(G73="diesel", G73="petrol"), ((Z73+(X73/10))/2)+(R73/14), IF(OR(G73="cng", G73="hybrid"), ((Z73+(X73/10))/2*1.2)+(R73/14), IF(OR(G73="hydrogen", G73="electric"), ((Z73+(X73/10))/2*1.5)+(R73/14), 0)))</f>
        <v>10.361599999999999</v>
      </c>
      <c r="U73" s="37">
        <v>0.7</v>
      </c>
      <c r="V73" s="30">
        <f t="shared" ref="V73:V77" si="95">U73*IF(G73="petrol", ((Z73+(AA73/15)+X73)/10*1.5)+(R73/14), IF(G73="diesel", ((Z73+(AA73/15)+X73)/10)+(R73/14), IF(OR(G73="cng", G73="hybrid"), ((Z73+(AA73/15)+X73)/10*0.8)+(R73/14), IF(OR(G73="hydrogen", G73="electric"), ((Z73+(AA73/15)+X73)/10*0.5)+(R73/14), 0))))</f>
        <v>14.777200000000001</v>
      </c>
      <c r="W73" s="25">
        <v>80</v>
      </c>
      <c r="X73" s="31">
        <f t="shared" ref="X73:X77" si="96">Y73*1.36</f>
        <v>191.76000000000002</v>
      </c>
      <c r="Y73" s="25">
        <v>141</v>
      </c>
      <c r="Z73" s="25">
        <v>9</v>
      </c>
      <c r="AA73" s="25">
        <v>48</v>
      </c>
      <c r="AB73" s="37">
        <v>1.1000000000000001</v>
      </c>
      <c r="AC73" s="30">
        <f t="shared" si="70"/>
        <v>110.00000000000001</v>
      </c>
      <c r="AD73" s="31">
        <f t="shared" ref="AD73:AD77" si="97">IF(AJ73&gt;8, AJ73-8, AJ73)</f>
        <v>1</v>
      </c>
      <c r="AE73" s="31">
        <f t="shared" ref="AE73:AE77" si="98">IF(AJ73&gt;8, 8, "")</f>
        <v>8</v>
      </c>
      <c r="AF73" s="31" t="str">
        <f t="shared" ref="AF73:AF77" si="99">IF(AK73&gt;8, AK73-8, IF(AK73=0, "", AK73))</f>
        <v/>
      </c>
      <c r="AG73" s="31" t="str">
        <f t="shared" ref="AG73:AG77" si="100">IF(AK73&gt;8, 8, "")</f>
        <v/>
      </c>
      <c r="AH73" s="31" t="str">
        <f t="shared" ref="AH73:AH77" si="101">IF(AL73&gt;8, AL73-8, IF(AL73=0, "", AL73))</f>
        <v/>
      </c>
      <c r="AI73" s="31" t="str">
        <f t="shared" ref="AI73:AI77" si="102">IF(AL73&gt;8, 8, "")</f>
        <v/>
      </c>
      <c r="AJ73" s="25">
        <v>9</v>
      </c>
      <c r="AK73" s="25">
        <v>0</v>
      </c>
      <c r="AL73" s="25">
        <v>0</v>
      </c>
      <c r="AM73" s="23" t="s">
        <v>206</v>
      </c>
      <c r="AN73" s="23" t="s">
        <v>92</v>
      </c>
      <c r="AO73" s="25">
        <v>255</v>
      </c>
      <c r="AR73" s="32" t="str">
        <f t="shared" ref="AR73:AR77" si="103">IF(Q73&gt;0, "5 doors", IF(P73&gt;0, "4 doors", IF(O73&gt;0, "3 doors", IF(N73&gt;0, "2 doors", "1 door"))))</f>
        <v>2 doors</v>
      </c>
      <c r="AT73" s="23" t="s">
        <v>48</v>
      </c>
      <c r="AU73" s="23" t="str">
        <f t="shared" ref="AU73:AU77" si="104">IF(ISNUMBER(SEARCH("CC", E73)), "CC", "Hungary")</f>
        <v>CC</v>
      </c>
      <c r="AV73" s="34">
        <f t="shared" ref="AV73:AV77" si="105">(AW73*100)+AX73+(AY73/100)</f>
        <v>1221.01</v>
      </c>
      <c r="AW73" s="23">
        <v>12</v>
      </c>
      <c r="AX73" s="23">
        <v>21</v>
      </c>
      <c r="AY73" s="23">
        <v>1</v>
      </c>
    </row>
    <row r="74" spans="1:51">
      <c r="A74" s="25">
        <v>255</v>
      </c>
      <c r="D74" s="23">
        <v>2</v>
      </c>
      <c r="E74" s="25" t="s">
        <v>43</v>
      </c>
      <c r="F74" s="25" t="s">
        <v>302</v>
      </c>
      <c r="G74" s="23" t="s">
        <v>27</v>
      </c>
      <c r="H74" s="23" t="s">
        <v>327</v>
      </c>
      <c r="I74" s="25">
        <v>1972</v>
      </c>
      <c r="J74" s="35">
        <v>30</v>
      </c>
      <c r="K74" s="35">
        <v>40</v>
      </c>
      <c r="L74" s="35">
        <v>20</v>
      </c>
      <c r="M74" s="25">
        <v>6</v>
      </c>
      <c r="N74" s="25">
        <v>4</v>
      </c>
      <c r="R74" s="30">
        <f t="shared" si="93"/>
        <v>10</v>
      </c>
      <c r="S74" s="37">
        <v>0.7</v>
      </c>
      <c r="T74" s="30">
        <f t="shared" si="94"/>
        <v>10.361599999999999</v>
      </c>
      <c r="U74" s="37">
        <v>0.7</v>
      </c>
      <c r="V74" s="30">
        <f t="shared" si="95"/>
        <v>14.777200000000001</v>
      </c>
      <c r="W74" s="25">
        <v>80</v>
      </c>
      <c r="X74" s="31">
        <f t="shared" si="96"/>
        <v>191.76000000000002</v>
      </c>
      <c r="Y74" s="25">
        <v>141</v>
      </c>
      <c r="Z74" s="25">
        <v>9</v>
      </c>
      <c r="AA74" s="25">
        <v>48</v>
      </c>
      <c r="AB74" s="37">
        <v>1.1000000000000001</v>
      </c>
      <c r="AC74" s="30">
        <f t="shared" si="70"/>
        <v>110.00000000000001</v>
      </c>
      <c r="AD74" s="31">
        <f t="shared" si="97"/>
        <v>1</v>
      </c>
      <c r="AE74" s="31">
        <f t="shared" si="98"/>
        <v>8</v>
      </c>
      <c r="AF74" s="31" t="str">
        <f t="shared" si="99"/>
        <v/>
      </c>
      <c r="AG74" s="31" t="str">
        <f t="shared" si="100"/>
        <v/>
      </c>
      <c r="AH74" s="31" t="str">
        <f t="shared" si="101"/>
        <v/>
      </c>
      <c r="AI74" s="31" t="str">
        <f t="shared" si="102"/>
        <v/>
      </c>
      <c r="AJ74" s="25">
        <v>9</v>
      </c>
      <c r="AK74" s="25">
        <v>0</v>
      </c>
      <c r="AL74" s="25">
        <v>0</v>
      </c>
      <c r="AM74" s="23" t="s">
        <v>206</v>
      </c>
      <c r="AN74" s="23" t="s">
        <v>92</v>
      </c>
      <c r="AO74" s="25">
        <v>255</v>
      </c>
      <c r="AR74" s="32" t="str">
        <f t="shared" si="103"/>
        <v>2 doors</v>
      </c>
      <c r="AT74" s="23" t="s">
        <v>48</v>
      </c>
      <c r="AU74" s="23" t="str">
        <f t="shared" si="104"/>
        <v>CC</v>
      </c>
      <c r="AV74" s="34">
        <f t="shared" si="105"/>
        <v>1221.02</v>
      </c>
      <c r="AW74" s="23">
        <v>12</v>
      </c>
      <c r="AX74" s="23">
        <v>21</v>
      </c>
      <c r="AY74" s="23">
        <v>2</v>
      </c>
    </row>
    <row r="75" spans="1:51">
      <c r="A75" s="25">
        <v>255</v>
      </c>
      <c r="D75" s="23">
        <v>2</v>
      </c>
      <c r="E75" s="25" t="s">
        <v>284</v>
      </c>
      <c r="F75" s="25" t="s">
        <v>316</v>
      </c>
      <c r="G75" s="23" t="s">
        <v>27</v>
      </c>
      <c r="H75" s="23" t="s">
        <v>327</v>
      </c>
      <c r="I75" s="25">
        <v>1972</v>
      </c>
      <c r="J75" s="35">
        <v>30</v>
      </c>
      <c r="K75" s="35">
        <v>40</v>
      </c>
      <c r="L75" s="35">
        <v>20</v>
      </c>
      <c r="M75" s="25">
        <v>6</v>
      </c>
      <c r="N75" s="25">
        <v>4</v>
      </c>
      <c r="R75" s="30">
        <f t="shared" si="93"/>
        <v>10</v>
      </c>
      <c r="S75" s="37">
        <v>0.7</v>
      </c>
      <c r="T75" s="30">
        <f t="shared" si="94"/>
        <v>10.361599999999999</v>
      </c>
      <c r="U75" s="37">
        <v>0.7</v>
      </c>
      <c r="V75" s="30">
        <f t="shared" si="95"/>
        <v>14.777200000000001</v>
      </c>
      <c r="W75" s="25">
        <v>80</v>
      </c>
      <c r="X75" s="31">
        <f t="shared" si="96"/>
        <v>191.76000000000002</v>
      </c>
      <c r="Y75" s="25">
        <v>141</v>
      </c>
      <c r="Z75" s="25">
        <v>9</v>
      </c>
      <c r="AA75" s="25">
        <v>48</v>
      </c>
      <c r="AB75" s="37">
        <v>1.1000000000000001</v>
      </c>
      <c r="AC75" s="30">
        <f t="shared" si="70"/>
        <v>110.00000000000001</v>
      </c>
      <c r="AD75" s="31">
        <f t="shared" si="97"/>
        <v>1</v>
      </c>
      <c r="AE75" s="31">
        <f t="shared" si="98"/>
        <v>8</v>
      </c>
      <c r="AF75" s="31" t="str">
        <f t="shared" si="99"/>
        <v/>
      </c>
      <c r="AG75" s="31" t="str">
        <f t="shared" si="100"/>
        <v/>
      </c>
      <c r="AH75" s="31" t="str">
        <f t="shared" si="101"/>
        <v/>
      </c>
      <c r="AI75" s="31" t="str">
        <f t="shared" si="102"/>
        <v/>
      </c>
      <c r="AJ75" s="25">
        <v>9</v>
      </c>
      <c r="AK75" s="25">
        <v>0</v>
      </c>
      <c r="AL75" s="25">
        <v>0</v>
      </c>
      <c r="AM75" s="23" t="s">
        <v>206</v>
      </c>
      <c r="AN75" s="23" t="s">
        <v>92</v>
      </c>
      <c r="AO75" s="25">
        <v>255</v>
      </c>
      <c r="AR75" s="32" t="str">
        <f t="shared" si="103"/>
        <v>2 doors</v>
      </c>
      <c r="AT75" s="23" t="s">
        <v>48</v>
      </c>
      <c r="AU75" s="23" t="str">
        <f t="shared" si="104"/>
        <v>CC</v>
      </c>
      <c r="AV75" s="34">
        <f t="shared" si="105"/>
        <v>1221.03</v>
      </c>
      <c r="AW75" s="23">
        <v>12</v>
      </c>
      <c r="AX75" s="23">
        <v>21</v>
      </c>
      <c r="AY75" s="23">
        <v>3</v>
      </c>
    </row>
    <row r="76" spans="1:51">
      <c r="A76" s="25">
        <v>255</v>
      </c>
      <c r="D76" s="23">
        <v>2</v>
      </c>
      <c r="E76" s="25" t="s">
        <v>285</v>
      </c>
      <c r="F76" s="25" t="s">
        <v>303</v>
      </c>
      <c r="G76" s="23" t="s">
        <v>27</v>
      </c>
      <c r="H76" s="23" t="s">
        <v>327</v>
      </c>
      <c r="I76" s="25">
        <v>1972</v>
      </c>
      <c r="J76" s="35">
        <v>30</v>
      </c>
      <c r="K76" s="35">
        <v>40</v>
      </c>
      <c r="L76" s="35">
        <v>20</v>
      </c>
      <c r="M76" s="25">
        <v>6</v>
      </c>
      <c r="N76" s="25">
        <v>4</v>
      </c>
      <c r="R76" s="30">
        <f t="shared" si="93"/>
        <v>10</v>
      </c>
      <c r="S76" s="37">
        <v>0.7</v>
      </c>
      <c r="T76" s="30">
        <f t="shared" si="94"/>
        <v>10.361599999999999</v>
      </c>
      <c r="U76" s="37">
        <v>0.7</v>
      </c>
      <c r="V76" s="30">
        <f t="shared" si="95"/>
        <v>14.777200000000001</v>
      </c>
      <c r="W76" s="25">
        <v>80</v>
      </c>
      <c r="X76" s="31">
        <f t="shared" si="96"/>
        <v>191.76000000000002</v>
      </c>
      <c r="Y76" s="25">
        <v>141</v>
      </c>
      <c r="Z76" s="25">
        <v>9</v>
      </c>
      <c r="AA76" s="25">
        <v>48</v>
      </c>
      <c r="AB76" s="37">
        <v>1.1000000000000001</v>
      </c>
      <c r="AC76" s="30">
        <f t="shared" si="70"/>
        <v>110.00000000000001</v>
      </c>
      <c r="AD76" s="31">
        <f t="shared" si="97"/>
        <v>1</v>
      </c>
      <c r="AE76" s="31">
        <f t="shared" si="98"/>
        <v>8</v>
      </c>
      <c r="AF76" s="31" t="str">
        <f t="shared" si="99"/>
        <v/>
      </c>
      <c r="AG76" s="31" t="str">
        <f t="shared" si="100"/>
        <v/>
      </c>
      <c r="AH76" s="31" t="str">
        <f t="shared" si="101"/>
        <v/>
      </c>
      <c r="AI76" s="31" t="str">
        <f t="shared" si="102"/>
        <v/>
      </c>
      <c r="AJ76" s="25">
        <v>9</v>
      </c>
      <c r="AK76" s="25">
        <v>0</v>
      </c>
      <c r="AL76" s="25">
        <v>0</v>
      </c>
      <c r="AM76" s="23" t="s">
        <v>206</v>
      </c>
      <c r="AN76" s="23" t="s">
        <v>92</v>
      </c>
      <c r="AO76" s="25">
        <v>255</v>
      </c>
      <c r="AR76" s="32" t="str">
        <f t="shared" si="103"/>
        <v>2 doors</v>
      </c>
      <c r="AT76" s="23" t="s">
        <v>48</v>
      </c>
      <c r="AU76" s="23" t="str">
        <f t="shared" si="104"/>
        <v>CC</v>
      </c>
      <c r="AV76" s="34">
        <f t="shared" si="105"/>
        <v>1221.04</v>
      </c>
      <c r="AW76" s="23">
        <v>12</v>
      </c>
      <c r="AX76" s="23">
        <v>21</v>
      </c>
      <c r="AY76" s="23">
        <v>4</v>
      </c>
    </row>
    <row r="77" spans="1:51">
      <c r="A77" s="25">
        <v>255</v>
      </c>
      <c r="D77" s="23">
        <v>2</v>
      </c>
      <c r="E77" s="25" t="s">
        <v>286</v>
      </c>
      <c r="F77" s="25" t="s">
        <v>308</v>
      </c>
      <c r="G77" s="23" t="s">
        <v>27</v>
      </c>
      <c r="H77" s="23" t="s">
        <v>327</v>
      </c>
      <c r="I77" s="25">
        <v>1972</v>
      </c>
      <c r="J77" s="35">
        <v>30</v>
      </c>
      <c r="K77" s="35">
        <v>40</v>
      </c>
      <c r="L77" s="35">
        <v>20</v>
      </c>
      <c r="M77" s="25">
        <v>6</v>
      </c>
      <c r="N77" s="25">
        <v>4</v>
      </c>
      <c r="R77" s="30">
        <f t="shared" si="93"/>
        <v>10</v>
      </c>
      <c r="S77" s="37">
        <v>0.7</v>
      </c>
      <c r="T77" s="30">
        <f t="shared" si="94"/>
        <v>10.361599999999999</v>
      </c>
      <c r="U77" s="37">
        <v>0.7</v>
      </c>
      <c r="V77" s="30">
        <f t="shared" si="95"/>
        <v>14.777200000000001</v>
      </c>
      <c r="W77" s="25">
        <v>80</v>
      </c>
      <c r="X77" s="31">
        <f t="shared" si="96"/>
        <v>191.76000000000002</v>
      </c>
      <c r="Y77" s="25">
        <v>141</v>
      </c>
      <c r="Z77" s="25">
        <v>9</v>
      </c>
      <c r="AA77" s="25">
        <v>48</v>
      </c>
      <c r="AB77" s="37">
        <v>1.1000000000000001</v>
      </c>
      <c r="AC77" s="30">
        <f t="shared" si="70"/>
        <v>110.00000000000001</v>
      </c>
      <c r="AD77" s="31">
        <f t="shared" si="97"/>
        <v>1</v>
      </c>
      <c r="AE77" s="31">
        <f t="shared" si="98"/>
        <v>8</v>
      </c>
      <c r="AF77" s="31" t="str">
        <f t="shared" si="99"/>
        <v/>
      </c>
      <c r="AG77" s="31" t="str">
        <f t="shared" si="100"/>
        <v/>
      </c>
      <c r="AH77" s="31" t="str">
        <f t="shared" si="101"/>
        <v/>
      </c>
      <c r="AI77" s="31" t="str">
        <f t="shared" si="102"/>
        <v/>
      </c>
      <c r="AJ77" s="25">
        <v>9</v>
      </c>
      <c r="AK77" s="25">
        <v>0</v>
      </c>
      <c r="AL77" s="25">
        <v>0</v>
      </c>
      <c r="AM77" s="23" t="s">
        <v>206</v>
      </c>
      <c r="AN77" s="23" t="s">
        <v>92</v>
      </c>
      <c r="AO77" s="25">
        <v>255</v>
      </c>
      <c r="AR77" s="32" t="str">
        <f t="shared" si="103"/>
        <v>2 doors</v>
      </c>
      <c r="AT77" s="23" t="s">
        <v>48</v>
      </c>
      <c r="AU77" s="23" t="str">
        <f t="shared" si="104"/>
        <v>CC</v>
      </c>
      <c r="AV77" s="34">
        <f t="shared" si="105"/>
        <v>1221.05</v>
      </c>
      <c r="AW77" s="23">
        <v>12</v>
      </c>
      <c r="AX77" s="23">
        <v>21</v>
      </c>
      <c r="AY77" s="23">
        <v>5</v>
      </c>
    </row>
    <row r="78" spans="1:51">
      <c r="A78" s="25">
        <v>256</v>
      </c>
      <c r="C78" s="23" t="s">
        <v>123</v>
      </c>
      <c r="D78" s="23">
        <v>2</v>
      </c>
      <c r="E78" s="25" t="s">
        <v>30</v>
      </c>
      <c r="F78" s="25" t="s">
        <v>314</v>
      </c>
      <c r="G78" s="23" t="s">
        <v>27</v>
      </c>
      <c r="H78" s="23" t="s">
        <v>152</v>
      </c>
      <c r="I78" s="25">
        <v>1974</v>
      </c>
      <c r="J78" s="35">
        <v>30</v>
      </c>
      <c r="K78" s="35">
        <v>40</v>
      </c>
      <c r="L78" s="35">
        <v>20</v>
      </c>
      <c r="M78" s="25">
        <v>6</v>
      </c>
      <c r="N78" s="25">
        <v>4</v>
      </c>
      <c r="R78" s="30">
        <f t="shared" si="34"/>
        <v>10</v>
      </c>
      <c r="S78" s="37">
        <v>0.9</v>
      </c>
      <c r="T78" s="30">
        <f t="shared" si="11"/>
        <v>14.222057142857143</v>
      </c>
      <c r="U78" s="37">
        <v>0.9</v>
      </c>
      <c r="V78" s="30">
        <f t="shared" ref="V78:V170" si="106">U78*IF(G78="petrol", ((Z78+(AA78/15)+X78)/10*1.5)+(R78/14), IF(G78="diesel", ((Z78+(AA78/15)+X78)/10)+(R78/14), IF(OR(G78="cng", G78="hybrid"), ((Z78+(AA78/15)+X78)/10*0.8)+(R78/14), IF(OR(G78="hydrogen", G78="electric"), ((Z78+(AA78/15)+X78)/10*0.5)+(R78/14), 0))))</f>
        <v>19.161257142857146</v>
      </c>
      <c r="W78" s="25">
        <v>102</v>
      </c>
      <c r="X78" s="31">
        <f t="shared" si="35"/>
        <v>191.76000000000002</v>
      </c>
      <c r="Y78" s="25">
        <v>141</v>
      </c>
      <c r="Z78" s="25">
        <v>11</v>
      </c>
      <c r="AA78" s="25">
        <v>45</v>
      </c>
      <c r="AB78" s="37">
        <v>1</v>
      </c>
      <c r="AC78" s="30">
        <f t="shared" si="70"/>
        <v>100</v>
      </c>
      <c r="AD78" s="31">
        <f t="shared" si="36"/>
        <v>1</v>
      </c>
      <c r="AE78" s="31">
        <f t="shared" si="37"/>
        <v>8</v>
      </c>
      <c r="AF78" s="31" t="str">
        <f t="shared" si="38"/>
        <v/>
      </c>
      <c r="AG78" s="31" t="str">
        <f t="shared" si="39"/>
        <v/>
      </c>
      <c r="AH78" s="31" t="str">
        <f t="shared" si="40"/>
        <v/>
      </c>
      <c r="AI78" s="31" t="str">
        <f t="shared" si="41"/>
        <v/>
      </c>
      <c r="AJ78" s="25">
        <v>9</v>
      </c>
      <c r="AK78" s="25">
        <v>0</v>
      </c>
      <c r="AL78" s="25">
        <v>0</v>
      </c>
      <c r="AM78" s="23" t="s">
        <v>206</v>
      </c>
      <c r="AN78" s="23" t="s">
        <v>92</v>
      </c>
      <c r="AO78" s="25">
        <v>256</v>
      </c>
      <c r="AR78" s="32" t="str">
        <f t="shared" si="42"/>
        <v>2 doors</v>
      </c>
      <c r="AT78" s="23" t="s">
        <v>48</v>
      </c>
      <c r="AU78" s="23" t="str">
        <f t="shared" ref="AU78:AU266" si="107">IF(ISNUMBER(SEARCH("CC", E78)), "CC", "Hungary")</f>
        <v>CC</v>
      </c>
      <c r="AV78" s="34">
        <f t="shared" si="43"/>
        <v>1300</v>
      </c>
      <c r="AW78" s="23">
        <v>13</v>
      </c>
      <c r="AX78" s="23">
        <v>0</v>
      </c>
      <c r="AY78" s="23">
        <v>0</v>
      </c>
    </row>
    <row r="79" spans="1:51">
      <c r="A79" s="25">
        <v>256</v>
      </c>
      <c r="C79" s="23" t="s">
        <v>123</v>
      </c>
      <c r="D79" s="23">
        <v>2</v>
      </c>
      <c r="E79" s="25" t="s">
        <v>42</v>
      </c>
      <c r="F79" s="25" t="s">
        <v>304</v>
      </c>
      <c r="G79" s="23" t="s">
        <v>27</v>
      </c>
      <c r="H79" s="23" t="s">
        <v>152</v>
      </c>
      <c r="I79" s="25">
        <v>1974</v>
      </c>
      <c r="J79" s="35">
        <v>30</v>
      </c>
      <c r="K79" s="35">
        <v>40</v>
      </c>
      <c r="L79" s="35">
        <v>20</v>
      </c>
      <c r="M79" s="25">
        <v>6</v>
      </c>
      <c r="N79" s="25">
        <v>4</v>
      </c>
      <c r="R79" s="30">
        <f t="shared" ref="R79:R83" si="108">SUM(M79:Q79)</f>
        <v>10</v>
      </c>
      <c r="S79" s="37">
        <v>0.9</v>
      </c>
      <c r="T79" s="30">
        <f t="shared" ref="T79:T83" si="109">S79*IF(OR(G79="diesel", G79="petrol"), ((Z79+(X79/10))/2)+(R79/14), IF(OR(G79="cng", G79="hybrid"), ((Z79+(X79/10))/2*1.2)+(R79/14), IF(OR(G79="hydrogen", G79="electric"), ((Z79+(X79/10))/2*1.5)+(R79/14), 0)))</f>
        <v>14.222057142857143</v>
      </c>
      <c r="U79" s="37">
        <v>0.9</v>
      </c>
      <c r="V79" s="30">
        <f t="shared" ref="V79:V83" si="110">U79*IF(G79="petrol", ((Z79+(AA79/15)+X79)/10*1.5)+(R79/14), IF(G79="diesel", ((Z79+(AA79/15)+X79)/10)+(R79/14), IF(OR(G79="cng", G79="hybrid"), ((Z79+(AA79/15)+X79)/10*0.8)+(R79/14), IF(OR(G79="hydrogen", G79="electric"), ((Z79+(AA79/15)+X79)/10*0.5)+(R79/14), 0))))</f>
        <v>19.161257142857146</v>
      </c>
      <c r="W79" s="25">
        <v>102</v>
      </c>
      <c r="X79" s="31">
        <f t="shared" ref="X79:X83" si="111">Y79*1.36</f>
        <v>191.76000000000002</v>
      </c>
      <c r="Y79" s="25">
        <v>141</v>
      </c>
      <c r="Z79" s="25">
        <v>11</v>
      </c>
      <c r="AA79" s="25">
        <v>45</v>
      </c>
      <c r="AB79" s="37">
        <v>1</v>
      </c>
      <c r="AC79" s="30">
        <f t="shared" ref="AC79:AC83" si="112">AB79*IF(AT79="Regional", 185, IF(AT79="Intercity", 150, IF(AT79="Tourist", 100, 200)))</f>
        <v>100</v>
      </c>
      <c r="AD79" s="31">
        <f t="shared" ref="AD79:AD83" si="113">IF(AJ79&gt;8, AJ79-8, AJ79)</f>
        <v>1</v>
      </c>
      <c r="AE79" s="31">
        <f t="shared" ref="AE79:AE83" si="114">IF(AJ79&gt;8, 8, "")</f>
        <v>8</v>
      </c>
      <c r="AF79" s="31" t="str">
        <f t="shared" ref="AF79:AF83" si="115">IF(AK79&gt;8, AK79-8, IF(AK79=0, "", AK79))</f>
        <v/>
      </c>
      <c r="AG79" s="31" t="str">
        <f t="shared" ref="AG79:AG83" si="116">IF(AK79&gt;8, 8, "")</f>
        <v/>
      </c>
      <c r="AH79" s="31" t="str">
        <f t="shared" ref="AH79:AH83" si="117">IF(AL79&gt;8, AL79-8, IF(AL79=0, "", AL79))</f>
        <v/>
      </c>
      <c r="AI79" s="31" t="str">
        <f t="shared" ref="AI79:AI83" si="118">IF(AL79&gt;8, 8, "")</f>
        <v/>
      </c>
      <c r="AJ79" s="25">
        <v>9</v>
      </c>
      <c r="AK79" s="25">
        <v>0</v>
      </c>
      <c r="AL79" s="25">
        <v>0</v>
      </c>
      <c r="AM79" s="23" t="s">
        <v>206</v>
      </c>
      <c r="AN79" s="23" t="s">
        <v>92</v>
      </c>
      <c r="AO79" s="25">
        <v>256</v>
      </c>
      <c r="AR79" s="32" t="str">
        <f t="shared" ref="AR79:AR83" si="119">IF(Q79&gt;0, "5 doors", IF(P79&gt;0, "4 doors", IF(O79&gt;0, "3 doors", IF(N79&gt;0, "2 doors", "1 door"))))</f>
        <v>2 doors</v>
      </c>
      <c r="AT79" s="23" t="s">
        <v>48</v>
      </c>
      <c r="AU79" s="23" t="str">
        <f t="shared" ref="AU79:AU83" si="120">IF(ISNUMBER(SEARCH("CC", E79)), "CC", "Hungary")</f>
        <v>CC</v>
      </c>
      <c r="AV79" s="34">
        <f t="shared" ref="AV79:AV83" si="121">(AW79*100)+AX79+(AY79/100)</f>
        <v>1300.01</v>
      </c>
      <c r="AW79" s="23">
        <v>13</v>
      </c>
      <c r="AX79" s="23">
        <v>0</v>
      </c>
      <c r="AY79" s="23">
        <v>1</v>
      </c>
    </row>
    <row r="80" spans="1:51">
      <c r="A80" s="25">
        <v>256</v>
      </c>
      <c r="C80" s="23" t="s">
        <v>123</v>
      </c>
      <c r="D80" s="23">
        <v>2</v>
      </c>
      <c r="E80" s="25" t="s">
        <v>43</v>
      </c>
      <c r="F80" s="25" t="s">
        <v>302</v>
      </c>
      <c r="G80" s="23" t="s">
        <v>27</v>
      </c>
      <c r="H80" s="23" t="s">
        <v>152</v>
      </c>
      <c r="I80" s="25">
        <v>1974</v>
      </c>
      <c r="J80" s="35">
        <v>30</v>
      </c>
      <c r="K80" s="35">
        <v>40</v>
      </c>
      <c r="L80" s="35">
        <v>20</v>
      </c>
      <c r="M80" s="25">
        <v>6</v>
      </c>
      <c r="N80" s="25">
        <v>4</v>
      </c>
      <c r="R80" s="30">
        <f t="shared" si="108"/>
        <v>10</v>
      </c>
      <c r="S80" s="37">
        <v>0.9</v>
      </c>
      <c r="T80" s="30">
        <f t="shared" si="109"/>
        <v>14.222057142857143</v>
      </c>
      <c r="U80" s="37">
        <v>0.9</v>
      </c>
      <c r="V80" s="30">
        <f t="shared" si="110"/>
        <v>19.161257142857146</v>
      </c>
      <c r="W80" s="25">
        <v>102</v>
      </c>
      <c r="X80" s="31">
        <f t="shared" si="111"/>
        <v>191.76000000000002</v>
      </c>
      <c r="Y80" s="25">
        <v>141</v>
      </c>
      <c r="Z80" s="25">
        <v>11</v>
      </c>
      <c r="AA80" s="25">
        <v>45</v>
      </c>
      <c r="AB80" s="37">
        <v>1</v>
      </c>
      <c r="AC80" s="30">
        <f t="shared" si="112"/>
        <v>100</v>
      </c>
      <c r="AD80" s="31">
        <f t="shared" si="113"/>
        <v>1</v>
      </c>
      <c r="AE80" s="31">
        <f t="shared" si="114"/>
        <v>8</v>
      </c>
      <c r="AF80" s="31" t="str">
        <f t="shared" si="115"/>
        <v/>
      </c>
      <c r="AG80" s="31" t="str">
        <f t="shared" si="116"/>
        <v/>
      </c>
      <c r="AH80" s="31" t="str">
        <f t="shared" si="117"/>
        <v/>
      </c>
      <c r="AI80" s="31" t="str">
        <f t="shared" si="118"/>
        <v/>
      </c>
      <c r="AJ80" s="25">
        <v>9</v>
      </c>
      <c r="AK80" s="25">
        <v>0</v>
      </c>
      <c r="AL80" s="25">
        <v>0</v>
      </c>
      <c r="AM80" s="23" t="s">
        <v>206</v>
      </c>
      <c r="AN80" s="23" t="s">
        <v>92</v>
      </c>
      <c r="AO80" s="25">
        <v>256</v>
      </c>
      <c r="AR80" s="32" t="str">
        <f t="shared" si="119"/>
        <v>2 doors</v>
      </c>
      <c r="AT80" s="23" t="s">
        <v>48</v>
      </c>
      <c r="AU80" s="23" t="str">
        <f t="shared" si="120"/>
        <v>CC</v>
      </c>
      <c r="AV80" s="34">
        <f t="shared" si="121"/>
        <v>1300.02</v>
      </c>
      <c r="AW80" s="23">
        <v>13</v>
      </c>
      <c r="AX80" s="23">
        <v>0</v>
      </c>
      <c r="AY80" s="23">
        <v>2</v>
      </c>
    </row>
    <row r="81" spans="1:51">
      <c r="A81" s="25">
        <v>256</v>
      </c>
      <c r="C81" s="23" t="s">
        <v>123</v>
      </c>
      <c r="D81" s="23">
        <v>2</v>
      </c>
      <c r="E81" s="25" t="s">
        <v>284</v>
      </c>
      <c r="F81" s="25" t="s">
        <v>316</v>
      </c>
      <c r="G81" s="23" t="s">
        <v>27</v>
      </c>
      <c r="H81" s="23" t="s">
        <v>152</v>
      </c>
      <c r="I81" s="25">
        <v>1974</v>
      </c>
      <c r="J81" s="35">
        <v>30</v>
      </c>
      <c r="K81" s="35">
        <v>40</v>
      </c>
      <c r="L81" s="35">
        <v>20</v>
      </c>
      <c r="M81" s="25">
        <v>6</v>
      </c>
      <c r="N81" s="25">
        <v>4</v>
      </c>
      <c r="R81" s="30">
        <f t="shared" si="108"/>
        <v>10</v>
      </c>
      <c r="S81" s="37">
        <v>0.9</v>
      </c>
      <c r="T81" s="30">
        <f t="shared" si="109"/>
        <v>14.222057142857143</v>
      </c>
      <c r="U81" s="37">
        <v>0.9</v>
      </c>
      <c r="V81" s="30">
        <f t="shared" si="110"/>
        <v>19.161257142857146</v>
      </c>
      <c r="W81" s="25">
        <v>102</v>
      </c>
      <c r="X81" s="31">
        <f t="shared" si="111"/>
        <v>191.76000000000002</v>
      </c>
      <c r="Y81" s="25">
        <v>141</v>
      </c>
      <c r="Z81" s="25">
        <v>11</v>
      </c>
      <c r="AA81" s="25">
        <v>45</v>
      </c>
      <c r="AB81" s="37">
        <v>1</v>
      </c>
      <c r="AC81" s="30">
        <f t="shared" si="112"/>
        <v>100</v>
      </c>
      <c r="AD81" s="31">
        <f t="shared" si="113"/>
        <v>1</v>
      </c>
      <c r="AE81" s="31">
        <f t="shared" si="114"/>
        <v>8</v>
      </c>
      <c r="AF81" s="31" t="str">
        <f t="shared" si="115"/>
        <v/>
      </c>
      <c r="AG81" s="31" t="str">
        <f t="shared" si="116"/>
        <v/>
      </c>
      <c r="AH81" s="31" t="str">
        <f t="shared" si="117"/>
        <v/>
      </c>
      <c r="AI81" s="31" t="str">
        <f t="shared" si="118"/>
        <v/>
      </c>
      <c r="AJ81" s="25">
        <v>9</v>
      </c>
      <c r="AK81" s="25">
        <v>0</v>
      </c>
      <c r="AL81" s="25">
        <v>0</v>
      </c>
      <c r="AM81" s="23" t="s">
        <v>206</v>
      </c>
      <c r="AN81" s="23" t="s">
        <v>92</v>
      </c>
      <c r="AO81" s="25">
        <v>256</v>
      </c>
      <c r="AR81" s="32" t="str">
        <f t="shared" si="119"/>
        <v>2 doors</v>
      </c>
      <c r="AT81" s="23" t="s">
        <v>48</v>
      </c>
      <c r="AU81" s="23" t="str">
        <f t="shared" si="120"/>
        <v>CC</v>
      </c>
      <c r="AV81" s="34">
        <f t="shared" si="121"/>
        <v>1300.03</v>
      </c>
      <c r="AW81" s="23">
        <v>13</v>
      </c>
      <c r="AX81" s="23">
        <v>0</v>
      </c>
      <c r="AY81" s="23">
        <v>3</v>
      </c>
    </row>
    <row r="82" spans="1:51">
      <c r="A82" s="25">
        <v>256</v>
      </c>
      <c r="C82" s="23" t="s">
        <v>123</v>
      </c>
      <c r="D82" s="23">
        <v>2</v>
      </c>
      <c r="E82" s="25" t="s">
        <v>285</v>
      </c>
      <c r="F82" s="25" t="s">
        <v>303</v>
      </c>
      <c r="G82" s="23" t="s">
        <v>27</v>
      </c>
      <c r="H82" s="23" t="s">
        <v>152</v>
      </c>
      <c r="I82" s="25">
        <v>1974</v>
      </c>
      <c r="J82" s="35">
        <v>30</v>
      </c>
      <c r="K82" s="35">
        <v>40</v>
      </c>
      <c r="L82" s="35">
        <v>20</v>
      </c>
      <c r="M82" s="25">
        <v>6</v>
      </c>
      <c r="N82" s="25">
        <v>4</v>
      </c>
      <c r="R82" s="30">
        <f t="shared" si="108"/>
        <v>10</v>
      </c>
      <c r="S82" s="37">
        <v>0.9</v>
      </c>
      <c r="T82" s="30">
        <f t="shared" si="109"/>
        <v>14.222057142857143</v>
      </c>
      <c r="U82" s="37">
        <v>0.9</v>
      </c>
      <c r="V82" s="30">
        <f t="shared" si="110"/>
        <v>19.161257142857146</v>
      </c>
      <c r="W82" s="25">
        <v>102</v>
      </c>
      <c r="X82" s="31">
        <f t="shared" si="111"/>
        <v>191.76000000000002</v>
      </c>
      <c r="Y82" s="25">
        <v>141</v>
      </c>
      <c r="Z82" s="25">
        <v>11</v>
      </c>
      <c r="AA82" s="25">
        <v>45</v>
      </c>
      <c r="AB82" s="37">
        <v>1</v>
      </c>
      <c r="AC82" s="30">
        <f t="shared" si="112"/>
        <v>100</v>
      </c>
      <c r="AD82" s="31">
        <f t="shared" si="113"/>
        <v>1</v>
      </c>
      <c r="AE82" s="31">
        <f t="shared" si="114"/>
        <v>8</v>
      </c>
      <c r="AF82" s="31" t="str">
        <f t="shared" si="115"/>
        <v/>
      </c>
      <c r="AG82" s="31" t="str">
        <f t="shared" si="116"/>
        <v/>
      </c>
      <c r="AH82" s="31" t="str">
        <f t="shared" si="117"/>
        <v/>
      </c>
      <c r="AI82" s="31" t="str">
        <f t="shared" si="118"/>
        <v/>
      </c>
      <c r="AJ82" s="25">
        <v>9</v>
      </c>
      <c r="AK82" s="25">
        <v>0</v>
      </c>
      <c r="AL82" s="25">
        <v>0</v>
      </c>
      <c r="AM82" s="23" t="s">
        <v>206</v>
      </c>
      <c r="AN82" s="23" t="s">
        <v>92</v>
      </c>
      <c r="AO82" s="25">
        <v>256</v>
      </c>
      <c r="AR82" s="32" t="str">
        <f t="shared" si="119"/>
        <v>2 doors</v>
      </c>
      <c r="AT82" s="23" t="s">
        <v>48</v>
      </c>
      <c r="AU82" s="23" t="str">
        <f t="shared" si="120"/>
        <v>CC</v>
      </c>
      <c r="AV82" s="34">
        <f t="shared" si="121"/>
        <v>1300.04</v>
      </c>
      <c r="AW82" s="23">
        <v>13</v>
      </c>
      <c r="AX82" s="23">
        <v>0</v>
      </c>
      <c r="AY82" s="23">
        <v>4</v>
      </c>
    </row>
    <row r="83" spans="1:51">
      <c r="A83" s="25">
        <v>256</v>
      </c>
      <c r="C83" s="23" t="s">
        <v>123</v>
      </c>
      <c r="D83" s="23">
        <v>2</v>
      </c>
      <c r="E83" s="25" t="s">
        <v>286</v>
      </c>
      <c r="F83" s="25" t="s">
        <v>308</v>
      </c>
      <c r="G83" s="23" t="s">
        <v>27</v>
      </c>
      <c r="H83" s="23" t="s">
        <v>152</v>
      </c>
      <c r="I83" s="25">
        <v>1974</v>
      </c>
      <c r="J83" s="35">
        <v>30</v>
      </c>
      <c r="K83" s="35">
        <v>40</v>
      </c>
      <c r="L83" s="35">
        <v>20</v>
      </c>
      <c r="M83" s="25">
        <v>6</v>
      </c>
      <c r="N83" s="25">
        <v>4</v>
      </c>
      <c r="R83" s="30">
        <f t="shared" si="108"/>
        <v>10</v>
      </c>
      <c r="S83" s="37">
        <v>0.9</v>
      </c>
      <c r="T83" s="30">
        <f t="shared" si="109"/>
        <v>14.222057142857143</v>
      </c>
      <c r="U83" s="37">
        <v>0.9</v>
      </c>
      <c r="V83" s="30">
        <f t="shared" si="110"/>
        <v>19.161257142857146</v>
      </c>
      <c r="W83" s="25">
        <v>102</v>
      </c>
      <c r="X83" s="31">
        <f t="shared" si="111"/>
        <v>191.76000000000002</v>
      </c>
      <c r="Y83" s="25">
        <v>141</v>
      </c>
      <c r="Z83" s="25">
        <v>11</v>
      </c>
      <c r="AA83" s="25">
        <v>45</v>
      </c>
      <c r="AB83" s="37">
        <v>1</v>
      </c>
      <c r="AC83" s="30">
        <f t="shared" si="112"/>
        <v>100</v>
      </c>
      <c r="AD83" s="31">
        <f t="shared" si="113"/>
        <v>1</v>
      </c>
      <c r="AE83" s="31">
        <f t="shared" si="114"/>
        <v>8</v>
      </c>
      <c r="AF83" s="31" t="str">
        <f t="shared" si="115"/>
        <v/>
      </c>
      <c r="AG83" s="31" t="str">
        <f t="shared" si="116"/>
        <v/>
      </c>
      <c r="AH83" s="31" t="str">
        <f t="shared" si="117"/>
        <v/>
      </c>
      <c r="AI83" s="31" t="str">
        <f t="shared" si="118"/>
        <v/>
      </c>
      <c r="AJ83" s="25">
        <v>9</v>
      </c>
      <c r="AK83" s="25">
        <v>0</v>
      </c>
      <c r="AL83" s="25">
        <v>0</v>
      </c>
      <c r="AM83" s="23" t="s">
        <v>206</v>
      </c>
      <c r="AN83" s="23" t="s">
        <v>92</v>
      </c>
      <c r="AO83" s="25">
        <v>256</v>
      </c>
      <c r="AR83" s="32" t="str">
        <f t="shared" si="119"/>
        <v>2 doors</v>
      </c>
      <c r="AT83" s="23" t="s">
        <v>48</v>
      </c>
      <c r="AU83" s="23" t="str">
        <f t="shared" si="120"/>
        <v>CC</v>
      </c>
      <c r="AV83" s="34">
        <f t="shared" si="121"/>
        <v>1300.05</v>
      </c>
      <c r="AW83" s="23">
        <v>13</v>
      </c>
      <c r="AX83" s="23">
        <v>0</v>
      </c>
      <c r="AY83" s="23">
        <v>5</v>
      </c>
    </row>
    <row r="84" spans="1:51">
      <c r="A84" s="25">
        <v>256</v>
      </c>
      <c r="C84" s="23" t="s">
        <v>328</v>
      </c>
      <c r="D84" s="23">
        <v>2</v>
      </c>
      <c r="E84" s="25" t="s">
        <v>30</v>
      </c>
      <c r="F84" s="25" t="s">
        <v>314</v>
      </c>
      <c r="G84" s="23" t="s">
        <v>27</v>
      </c>
      <c r="H84" s="23" t="s">
        <v>153</v>
      </c>
      <c r="I84" s="25">
        <v>1980</v>
      </c>
      <c r="J84" s="35">
        <v>30</v>
      </c>
      <c r="K84" s="35">
        <v>40</v>
      </c>
      <c r="L84" s="35">
        <v>20</v>
      </c>
      <c r="M84" s="25">
        <v>6</v>
      </c>
      <c r="N84" s="25">
        <v>4</v>
      </c>
      <c r="R84" s="30">
        <f t="shared" si="34"/>
        <v>10</v>
      </c>
      <c r="S84" s="37">
        <v>1.1000000000000001</v>
      </c>
      <c r="T84" s="30">
        <f t="shared" ref="T84:T171" si="122">S84*IF(OR(G84="diesel", G84="petrol"), ((Z84+(X84/10))/2)+(R84/14), IF(OR(G84="cng", G84="hybrid"), ((Z84+(X84/10))/2*1.2)+(R84/14), IF(OR(G84="hydrogen", G84="electric"), ((Z84+(X84/10))/2*1.5)+(R84/14), 0)))</f>
        <v>18.803714285714292</v>
      </c>
      <c r="U84" s="37">
        <v>1</v>
      </c>
      <c r="V84" s="30">
        <f t="shared" si="106"/>
        <v>23.874285714285719</v>
      </c>
      <c r="W84" s="25">
        <v>102</v>
      </c>
      <c r="X84" s="31">
        <f t="shared" si="35"/>
        <v>217.60000000000002</v>
      </c>
      <c r="Y84" s="25">
        <v>160</v>
      </c>
      <c r="Z84" s="25">
        <v>11</v>
      </c>
      <c r="AA84" s="25">
        <v>45</v>
      </c>
      <c r="AB84" s="37">
        <v>0.8</v>
      </c>
      <c r="AC84" s="30">
        <f t="shared" si="70"/>
        <v>120</v>
      </c>
      <c r="AD84" s="31">
        <f t="shared" si="36"/>
        <v>1</v>
      </c>
      <c r="AE84" s="31">
        <f t="shared" si="37"/>
        <v>8</v>
      </c>
      <c r="AF84" s="31" t="str">
        <f t="shared" si="38"/>
        <v/>
      </c>
      <c r="AG84" s="31" t="str">
        <f t="shared" si="39"/>
        <v/>
      </c>
      <c r="AH84" s="31" t="str">
        <f t="shared" si="40"/>
        <v/>
      </c>
      <c r="AI84" s="31" t="str">
        <f t="shared" si="41"/>
        <v/>
      </c>
      <c r="AJ84" s="25">
        <v>9</v>
      </c>
      <c r="AK84" s="25">
        <v>0</v>
      </c>
      <c r="AL84" s="25">
        <v>0</v>
      </c>
      <c r="AM84" s="23" t="s">
        <v>206</v>
      </c>
      <c r="AN84" s="23" t="s">
        <v>92</v>
      </c>
      <c r="AO84" s="25">
        <v>256</v>
      </c>
      <c r="AR84" s="32" t="str">
        <f t="shared" si="42"/>
        <v>2 doors</v>
      </c>
      <c r="AT84" s="23" t="s">
        <v>47</v>
      </c>
      <c r="AU84" s="23" t="str">
        <f t="shared" si="107"/>
        <v>CC</v>
      </c>
      <c r="AV84" s="34">
        <f t="shared" si="43"/>
        <v>1320</v>
      </c>
      <c r="AW84" s="23">
        <v>13</v>
      </c>
      <c r="AX84" s="23">
        <v>20</v>
      </c>
      <c r="AY84" s="23">
        <v>0</v>
      </c>
    </row>
    <row r="85" spans="1:51">
      <c r="A85" s="25">
        <v>256</v>
      </c>
      <c r="C85" s="23" t="s">
        <v>328</v>
      </c>
      <c r="D85" s="23">
        <v>2</v>
      </c>
      <c r="E85" s="25" t="s">
        <v>42</v>
      </c>
      <c r="F85" s="25" t="s">
        <v>304</v>
      </c>
      <c r="G85" s="23" t="s">
        <v>27</v>
      </c>
      <c r="H85" s="23" t="s">
        <v>153</v>
      </c>
      <c r="I85" s="25">
        <v>1980</v>
      </c>
      <c r="J85" s="35">
        <v>30</v>
      </c>
      <c r="K85" s="35">
        <v>40</v>
      </c>
      <c r="L85" s="35">
        <v>20</v>
      </c>
      <c r="M85" s="25">
        <v>6</v>
      </c>
      <c r="N85" s="25">
        <v>4</v>
      </c>
      <c r="R85" s="30">
        <f t="shared" si="34"/>
        <v>10</v>
      </c>
      <c r="S85" s="37">
        <v>1.1000000000000001</v>
      </c>
      <c r="T85" s="30">
        <f t="shared" si="122"/>
        <v>18.803714285714292</v>
      </c>
      <c r="U85" s="37">
        <v>1</v>
      </c>
      <c r="V85" s="30">
        <f t="shared" si="106"/>
        <v>23.874285714285719</v>
      </c>
      <c r="W85" s="25">
        <v>102</v>
      </c>
      <c r="X85" s="31">
        <f t="shared" si="35"/>
        <v>217.60000000000002</v>
      </c>
      <c r="Y85" s="25">
        <v>160</v>
      </c>
      <c r="Z85" s="25">
        <v>11</v>
      </c>
      <c r="AA85" s="25">
        <v>45</v>
      </c>
      <c r="AB85" s="37">
        <v>0.8</v>
      </c>
      <c r="AC85" s="30">
        <f t="shared" si="70"/>
        <v>120</v>
      </c>
      <c r="AD85" s="31">
        <f t="shared" si="36"/>
        <v>1</v>
      </c>
      <c r="AE85" s="31">
        <f t="shared" si="37"/>
        <v>8</v>
      </c>
      <c r="AF85" s="31" t="str">
        <f t="shared" si="38"/>
        <v/>
      </c>
      <c r="AG85" s="31" t="str">
        <f t="shared" si="39"/>
        <v/>
      </c>
      <c r="AH85" s="31" t="str">
        <f t="shared" si="40"/>
        <v/>
      </c>
      <c r="AI85" s="31" t="str">
        <f t="shared" si="41"/>
        <v/>
      </c>
      <c r="AJ85" s="25">
        <v>9</v>
      </c>
      <c r="AK85" s="25">
        <v>0</v>
      </c>
      <c r="AL85" s="25">
        <v>0</v>
      </c>
      <c r="AM85" s="23" t="s">
        <v>206</v>
      </c>
      <c r="AN85" s="23" t="s">
        <v>92</v>
      </c>
      <c r="AO85" s="25">
        <v>256</v>
      </c>
      <c r="AR85" s="32" t="str">
        <f t="shared" si="42"/>
        <v>2 doors</v>
      </c>
      <c r="AT85" s="23" t="s">
        <v>47</v>
      </c>
      <c r="AU85" s="23" t="str">
        <f t="shared" si="107"/>
        <v>CC</v>
      </c>
      <c r="AV85" s="34">
        <f t="shared" si="43"/>
        <v>1320.01</v>
      </c>
      <c r="AW85" s="23">
        <v>13</v>
      </c>
      <c r="AX85" s="23">
        <v>20</v>
      </c>
      <c r="AY85" s="23">
        <v>1</v>
      </c>
    </row>
    <row r="86" spans="1:51">
      <c r="A86" s="25">
        <v>256</v>
      </c>
      <c r="C86" s="23" t="s">
        <v>328</v>
      </c>
      <c r="D86" s="23">
        <v>2</v>
      </c>
      <c r="E86" s="25" t="s">
        <v>43</v>
      </c>
      <c r="F86" s="25" t="s">
        <v>302</v>
      </c>
      <c r="G86" s="23" t="s">
        <v>27</v>
      </c>
      <c r="H86" s="23" t="s">
        <v>153</v>
      </c>
      <c r="I86" s="25">
        <v>1980</v>
      </c>
      <c r="J86" s="35">
        <v>30</v>
      </c>
      <c r="K86" s="35">
        <v>40</v>
      </c>
      <c r="L86" s="35">
        <v>20</v>
      </c>
      <c r="M86" s="25">
        <v>6</v>
      </c>
      <c r="N86" s="25">
        <v>4</v>
      </c>
      <c r="R86" s="30">
        <f t="shared" ref="R86:R90" si="123">SUM(M86:Q86)</f>
        <v>10</v>
      </c>
      <c r="S86" s="37">
        <v>1.1000000000000001</v>
      </c>
      <c r="T86" s="30">
        <f t="shared" ref="T86:T90" si="124">S86*IF(OR(G86="diesel", G86="petrol"), ((Z86+(X86/10))/2)+(R86/14), IF(OR(G86="cng", G86="hybrid"), ((Z86+(X86/10))/2*1.2)+(R86/14), IF(OR(G86="hydrogen", G86="electric"), ((Z86+(X86/10))/2*1.5)+(R86/14), 0)))</f>
        <v>18.803714285714292</v>
      </c>
      <c r="U86" s="37">
        <v>1</v>
      </c>
      <c r="V86" s="30">
        <f t="shared" ref="V86:V90" si="125">U86*IF(G86="petrol", ((Z86+(AA86/15)+X86)/10*1.5)+(R86/14), IF(G86="diesel", ((Z86+(AA86/15)+X86)/10)+(R86/14), IF(OR(G86="cng", G86="hybrid"), ((Z86+(AA86/15)+X86)/10*0.8)+(R86/14), IF(OR(G86="hydrogen", G86="electric"), ((Z86+(AA86/15)+X86)/10*0.5)+(R86/14), 0))))</f>
        <v>23.874285714285719</v>
      </c>
      <c r="W86" s="25">
        <v>102</v>
      </c>
      <c r="X86" s="31">
        <f t="shared" ref="X86:X90" si="126">Y86*1.36</f>
        <v>217.60000000000002</v>
      </c>
      <c r="Y86" s="25">
        <v>160</v>
      </c>
      <c r="Z86" s="25">
        <v>11</v>
      </c>
      <c r="AA86" s="25">
        <v>45</v>
      </c>
      <c r="AB86" s="37">
        <v>0.8</v>
      </c>
      <c r="AC86" s="30">
        <f t="shared" ref="AC86:AC90" si="127">AB86*IF(AT86="Regional", 185, IF(AT86="Intercity", 150, IF(AT86="Tourist", 100, 200)))</f>
        <v>120</v>
      </c>
      <c r="AD86" s="31">
        <f t="shared" ref="AD86:AD90" si="128">IF(AJ86&gt;8, AJ86-8, AJ86)</f>
        <v>1</v>
      </c>
      <c r="AE86" s="31">
        <f t="shared" ref="AE86:AE90" si="129">IF(AJ86&gt;8, 8, "")</f>
        <v>8</v>
      </c>
      <c r="AF86" s="31" t="str">
        <f t="shared" ref="AF86:AF90" si="130">IF(AK86&gt;8, AK86-8, IF(AK86=0, "", AK86))</f>
        <v/>
      </c>
      <c r="AG86" s="31" t="str">
        <f t="shared" ref="AG86:AG90" si="131">IF(AK86&gt;8, 8, "")</f>
        <v/>
      </c>
      <c r="AH86" s="31" t="str">
        <f t="shared" ref="AH86:AH90" si="132">IF(AL86&gt;8, AL86-8, IF(AL86=0, "", AL86))</f>
        <v/>
      </c>
      <c r="AI86" s="31" t="str">
        <f t="shared" ref="AI86:AI90" si="133">IF(AL86&gt;8, 8, "")</f>
        <v/>
      </c>
      <c r="AJ86" s="25">
        <v>9</v>
      </c>
      <c r="AK86" s="25">
        <v>0</v>
      </c>
      <c r="AL86" s="25">
        <v>0</v>
      </c>
      <c r="AM86" s="23" t="s">
        <v>206</v>
      </c>
      <c r="AN86" s="23" t="s">
        <v>92</v>
      </c>
      <c r="AO86" s="25">
        <v>256</v>
      </c>
      <c r="AR86" s="32" t="str">
        <f t="shared" ref="AR86:AR90" si="134">IF(Q86&gt;0, "5 doors", IF(P86&gt;0, "4 doors", IF(O86&gt;0, "3 doors", IF(N86&gt;0, "2 doors", "1 door"))))</f>
        <v>2 doors</v>
      </c>
      <c r="AT86" s="23" t="s">
        <v>47</v>
      </c>
      <c r="AU86" s="23" t="str">
        <f t="shared" ref="AU86:AU90" si="135">IF(ISNUMBER(SEARCH("CC", E86)), "CC", "Hungary")</f>
        <v>CC</v>
      </c>
      <c r="AV86" s="34">
        <f t="shared" ref="AV86:AV90" si="136">(AW86*100)+AX86+(AY86/100)</f>
        <v>1320.02</v>
      </c>
      <c r="AW86" s="23">
        <v>13</v>
      </c>
      <c r="AX86" s="23">
        <v>20</v>
      </c>
      <c r="AY86" s="23">
        <v>2</v>
      </c>
    </row>
    <row r="87" spans="1:51">
      <c r="A87" s="25">
        <v>256</v>
      </c>
      <c r="C87" s="23" t="s">
        <v>328</v>
      </c>
      <c r="D87" s="23">
        <v>2</v>
      </c>
      <c r="E87" s="25" t="s">
        <v>284</v>
      </c>
      <c r="F87" s="25" t="s">
        <v>316</v>
      </c>
      <c r="G87" s="23" t="s">
        <v>27</v>
      </c>
      <c r="H87" s="23" t="s">
        <v>153</v>
      </c>
      <c r="I87" s="25">
        <v>1980</v>
      </c>
      <c r="J87" s="35">
        <v>30</v>
      </c>
      <c r="K87" s="35">
        <v>40</v>
      </c>
      <c r="L87" s="35">
        <v>20</v>
      </c>
      <c r="M87" s="25">
        <v>6</v>
      </c>
      <c r="N87" s="25">
        <v>4</v>
      </c>
      <c r="R87" s="30">
        <f t="shared" si="123"/>
        <v>10</v>
      </c>
      <c r="S87" s="37">
        <v>1.1000000000000001</v>
      </c>
      <c r="T87" s="30">
        <f t="shared" si="124"/>
        <v>18.803714285714292</v>
      </c>
      <c r="U87" s="37">
        <v>1</v>
      </c>
      <c r="V87" s="30">
        <f t="shared" si="125"/>
        <v>23.874285714285719</v>
      </c>
      <c r="W87" s="25">
        <v>102</v>
      </c>
      <c r="X87" s="31">
        <f t="shared" si="126"/>
        <v>217.60000000000002</v>
      </c>
      <c r="Y87" s="25">
        <v>160</v>
      </c>
      <c r="Z87" s="25">
        <v>11</v>
      </c>
      <c r="AA87" s="25">
        <v>45</v>
      </c>
      <c r="AB87" s="37">
        <v>0.8</v>
      </c>
      <c r="AC87" s="30">
        <f t="shared" si="127"/>
        <v>120</v>
      </c>
      <c r="AD87" s="31">
        <f t="shared" si="128"/>
        <v>1</v>
      </c>
      <c r="AE87" s="31">
        <f t="shared" si="129"/>
        <v>8</v>
      </c>
      <c r="AF87" s="31" t="str">
        <f t="shared" si="130"/>
        <v/>
      </c>
      <c r="AG87" s="31" t="str">
        <f t="shared" si="131"/>
        <v/>
      </c>
      <c r="AH87" s="31" t="str">
        <f t="shared" si="132"/>
        <v/>
      </c>
      <c r="AI87" s="31" t="str">
        <f t="shared" si="133"/>
        <v/>
      </c>
      <c r="AJ87" s="25">
        <v>9</v>
      </c>
      <c r="AK87" s="25">
        <v>0</v>
      </c>
      <c r="AL87" s="25">
        <v>0</v>
      </c>
      <c r="AM87" s="23" t="s">
        <v>206</v>
      </c>
      <c r="AN87" s="23" t="s">
        <v>92</v>
      </c>
      <c r="AO87" s="25">
        <v>256</v>
      </c>
      <c r="AR87" s="32" t="str">
        <f t="shared" si="134"/>
        <v>2 doors</v>
      </c>
      <c r="AT87" s="23" t="s">
        <v>47</v>
      </c>
      <c r="AU87" s="23" t="str">
        <f t="shared" si="135"/>
        <v>CC</v>
      </c>
      <c r="AV87" s="34">
        <f t="shared" si="136"/>
        <v>1320.03</v>
      </c>
      <c r="AW87" s="23">
        <v>13</v>
      </c>
      <c r="AX87" s="23">
        <v>20</v>
      </c>
      <c r="AY87" s="23">
        <v>3</v>
      </c>
    </row>
    <row r="88" spans="1:51">
      <c r="A88" s="25">
        <v>256</v>
      </c>
      <c r="C88" s="23" t="s">
        <v>328</v>
      </c>
      <c r="D88" s="23">
        <v>2</v>
      </c>
      <c r="E88" s="25" t="s">
        <v>285</v>
      </c>
      <c r="F88" s="25" t="s">
        <v>303</v>
      </c>
      <c r="G88" s="23" t="s">
        <v>27</v>
      </c>
      <c r="H88" s="23" t="s">
        <v>153</v>
      </c>
      <c r="I88" s="25">
        <v>1980</v>
      </c>
      <c r="J88" s="35">
        <v>30</v>
      </c>
      <c r="K88" s="35">
        <v>40</v>
      </c>
      <c r="L88" s="35">
        <v>20</v>
      </c>
      <c r="M88" s="25">
        <v>6</v>
      </c>
      <c r="N88" s="25">
        <v>4</v>
      </c>
      <c r="R88" s="30">
        <f t="shared" si="123"/>
        <v>10</v>
      </c>
      <c r="S88" s="37">
        <v>1.1000000000000001</v>
      </c>
      <c r="T88" s="30">
        <f t="shared" si="124"/>
        <v>18.803714285714292</v>
      </c>
      <c r="U88" s="37">
        <v>1</v>
      </c>
      <c r="V88" s="30">
        <f t="shared" si="125"/>
        <v>23.874285714285719</v>
      </c>
      <c r="W88" s="25">
        <v>102</v>
      </c>
      <c r="X88" s="31">
        <f t="shared" si="126"/>
        <v>217.60000000000002</v>
      </c>
      <c r="Y88" s="25">
        <v>160</v>
      </c>
      <c r="Z88" s="25">
        <v>11</v>
      </c>
      <c r="AA88" s="25">
        <v>45</v>
      </c>
      <c r="AB88" s="37">
        <v>0.8</v>
      </c>
      <c r="AC88" s="30">
        <f t="shared" si="127"/>
        <v>120</v>
      </c>
      <c r="AD88" s="31">
        <f t="shared" si="128"/>
        <v>1</v>
      </c>
      <c r="AE88" s="31">
        <f t="shared" si="129"/>
        <v>8</v>
      </c>
      <c r="AF88" s="31" t="str">
        <f t="shared" si="130"/>
        <v/>
      </c>
      <c r="AG88" s="31" t="str">
        <f t="shared" si="131"/>
        <v/>
      </c>
      <c r="AH88" s="31" t="str">
        <f t="shared" si="132"/>
        <v/>
      </c>
      <c r="AI88" s="31" t="str">
        <f t="shared" si="133"/>
        <v/>
      </c>
      <c r="AJ88" s="25">
        <v>9</v>
      </c>
      <c r="AK88" s="25">
        <v>0</v>
      </c>
      <c r="AL88" s="25">
        <v>0</v>
      </c>
      <c r="AM88" s="23" t="s">
        <v>206</v>
      </c>
      <c r="AN88" s="23" t="s">
        <v>92</v>
      </c>
      <c r="AO88" s="25">
        <v>256</v>
      </c>
      <c r="AR88" s="32" t="str">
        <f t="shared" si="134"/>
        <v>2 doors</v>
      </c>
      <c r="AT88" s="23" t="s">
        <v>47</v>
      </c>
      <c r="AU88" s="23" t="str">
        <f t="shared" si="135"/>
        <v>CC</v>
      </c>
      <c r="AV88" s="34">
        <f t="shared" si="136"/>
        <v>1320.04</v>
      </c>
      <c r="AW88" s="23">
        <v>13</v>
      </c>
      <c r="AX88" s="23">
        <v>20</v>
      </c>
      <c r="AY88" s="23">
        <v>4</v>
      </c>
    </row>
    <row r="89" spans="1:51">
      <c r="A89" s="25">
        <v>256</v>
      </c>
      <c r="C89" s="23" t="s">
        <v>328</v>
      </c>
      <c r="D89" s="23">
        <v>2</v>
      </c>
      <c r="E89" s="25" t="s">
        <v>286</v>
      </c>
      <c r="F89" s="25" t="s">
        <v>308</v>
      </c>
      <c r="G89" s="23" t="s">
        <v>27</v>
      </c>
      <c r="H89" s="23" t="s">
        <v>153</v>
      </c>
      <c r="I89" s="25">
        <v>1980</v>
      </c>
      <c r="J89" s="35">
        <v>30</v>
      </c>
      <c r="K89" s="35">
        <v>40</v>
      </c>
      <c r="L89" s="35">
        <v>20</v>
      </c>
      <c r="M89" s="25">
        <v>6</v>
      </c>
      <c r="N89" s="25">
        <v>4</v>
      </c>
      <c r="R89" s="30">
        <f t="shared" ref="R89" si="137">SUM(M89:Q89)</f>
        <v>10</v>
      </c>
      <c r="S89" s="37">
        <v>1.1000000000000001</v>
      </c>
      <c r="T89" s="30">
        <f t="shared" ref="T89" si="138">S89*IF(OR(G89="diesel", G89="petrol"), ((Z89+(X89/10))/2)+(R89/14), IF(OR(G89="cng", G89="hybrid"), ((Z89+(X89/10))/2*1.2)+(R89/14), IF(OR(G89="hydrogen", G89="electric"), ((Z89+(X89/10))/2*1.5)+(R89/14), 0)))</f>
        <v>18.803714285714292</v>
      </c>
      <c r="U89" s="37">
        <v>1</v>
      </c>
      <c r="V89" s="30">
        <f t="shared" ref="V89" si="139">U89*IF(G89="petrol", ((Z89+(AA89/15)+X89)/10*1.5)+(R89/14), IF(G89="diesel", ((Z89+(AA89/15)+X89)/10)+(R89/14), IF(OR(G89="cng", G89="hybrid"), ((Z89+(AA89/15)+X89)/10*0.8)+(R89/14), IF(OR(G89="hydrogen", G89="electric"), ((Z89+(AA89/15)+X89)/10*0.5)+(R89/14), 0))))</f>
        <v>23.874285714285719</v>
      </c>
      <c r="W89" s="25">
        <v>102</v>
      </c>
      <c r="X89" s="31">
        <f t="shared" ref="X89" si="140">Y89*1.36</f>
        <v>217.60000000000002</v>
      </c>
      <c r="Y89" s="25">
        <v>160</v>
      </c>
      <c r="Z89" s="25">
        <v>11</v>
      </c>
      <c r="AA89" s="25">
        <v>45</v>
      </c>
      <c r="AB89" s="37">
        <v>0.8</v>
      </c>
      <c r="AC89" s="30">
        <f t="shared" ref="AC89" si="141">AB89*IF(AT89="Regional", 185, IF(AT89="Intercity", 150, IF(AT89="Tourist", 100, 200)))</f>
        <v>120</v>
      </c>
      <c r="AD89" s="31">
        <f t="shared" ref="AD89" si="142">IF(AJ89&gt;8, AJ89-8, AJ89)</f>
        <v>1</v>
      </c>
      <c r="AE89" s="31">
        <f t="shared" ref="AE89" si="143">IF(AJ89&gt;8, 8, "")</f>
        <v>8</v>
      </c>
      <c r="AF89" s="31" t="str">
        <f t="shared" ref="AF89" si="144">IF(AK89&gt;8, AK89-8, IF(AK89=0, "", AK89))</f>
        <v/>
      </c>
      <c r="AG89" s="31" t="str">
        <f t="shared" ref="AG89" si="145">IF(AK89&gt;8, 8, "")</f>
        <v/>
      </c>
      <c r="AH89" s="31" t="str">
        <f t="shared" ref="AH89" si="146">IF(AL89&gt;8, AL89-8, IF(AL89=0, "", AL89))</f>
        <v/>
      </c>
      <c r="AI89" s="31" t="str">
        <f t="shared" ref="AI89" si="147">IF(AL89&gt;8, 8, "")</f>
        <v/>
      </c>
      <c r="AJ89" s="25">
        <v>9</v>
      </c>
      <c r="AK89" s="25">
        <v>0</v>
      </c>
      <c r="AL89" s="25">
        <v>0</v>
      </c>
      <c r="AM89" s="23" t="s">
        <v>206</v>
      </c>
      <c r="AN89" s="23" t="s">
        <v>92</v>
      </c>
      <c r="AO89" s="25">
        <v>256</v>
      </c>
      <c r="AR89" s="32" t="str">
        <f t="shared" ref="AR89" si="148">IF(Q89&gt;0, "5 doors", IF(P89&gt;0, "4 doors", IF(O89&gt;0, "3 doors", IF(N89&gt;0, "2 doors", "1 door"))))</f>
        <v>2 doors</v>
      </c>
      <c r="AT89" s="23" t="s">
        <v>47</v>
      </c>
      <c r="AU89" s="23" t="str">
        <f t="shared" ref="AU89" si="149">IF(ISNUMBER(SEARCH("CC", E89)), "CC", "Hungary")</f>
        <v>CC</v>
      </c>
      <c r="AV89" s="34">
        <f t="shared" ref="AV89" si="150">(AW89*100)+AX89+(AY89/100)</f>
        <v>1320.05</v>
      </c>
      <c r="AW89" s="23">
        <v>13</v>
      </c>
      <c r="AX89" s="23">
        <v>20</v>
      </c>
      <c r="AY89" s="23">
        <v>5</v>
      </c>
    </row>
    <row r="90" spans="1:51">
      <c r="A90" s="25">
        <v>256</v>
      </c>
      <c r="C90" s="23" t="s">
        <v>328</v>
      </c>
      <c r="D90" s="23">
        <v>2</v>
      </c>
      <c r="E90" s="25" t="s">
        <v>46</v>
      </c>
      <c r="F90" s="25" t="s">
        <v>46</v>
      </c>
      <c r="G90" s="23" t="s">
        <v>27</v>
      </c>
      <c r="H90" s="23" t="s">
        <v>153</v>
      </c>
      <c r="I90" s="25">
        <v>1980</v>
      </c>
      <c r="J90" s="35">
        <v>30</v>
      </c>
      <c r="K90" s="35">
        <v>40</v>
      </c>
      <c r="L90" s="35">
        <v>20</v>
      </c>
      <c r="M90" s="25">
        <v>6</v>
      </c>
      <c r="N90" s="25">
        <v>4</v>
      </c>
      <c r="R90" s="30">
        <f t="shared" si="123"/>
        <v>10</v>
      </c>
      <c r="S90" s="37">
        <v>1.1000000000000001</v>
      </c>
      <c r="T90" s="30">
        <f t="shared" si="124"/>
        <v>18.803714285714292</v>
      </c>
      <c r="U90" s="37">
        <v>1</v>
      </c>
      <c r="V90" s="30">
        <f t="shared" si="125"/>
        <v>23.874285714285719</v>
      </c>
      <c r="W90" s="25">
        <v>102</v>
      </c>
      <c r="X90" s="31">
        <f t="shared" si="126"/>
        <v>217.60000000000002</v>
      </c>
      <c r="Y90" s="25">
        <v>160</v>
      </c>
      <c r="Z90" s="25">
        <v>11</v>
      </c>
      <c r="AA90" s="25">
        <v>45</v>
      </c>
      <c r="AB90" s="37">
        <v>0.8</v>
      </c>
      <c r="AC90" s="30">
        <f t="shared" si="127"/>
        <v>120</v>
      </c>
      <c r="AD90" s="31">
        <f t="shared" si="128"/>
        <v>1</v>
      </c>
      <c r="AE90" s="31">
        <f t="shared" si="129"/>
        <v>8</v>
      </c>
      <c r="AF90" s="31" t="str">
        <f t="shared" si="130"/>
        <v/>
      </c>
      <c r="AG90" s="31" t="str">
        <f t="shared" si="131"/>
        <v/>
      </c>
      <c r="AH90" s="31" t="str">
        <f t="shared" si="132"/>
        <v/>
      </c>
      <c r="AI90" s="31" t="str">
        <f t="shared" si="133"/>
        <v/>
      </c>
      <c r="AJ90" s="25">
        <v>9</v>
      </c>
      <c r="AK90" s="25">
        <v>0</v>
      </c>
      <c r="AL90" s="25">
        <v>0</v>
      </c>
      <c r="AM90" s="23" t="s">
        <v>206</v>
      </c>
      <c r="AN90" s="23" t="s">
        <v>92</v>
      </c>
      <c r="AO90" s="25">
        <v>256</v>
      </c>
      <c r="AR90" s="32" t="str">
        <f t="shared" si="134"/>
        <v>2 doors</v>
      </c>
      <c r="AT90" s="23" t="s">
        <v>47</v>
      </c>
      <c r="AU90" s="23" t="str">
        <f t="shared" si="135"/>
        <v>Hungary</v>
      </c>
      <c r="AV90" s="34">
        <f t="shared" si="136"/>
        <v>1320.06</v>
      </c>
      <c r="AW90" s="23">
        <v>13</v>
      </c>
      <c r="AX90" s="23">
        <v>20</v>
      </c>
      <c r="AY90" s="23">
        <v>6</v>
      </c>
    </row>
    <row r="91" spans="1:51">
      <c r="A91" s="25">
        <v>256</v>
      </c>
      <c r="B91" s="23" t="s">
        <v>329</v>
      </c>
      <c r="C91" s="23" t="s">
        <v>122</v>
      </c>
      <c r="D91" s="23">
        <v>2</v>
      </c>
      <c r="E91" s="25" t="s">
        <v>30</v>
      </c>
      <c r="F91" s="25" t="s">
        <v>302</v>
      </c>
      <c r="G91" s="23" t="s">
        <v>27</v>
      </c>
      <c r="H91" s="23" t="s">
        <v>154</v>
      </c>
      <c r="I91" s="25">
        <v>1993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R91" s="30">
        <f t="shared" ref="R91:R244" si="151">SUM(M91:Q91)</f>
        <v>20</v>
      </c>
      <c r="S91" s="37">
        <v>1</v>
      </c>
      <c r="T91" s="30">
        <f t="shared" si="122"/>
        <v>19.168571428571429</v>
      </c>
      <c r="U91" s="37">
        <v>1</v>
      </c>
      <c r="V91" s="30">
        <f t="shared" si="106"/>
        <v>27.495238095238097</v>
      </c>
      <c r="W91" s="25">
        <v>105</v>
      </c>
      <c r="X91" s="31">
        <f t="shared" ref="X91:X244" si="152">Y91*1.36</f>
        <v>244.8</v>
      </c>
      <c r="Y91" s="25">
        <v>180</v>
      </c>
      <c r="Z91" s="25">
        <v>11</v>
      </c>
      <c r="AA91" s="25">
        <v>73</v>
      </c>
      <c r="AB91" s="37">
        <v>1</v>
      </c>
      <c r="AC91" s="30">
        <f t="shared" si="70"/>
        <v>200</v>
      </c>
      <c r="AD91" s="31">
        <f t="shared" ref="AD91:AD244" si="153">IF(AJ91&gt;8, AJ91-8, AJ91)</f>
        <v>1</v>
      </c>
      <c r="AE91" s="31">
        <f t="shared" ref="AE91:AE244" si="154">IF(AJ91&gt;8, 8, "")</f>
        <v>8</v>
      </c>
      <c r="AF91" s="31" t="str">
        <f t="shared" ref="AF91:AF244" si="155">IF(AK91&gt;8, AK91-8, IF(AK91=0, "", AK91))</f>
        <v/>
      </c>
      <c r="AG91" s="31" t="str">
        <f t="shared" ref="AG91:AG244" si="156">IF(AK91&gt;8, 8, "")</f>
        <v/>
      </c>
      <c r="AH91" s="31" t="str">
        <f t="shared" ref="AH91:AH244" si="157">IF(AL91&gt;8, AL91-8, IF(AL91=0, "", AL91))</f>
        <v/>
      </c>
      <c r="AI91" s="31" t="str">
        <f t="shared" ref="AI91:AI244" si="158">IF(AL91&gt;8, 8, "")</f>
        <v/>
      </c>
      <c r="AJ91" s="25">
        <v>9</v>
      </c>
      <c r="AK91" s="25">
        <v>0</v>
      </c>
      <c r="AL91" s="25">
        <v>0</v>
      </c>
      <c r="AM91" s="23" t="s">
        <v>206</v>
      </c>
      <c r="AN91" s="23" t="s">
        <v>92</v>
      </c>
      <c r="AO91" s="25">
        <v>256</v>
      </c>
      <c r="AR91" s="32" t="str">
        <f t="shared" ref="AR91:AR244" si="159">IF(Q91&gt;0, "5 doors", IF(P91&gt;0, "4 doors", IF(O91&gt;0, "3 doors", IF(N91&gt;0, "2 doors", "1 door"))))</f>
        <v>2 doors</v>
      </c>
      <c r="AS91" s="23" t="s">
        <v>231</v>
      </c>
      <c r="AT91" s="23" t="s">
        <v>270</v>
      </c>
      <c r="AU91" s="23" t="str">
        <f t="shared" si="107"/>
        <v>CC</v>
      </c>
      <c r="AV91" s="34">
        <f t="shared" ref="AV91:AV244" si="160">(AW91*100)+AX91+(AY91/100)</f>
        <v>1340</v>
      </c>
      <c r="AW91" s="23">
        <v>13</v>
      </c>
      <c r="AX91" s="23">
        <v>40</v>
      </c>
      <c r="AY91" s="23">
        <v>0</v>
      </c>
    </row>
    <row r="92" spans="1:51">
      <c r="A92" s="25">
        <v>256</v>
      </c>
      <c r="B92" s="23" t="s">
        <v>329</v>
      </c>
      <c r="C92" s="23" t="s">
        <v>122</v>
      </c>
      <c r="D92" s="23">
        <v>2</v>
      </c>
      <c r="E92" s="25" t="s">
        <v>42</v>
      </c>
      <c r="F92" s="25" t="s">
        <v>303</v>
      </c>
      <c r="G92" s="23" t="s">
        <v>27</v>
      </c>
      <c r="H92" s="23" t="s">
        <v>154</v>
      </c>
      <c r="I92" s="25">
        <v>1993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R92" s="30">
        <f t="shared" ref="R92:R97" si="161">SUM(M92:Q92)</f>
        <v>20</v>
      </c>
      <c r="S92" s="37">
        <v>1</v>
      </c>
      <c r="T92" s="30">
        <f t="shared" ref="T92:T97" si="162">S92*IF(OR(G92="diesel", G92="petrol"), ((Z92+(X92/10))/2)+(R92/14), IF(OR(G92="cng", G92="hybrid"), ((Z92+(X92/10))/2*1.2)+(R92/14), IF(OR(G92="hydrogen", G92="electric"), ((Z92+(X92/10))/2*1.5)+(R92/14), 0)))</f>
        <v>19.168571428571429</v>
      </c>
      <c r="U92" s="37">
        <v>1</v>
      </c>
      <c r="V92" s="30">
        <f t="shared" ref="V92:V97" si="163">U92*IF(G92="petrol", ((Z92+(AA92/15)+X92)/10*1.5)+(R92/14), IF(G92="diesel", ((Z92+(AA92/15)+X92)/10)+(R92/14), IF(OR(G92="cng", G92="hybrid"), ((Z92+(AA92/15)+X92)/10*0.8)+(R92/14), IF(OR(G92="hydrogen", G92="electric"), ((Z92+(AA92/15)+X92)/10*0.5)+(R92/14), 0))))</f>
        <v>27.495238095238097</v>
      </c>
      <c r="W92" s="25">
        <v>105</v>
      </c>
      <c r="X92" s="31">
        <f t="shared" ref="X92:X97" si="164">Y92*1.36</f>
        <v>244.8</v>
      </c>
      <c r="Y92" s="25">
        <v>180</v>
      </c>
      <c r="Z92" s="25">
        <v>11</v>
      </c>
      <c r="AA92" s="25">
        <v>73</v>
      </c>
      <c r="AB92" s="37">
        <v>1</v>
      </c>
      <c r="AC92" s="30">
        <f t="shared" ref="AC92:AC97" si="165">AB92*IF(AT92="Regional", 185, IF(AT92="Intercity", 150, IF(AT92="Tourist", 100, 200)))</f>
        <v>200</v>
      </c>
      <c r="AD92" s="31">
        <f t="shared" ref="AD92:AD97" si="166">IF(AJ92&gt;8, AJ92-8, AJ92)</f>
        <v>1</v>
      </c>
      <c r="AE92" s="31">
        <f t="shared" ref="AE92:AE97" si="167">IF(AJ92&gt;8, 8, "")</f>
        <v>8</v>
      </c>
      <c r="AF92" s="31" t="str">
        <f t="shared" ref="AF92:AF97" si="168">IF(AK92&gt;8, AK92-8, IF(AK92=0, "", AK92))</f>
        <v/>
      </c>
      <c r="AG92" s="31" t="str">
        <f t="shared" ref="AG92:AG97" si="169">IF(AK92&gt;8, 8, "")</f>
        <v/>
      </c>
      <c r="AH92" s="31" t="str">
        <f t="shared" ref="AH92:AH97" si="170">IF(AL92&gt;8, AL92-8, IF(AL92=0, "", AL92))</f>
        <v/>
      </c>
      <c r="AI92" s="31" t="str">
        <f t="shared" ref="AI92:AI97" si="171">IF(AL92&gt;8, 8, "")</f>
        <v/>
      </c>
      <c r="AJ92" s="25">
        <v>9</v>
      </c>
      <c r="AK92" s="25">
        <v>0</v>
      </c>
      <c r="AL92" s="25">
        <v>0</v>
      </c>
      <c r="AM92" s="23" t="s">
        <v>206</v>
      </c>
      <c r="AN92" s="23" t="s">
        <v>92</v>
      </c>
      <c r="AO92" s="25">
        <v>256</v>
      </c>
      <c r="AR92" s="32" t="str">
        <f t="shared" ref="AR92:AR97" si="172">IF(Q92&gt;0, "5 doors", IF(P92&gt;0, "4 doors", IF(O92&gt;0, "3 doors", IF(N92&gt;0, "2 doors", "1 door"))))</f>
        <v>2 doors</v>
      </c>
      <c r="AS92" s="23" t="s">
        <v>231</v>
      </c>
      <c r="AT92" s="23" t="s">
        <v>270</v>
      </c>
      <c r="AU92" s="23" t="str">
        <f t="shared" ref="AU92:AU97" si="173">IF(ISNUMBER(SEARCH("CC", E92)), "CC", "Hungary")</f>
        <v>CC</v>
      </c>
      <c r="AV92" s="34">
        <f t="shared" ref="AV92:AV97" si="174">(AW92*100)+AX92+(AY92/100)</f>
        <v>1340.01</v>
      </c>
      <c r="AW92" s="23">
        <v>13</v>
      </c>
      <c r="AX92" s="23">
        <v>40</v>
      </c>
      <c r="AY92" s="23">
        <v>1</v>
      </c>
    </row>
    <row r="93" spans="1:51">
      <c r="A93" s="25">
        <v>256</v>
      </c>
      <c r="B93" s="23" t="s">
        <v>329</v>
      </c>
      <c r="C93" s="23" t="s">
        <v>122</v>
      </c>
      <c r="D93" s="23">
        <v>2</v>
      </c>
      <c r="E93" s="25" t="s">
        <v>43</v>
      </c>
      <c r="F93" s="25" t="s">
        <v>304</v>
      </c>
      <c r="G93" s="23" t="s">
        <v>27</v>
      </c>
      <c r="H93" s="23" t="s">
        <v>154</v>
      </c>
      <c r="I93" s="25">
        <v>1993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R93" s="30">
        <f t="shared" si="161"/>
        <v>20</v>
      </c>
      <c r="S93" s="37">
        <v>1</v>
      </c>
      <c r="T93" s="30">
        <f t="shared" si="162"/>
        <v>19.168571428571429</v>
      </c>
      <c r="U93" s="37">
        <v>1</v>
      </c>
      <c r="V93" s="30">
        <f t="shared" si="163"/>
        <v>27.495238095238097</v>
      </c>
      <c r="W93" s="25">
        <v>105</v>
      </c>
      <c r="X93" s="31">
        <f t="shared" si="164"/>
        <v>244.8</v>
      </c>
      <c r="Y93" s="25">
        <v>180</v>
      </c>
      <c r="Z93" s="25">
        <v>11</v>
      </c>
      <c r="AA93" s="25">
        <v>73</v>
      </c>
      <c r="AB93" s="37">
        <v>1</v>
      </c>
      <c r="AC93" s="30">
        <f t="shared" si="165"/>
        <v>200</v>
      </c>
      <c r="AD93" s="31">
        <f t="shared" si="166"/>
        <v>1</v>
      </c>
      <c r="AE93" s="31">
        <f t="shared" si="167"/>
        <v>8</v>
      </c>
      <c r="AF93" s="31" t="str">
        <f t="shared" si="168"/>
        <v/>
      </c>
      <c r="AG93" s="31" t="str">
        <f t="shared" si="169"/>
        <v/>
      </c>
      <c r="AH93" s="31" t="str">
        <f t="shared" si="170"/>
        <v/>
      </c>
      <c r="AI93" s="31" t="str">
        <f t="shared" si="171"/>
        <v/>
      </c>
      <c r="AJ93" s="25">
        <v>9</v>
      </c>
      <c r="AK93" s="25">
        <v>0</v>
      </c>
      <c r="AL93" s="25">
        <v>0</v>
      </c>
      <c r="AM93" s="23" t="s">
        <v>206</v>
      </c>
      <c r="AN93" s="23" t="s">
        <v>92</v>
      </c>
      <c r="AO93" s="25">
        <v>256</v>
      </c>
      <c r="AR93" s="32" t="str">
        <f t="shared" si="172"/>
        <v>2 doors</v>
      </c>
      <c r="AS93" s="23" t="s">
        <v>231</v>
      </c>
      <c r="AT93" s="23" t="s">
        <v>270</v>
      </c>
      <c r="AU93" s="23" t="str">
        <f t="shared" si="173"/>
        <v>CC</v>
      </c>
      <c r="AV93" s="34">
        <f t="shared" si="174"/>
        <v>1340.02</v>
      </c>
      <c r="AW93" s="23">
        <v>13</v>
      </c>
      <c r="AX93" s="23">
        <v>40</v>
      </c>
      <c r="AY93" s="23">
        <v>2</v>
      </c>
    </row>
    <row r="94" spans="1:51">
      <c r="A94" s="25">
        <v>256</v>
      </c>
      <c r="B94" s="23" t="s">
        <v>329</v>
      </c>
      <c r="C94" s="23" t="s">
        <v>122</v>
      </c>
      <c r="D94" s="23">
        <v>2</v>
      </c>
      <c r="E94" s="25" t="s">
        <v>284</v>
      </c>
      <c r="F94" s="25" t="s">
        <v>305</v>
      </c>
      <c r="G94" s="23" t="s">
        <v>27</v>
      </c>
      <c r="H94" s="23" t="s">
        <v>154</v>
      </c>
      <c r="I94" s="25">
        <v>1993</v>
      </c>
      <c r="J94" s="35">
        <v>30</v>
      </c>
      <c r="K94" s="35">
        <v>40</v>
      </c>
      <c r="L94" s="35">
        <v>20</v>
      </c>
      <c r="M94" s="25">
        <v>10</v>
      </c>
      <c r="N94" s="25">
        <v>10</v>
      </c>
      <c r="R94" s="30">
        <f t="shared" si="161"/>
        <v>20</v>
      </c>
      <c r="S94" s="37">
        <v>1</v>
      </c>
      <c r="T94" s="30">
        <f t="shared" si="162"/>
        <v>19.168571428571429</v>
      </c>
      <c r="U94" s="37">
        <v>1</v>
      </c>
      <c r="V94" s="30">
        <f t="shared" si="163"/>
        <v>27.495238095238097</v>
      </c>
      <c r="W94" s="25">
        <v>105</v>
      </c>
      <c r="X94" s="31">
        <f t="shared" si="164"/>
        <v>244.8</v>
      </c>
      <c r="Y94" s="25">
        <v>180</v>
      </c>
      <c r="Z94" s="25">
        <v>11</v>
      </c>
      <c r="AA94" s="25">
        <v>73</v>
      </c>
      <c r="AB94" s="37">
        <v>1</v>
      </c>
      <c r="AC94" s="30">
        <f t="shared" si="165"/>
        <v>200</v>
      </c>
      <c r="AD94" s="31">
        <f t="shared" si="166"/>
        <v>1</v>
      </c>
      <c r="AE94" s="31">
        <f t="shared" si="167"/>
        <v>8</v>
      </c>
      <c r="AF94" s="31" t="str">
        <f t="shared" si="168"/>
        <v/>
      </c>
      <c r="AG94" s="31" t="str">
        <f t="shared" si="169"/>
        <v/>
      </c>
      <c r="AH94" s="31" t="str">
        <f t="shared" si="170"/>
        <v/>
      </c>
      <c r="AI94" s="31" t="str">
        <f t="shared" si="171"/>
        <v/>
      </c>
      <c r="AJ94" s="25">
        <v>9</v>
      </c>
      <c r="AK94" s="25">
        <v>0</v>
      </c>
      <c r="AL94" s="25">
        <v>0</v>
      </c>
      <c r="AM94" s="23" t="s">
        <v>206</v>
      </c>
      <c r="AN94" s="23" t="s">
        <v>92</v>
      </c>
      <c r="AO94" s="25">
        <v>256</v>
      </c>
      <c r="AR94" s="32" t="str">
        <f t="shared" si="172"/>
        <v>2 doors</v>
      </c>
      <c r="AS94" s="23" t="s">
        <v>231</v>
      </c>
      <c r="AT94" s="23" t="s">
        <v>270</v>
      </c>
      <c r="AU94" s="23" t="str">
        <f t="shared" si="173"/>
        <v>CC</v>
      </c>
      <c r="AV94" s="34">
        <f t="shared" si="174"/>
        <v>1340.03</v>
      </c>
      <c r="AW94" s="23">
        <v>13</v>
      </c>
      <c r="AX94" s="23">
        <v>40</v>
      </c>
      <c r="AY94" s="23">
        <v>3</v>
      </c>
    </row>
    <row r="95" spans="1:51">
      <c r="A95" s="25">
        <v>256</v>
      </c>
      <c r="B95" s="23" t="s">
        <v>329</v>
      </c>
      <c r="C95" s="23" t="s">
        <v>122</v>
      </c>
      <c r="D95" s="23">
        <v>2</v>
      </c>
      <c r="E95" s="25" t="s">
        <v>285</v>
      </c>
      <c r="F95" s="25" t="s">
        <v>306</v>
      </c>
      <c r="G95" s="23" t="s">
        <v>27</v>
      </c>
      <c r="H95" s="23" t="s">
        <v>154</v>
      </c>
      <c r="I95" s="25">
        <v>1993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R95" s="30">
        <f t="shared" si="161"/>
        <v>20</v>
      </c>
      <c r="S95" s="37">
        <v>1</v>
      </c>
      <c r="T95" s="30">
        <f t="shared" si="162"/>
        <v>19.168571428571429</v>
      </c>
      <c r="U95" s="37">
        <v>1</v>
      </c>
      <c r="V95" s="30">
        <f t="shared" si="163"/>
        <v>27.495238095238097</v>
      </c>
      <c r="W95" s="25">
        <v>105</v>
      </c>
      <c r="X95" s="31">
        <f t="shared" si="164"/>
        <v>244.8</v>
      </c>
      <c r="Y95" s="25">
        <v>180</v>
      </c>
      <c r="Z95" s="25">
        <v>11</v>
      </c>
      <c r="AA95" s="25">
        <v>73</v>
      </c>
      <c r="AB95" s="37">
        <v>1</v>
      </c>
      <c r="AC95" s="30">
        <f t="shared" si="165"/>
        <v>200</v>
      </c>
      <c r="AD95" s="31">
        <f t="shared" si="166"/>
        <v>1</v>
      </c>
      <c r="AE95" s="31">
        <f t="shared" si="167"/>
        <v>8</v>
      </c>
      <c r="AF95" s="31" t="str">
        <f t="shared" si="168"/>
        <v/>
      </c>
      <c r="AG95" s="31" t="str">
        <f t="shared" si="169"/>
        <v/>
      </c>
      <c r="AH95" s="31" t="str">
        <f t="shared" si="170"/>
        <v/>
      </c>
      <c r="AI95" s="31" t="str">
        <f t="shared" si="171"/>
        <v/>
      </c>
      <c r="AJ95" s="25">
        <v>9</v>
      </c>
      <c r="AK95" s="25">
        <v>0</v>
      </c>
      <c r="AL95" s="25">
        <v>0</v>
      </c>
      <c r="AM95" s="23" t="s">
        <v>206</v>
      </c>
      <c r="AN95" s="23" t="s">
        <v>92</v>
      </c>
      <c r="AO95" s="25">
        <v>256</v>
      </c>
      <c r="AR95" s="32" t="str">
        <f t="shared" si="172"/>
        <v>2 doors</v>
      </c>
      <c r="AS95" s="23" t="s">
        <v>231</v>
      </c>
      <c r="AT95" s="23" t="s">
        <v>270</v>
      </c>
      <c r="AU95" s="23" t="str">
        <f t="shared" si="173"/>
        <v>CC</v>
      </c>
      <c r="AV95" s="34">
        <f t="shared" si="174"/>
        <v>1340.04</v>
      </c>
      <c r="AW95" s="23">
        <v>13</v>
      </c>
      <c r="AX95" s="23">
        <v>40</v>
      </c>
      <c r="AY95" s="23">
        <v>4</v>
      </c>
    </row>
    <row r="96" spans="1:51">
      <c r="A96" s="25">
        <v>256</v>
      </c>
      <c r="B96" s="23" t="s">
        <v>329</v>
      </c>
      <c r="C96" s="23" t="s">
        <v>122</v>
      </c>
      <c r="D96" s="23">
        <v>2</v>
      </c>
      <c r="E96" s="25" t="s">
        <v>286</v>
      </c>
      <c r="F96" s="25" t="s">
        <v>307</v>
      </c>
      <c r="G96" s="23" t="s">
        <v>27</v>
      </c>
      <c r="H96" s="23" t="s">
        <v>154</v>
      </c>
      <c r="I96" s="25">
        <v>1993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R96" s="30">
        <f t="shared" si="161"/>
        <v>20</v>
      </c>
      <c r="S96" s="37">
        <v>1</v>
      </c>
      <c r="T96" s="30">
        <f t="shared" si="162"/>
        <v>19.168571428571429</v>
      </c>
      <c r="U96" s="37">
        <v>1</v>
      </c>
      <c r="V96" s="30">
        <f t="shared" si="163"/>
        <v>27.495238095238097</v>
      </c>
      <c r="W96" s="25">
        <v>105</v>
      </c>
      <c r="X96" s="31">
        <f t="shared" si="164"/>
        <v>244.8</v>
      </c>
      <c r="Y96" s="25">
        <v>180</v>
      </c>
      <c r="Z96" s="25">
        <v>11</v>
      </c>
      <c r="AA96" s="25">
        <v>73</v>
      </c>
      <c r="AB96" s="37">
        <v>1</v>
      </c>
      <c r="AC96" s="30">
        <f t="shared" si="165"/>
        <v>200</v>
      </c>
      <c r="AD96" s="31">
        <f t="shared" si="166"/>
        <v>1</v>
      </c>
      <c r="AE96" s="31">
        <f t="shared" si="167"/>
        <v>8</v>
      </c>
      <c r="AF96" s="31" t="str">
        <f t="shared" si="168"/>
        <v/>
      </c>
      <c r="AG96" s="31" t="str">
        <f t="shared" si="169"/>
        <v/>
      </c>
      <c r="AH96" s="31" t="str">
        <f t="shared" si="170"/>
        <v/>
      </c>
      <c r="AI96" s="31" t="str">
        <f t="shared" si="171"/>
        <v/>
      </c>
      <c r="AJ96" s="25">
        <v>9</v>
      </c>
      <c r="AK96" s="25">
        <v>0</v>
      </c>
      <c r="AL96" s="25">
        <v>0</v>
      </c>
      <c r="AM96" s="23" t="s">
        <v>206</v>
      </c>
      <c r="AN96" s="23" t="s">
        <v>92</v>
      </c>
      <c r="AO96" s="25">
        <v>256</v>
      </c>
      <c r="AR96" s="32" t="str">
        <f t="shared" si="172"/>
        <v>2 doors</v>
      </c>
      <c r="AS96" s="23" t="s">
        <v>231</v>
      </c>
      <c r="AT96" s="23" t="s">
        <v>270</v>
      </c>
      <c r="AU96" s="23" t="str">
        <f t="shared" si="173"/>
        <v>CC</v>
      </c>
      <c r="AV96" s="34">
        <f t="shared" si="174"/>
        <v>1340.05</v>
      </c>
      <c r="AW96" s="23">
        <v>13</v>
      </c>
      <c r="AX96" s="23">
        <v>40</v>
      </c>
      <c r="AY96" s="23">
        <v>5</v>
      </c>
    </row>
    <row r="97" spans="1:51">
      <c r="A97" s="25">
        <v>256</v>
      </c>
      <c r="B97" s="23" t="s">
        <v>329</v>
      </c>
      <c r="C97" s="23" t="s">
        <v>122</v>
      </c>
      <c r="D97" s="23">
        <v>2</v>
      </c>
      <c r="E97" s="25" t="s">
        <v>287</v>
      </c>
      <c r="F97" s="25" t="s">
        <v>316</v>
      </c>
      <c r="G97" s="23" t="s">
        <v>27</v>
      </c>
      <c r="H97" s="23" t="s">
        <v>154</v>
      </c>
      <c r="I97" s="25">
        <v>1993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R97" s="30">
        <f t="shared" si="161"/>
        <v>20</v>
      </c>
      <c r="S97" s="37">
        <v>1</v>
      </c>
      <c r="T97" s="30">
        <f t="shared" si="162"/>
        <v>19.168571428571429</v>
      </c>
      <c r="U97" s="37">
        <v>1</v>
      </c>
      <c r="V97" s="30">
        <f t="shared" si="163"/>
        <v>27.495238095238097</v>
      </c>
      <c r="W97" s="25">
        <v>105</v>
      </c>
      <c r="X97" s="31">
        <f t="shared" si="164"/>
        <v>244.8</v>
      </c>
      <c r="Y97" s="25">
        <v>180</v>
      </c>
      <c r="Z97" s="25">
        <v>11</v>
      </c>
      <c r="AA97" s="25">
        <v>73</v>
      </c>
      <c r="AB97" s="37">
        <v>1</v>
      </c>
      <c r="AC97" s="30">
        <f t="shared" si="165"/>
        <v>200</v>
      </c>
      <c r="AD97" s="31">
        <f t="shared" si="166"/>
        <v>1</v>
      </c>
      <c r="AE97" s="31">
        <f t="shared" si="167"/>
        <v>8</v>
      </c>
      <c r="AF97" s="31" t="str">
        <f t="shared" si="168"/>
        <v/>
      </c>
      <c r="AG97" s="31" t="str">
        <f t="shared" si="169"/>
        <v/>
      </c>
      <c r="AH97" s="31" t="str">
        <f t="shared" si="170"/>
        <v/>
      </c>
      <c r="AI97" s="31" t="str">
        <f t="shared" si="171"/>
        <v/>
      </c>
      <c r="AJ97" s="25">
        <v>9</v>
      </c>
      <c r="AK97" s="25">
        <v>0</v>
      </c>
      <c r="AL97" s="25">
        <v>0</v>
      </c>
      <c r="AM97" s="23" t="s">
        <v>206</v>
      </c>
      <c r="AN97" s="23" t="s">
        <v>92</v>
      </c>
      <c r="AO97" s="25">
        <v>256</v>
      </c>
      <c r="AR97" s="32" t="str">
        <f t="shared" si="172"/>
        <v>2 doors</v>
      </c>
      <c r="AS97" s="23" t="s">
        <v>231</v>
      </c>
      <c r="AT97" s="23" t="s">
        <v>270</v>
      </c>
      <c r="AU97" s="23" t="str">
        <f t="shared" si="173"/>
        <v>CC</v>
      </c>
      <c r="AV97" s="34">
        <f t="shared" si="174"/>
        <v>1340.06</v>
      </c>
      <c r="AW97" s="23">
        <v>13</v>
      </c>
      <c r="AX97" s="23">
        <v>40</v>
      </c>
      <c r="AY97" s="23">
        <v>6</v>
      </c>
    </row>
    <row r="98" spans="1:51">
      <c r="A98" s="25">
        <v>256</v>
      </c>
      <c r="B98" s="23" t="s">
        <v>256</v>
      </c>
      <c r="C98" s="23" t="s">
        <v>122</v>
      </c>
      <c r="D98" s="23">
        <v>2</v>
      </c>
      <c r="E98" s="25" t="s">
        <v>30</v>
      </c>
      <c r="F98" s="25" t="s">
        <v>302</v>
      </c>
      <c r="G98" s="23" t="s">
        <v>27</v>
      </c>
      <c r="H98" s="23" t="s">
        <v>254</v>
      </c>
      <c r="I98" s="25">
        <v>1995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R98" s="30">
        <f t="shared" ref="R98" si="175">SUM(M98:Q98)</f>
        <v>20</v>
      </c>
      <c r="S98" s="37">
        <v>1</v>
      </c>
      <c r="T98" s="30">
        <f t="shared" si="122"/>
        <v>19.168571428571429</v>
      </c>
      <c r="U98" s="37">
        <v>1</v>
      </c>
      <c r="V98" s="30">
        <f t="shared" si="106"/>
        <v>27.548571428571424</v>
      </c>
      <c r="W98" s="25">
        <v>105</v>
      </c>
      <c r="X98" s="31">
        <f t="shared" ref="X98" si="176">Y98*1.36</f>
        <v>244.8</v>
      </c>
      <c r="Y98" s="25">
        <v>180</v>
      </c>
      <c r="Z98" s="25">
        <v>11</v>
      </c>
      <c r="AA98" s="25">
        <v>81</v>
      </c>
      <c r="AB98" s="37">
        <v>1</v>
      </c>
      <c r="AC98" s="30">
        <f t="shared" si="70"/>
        <v>185</v>
      </c>
      <c r="AD98" s="31">
        <f t="shared" ref="AD98" si="177">IF(AJ98&gt;8, AJ98-8, AJ98)</f>
        <v>2</v>
      </c>
      <c r="AE98" s="31">
        <f t="shared" ref="AE98" si="178">IF(AJ98&gt;8, 8, "")</f>
        <v>8</v>
      </c>
      <c r="AF98" s="31" t="str">
        <f t="shared" ref="AF98" si="179">IF(AK98&gt;8, AK98-8, IF(AK98=0, "", AK98))</f>
        <v/>
      </c>
      <c r="AG98" s="31" t="str">
        <f t="shared" ref="AG98" si="180">IF(AK98&gt;8, 8, "")</f>
        <v/>
      </c>
      <c r="AH98" s="31" t="str">
        <f t="shared" ref="AH98" si="181">IF(AL98&gt;8, AL98-8, IF(AL98=0, "", AL98))</f>
        <v/>
      </c>
      <c r="AI98" s="31" t="str">
        <f t="shared" ref="AI98" si="182">IF(AL98&gt;8, 8, "")</f>
        <v/>
      </c>
      <c r="AJ98" s="25">
        <v>10</v>
      </c>
      <c r="AK98" s="25">
        <v>0</v>
      </c>
      <c r="AL98" s="25">
        <v>0</v>
      </c>
      <c r="AM98" s="23" t="s">
        <v>206</v>
      </c>
      <c r="AN98" s="23" t="s">
        <v>92</v>
      </c>
      <c r="AO98" s="25">
        <v>256</v>
      </c>
      <c r="AR98" s="32" t="str">
        <f t="shared" ref="AR98" si="183">IF(Q98&gt;0, "5 doors", IF(P98&gt;0, "4 doors", IF(O98&gt;0, "3 doors", IF(N98&gt;0, "2 doors", "1 door"))))</f>
        <v>2 doors</v>
      </c>
      <c r="AS98" s="23" t="s">
        <v>255</v>
      </c>
      <c r="AT98" s="23" t="s">
        <v>33</v>
      </c>
      <c r="AU98" s="23" t="str">
        <f t="shared" si="107"/>
        <v>CC</v>
      </c>
      <c r="AV98" s="34">
        <f t="shared" ref="AV98" si="184">(AW98*100)+AX98+(AY98/100)</f>
        <v>1345</v>
      </c>
      <c r="AW98" s="23">
        <v>13</v>
      </c>
      <c r="AX98" s="23">
        <v>45</v>
      </c>
      <c r="AY98" s="23">
        <v>0</v>
      </c>
    </row>
    <row r="99" spans="1:51">
      <c r="A99" s="25">
        <v>256</v>
      </c>
      <c r="B99" s="23" t="s">
        <v>256</v>
      </c>
      <c r="C99" s="23" t="s">
        <v>122</v>
      </c>
      <c r="D99" s="23">
        <v>2</v>
      </c>
      <c r="E99" s="25" t="s">
        <v>42</v>
      </c>
      <c r="F99" s="25" t="s">
        <v>302</v>
      </c>
      <c r="G99" s="23" t="s">
        <v>27</v>
      </c>
      <c r="H99" s="23" t="s">
        <v>254</v>
      </c>
      <c r="I99" s="25">
        <v>1995</v>
      </c>
      <c r="J99" s="35">
        <v>30</v>
      </c>
      <c r="K99" s="35">
        <v>40</v>
      </c>
      <c r="L99" s="35">
        <v>20</v>
      </c>
      <c r="M99" s="25">
        <v>10</v>
      </c>
      <c r="N99" s="25">
        <v>10</v>
      </c>
      <c r="R99" s="30">
        <f t="shared" ref="R99:R104" si="185">SUM(M99:Q99)</f>
        <v>20</v>
      </c>
      <c r="S99" s="37">
        <v>1</v>
      </c>
      <c r="T99" s="30">
        <f t="shared" ref="T99:T104" si="186">S99*IF(OR(G99="diesel", G99="petrol"), ((Z99+(X99/10))/2)+(R99/14), IF(OR(G99="cng", G99="hybrid"), ((Z99+(X99/10))/2*1.2)+(R99/14), IF(OR(G99="hydrogen", G99="electric"), ((Z99+(X99/10))/2*1.5)+(R99/14), 0)))</f>
        <v>19.168571428571429</v>
      </c>
      <c r="U99" s="37">
        <v>1</v>
      </c>
      <c r="V99" s="30">
        <f t="shared" ref="V99:V104" si="187">U99*IF(G99="petrol", ((Z99+(AA99/15)+X99)/10*1.5)+(R99/14), IF(G99="diesel", ((Z99+(AA99/15)+X99)/10)+(R99/14), IF(OR(G99="cng", G99="hybrid"), ((Z99+(AA99/15)+X99)/10*0.8)+(R99/14), IF(OR(G99="hydrogen", G99="electric"), ((Z99+(AA99/15)+X99)/10*0.5)+(R99/14), 0))))</f>
        <v>27.548571428571424</v>
      </c>
      <c r="W99" s="25">
        <v>105</v>
      </c>
      <c r="X99" s="31">
        <f t="shared" ref="X99:X104" si="188">Y99*1.36</f>
        <v>244.8</v>
      </c>
      <c r="Y99" s="25">
        <v>180</v>
      </c>
      <c r="Z99" s="25">
        <v>11</v>
      </c>
      <c r="AA99" s="25">
        <v>81</v>
      </c>
      <c r="AB99" s="37">
        <v>1</v>
      </c>
      <c r="AC99" s="30">
        <f t="shared" ref="AC99:AC104" si="189">AB99*IF(AT99="Regional", 185, IF(AT99="Intercity", 150, IF(AT99="Tourist", 100, 200)))</f>
        <v>185</v>
      </c>
      <c r="AD99" s="31">
        <f t="shared" ref="AD99:AD104" si="190">IF(AJ99&gt;8, AJ99-8, AJ99)</f>
        <v>2</v>
      </c>
      <c r="AE99" s="31">
        <f t="shared" ref="AE99:AE104" si="191">IF(AJ99&gt;8, 8, "")</f>
        <v>8</v>
      </c>
      <c r="AF99" s="31" t="str">
        <f t="shared" ref="AF99:AF104" si="192">IF(AK99&gt;8, AK99-8, IF(AK99=0, "", AK99))</f>
        <v/>
      </c>
      <c r="AG99" s="31" t="str">
        <f t="shared" ref="AG99:AG104" si="193">IF(AK99&gt;8, 8, "")</f>
        <v/>
      </c>
      <c r="AH99" s="31" t="str">
        <f t="shared" ref="AH99:AH104" si="194">IF(AL99&gt;8, AL99-8, IF(AL99=0, "", AL99))</f>
        <v/>
      </c>
      <c r="AI99" s="31" t="str">
        <f t="shared" ref="AI99:AI104" si="195">IF(AL99&gt;8, 8, "")</f>
        <v/>
      </c>
      <c r="AJ99" s="25">
        <v>10</v>
      </c>
      <c r="AK99" s="25">
        <v>0</v>
      </c>
      <c r="AL99" s="25">
        <v>0</v>
      </c>
      <c r="AM99" s="23" t="s">
        <v>206</v>
      </c>
      <c r="AN99" s="23" t="s">
        <v>92</v>
      </c>
      <c r="AO99" s="25">
        <v>256</v>
      </c>
      <c r="AR99" s="32" t="str">
        <f t="shared" ref="AR99:AR104" si="196">IF(Q99&gt;0, "5 doors", IF(P99&gt;0, "4 doors", IF(O99&gt;0, "3 doors", IF(N99&gt;0, "2 doors", "1 door"))))</f>
        <v>2 doors</v>
      </c>
      <c r="AS99" s="23" t="s">
        <v>255</v>
      </c>
      <c r="AT99" s="23" t="s">
        <v>33</v>
      </c>
      <c r="AU99" s="23" t="str">
        <f t="shared" ref="AU99:AU104" si="197">IF(ISNUMBER(SEARCH("CC", E99)), "CC", "Hungary")</f>
        <v>CC</v>
      </c>
      <c r="AV99" s="34">
        <f t="shared" ref="AV99:AV104" si="198">(AW99*100)+AX99+(AY99/100)</f>
        <v>1345.01</v>
      </c>
      <c r="AW99" s="23">
        <v>13</v>
      </c>
      <c r="AX99" s="23">
        <v>45</v>
      </c>
      <c r="AY99" s="23">
        <v>1</v>
      </c>
    </row>
    <row r="100" spans="1:51">
      <c r="A100" s="25">
        <v>256</v>
      </c>
      <c r="B100" s="23" t="s">
        <v>256</v>
      </c>
      <c r="C100" s="23" t="s">
        <v>122</v>
      </c>
      <c r="D100" s="23">
        <v>2</v>
      </c>
      <c r="E100" s="25" t="s">
        <v>43</v>
      </c>
      <c r="F100" s="25" t="s">
        <v>302</v>
      </c>
      <c r="G100" s="23" t="s">
        <v>27</v>
      </c>
      <c r="H100" s="23" t="s">
        <v>254</v>
      </c>
      <c r="I100" s="25">
        <v>1995</v>
      </c>
      <c r="J100" s="35">
        <v>30</v>
      </c>
      <c r="K100" s="35">
        <v>40</v>
      </c>
      <c r="L100" s="35">
        <v>20</v>
      </c>
      <c r="M100" s="25">
        <v>10</v>
      </c>
      <c r="N100" s="25">
        <v>10</v>
      </c>
      <c r="R100" s="30">
        <f t="shared" si="185"/>
        <v>20</v>
      </c>
      <c r="S100" s="37">
        <v>1</v>
      </c>
      <c r="T100" s="30">
        <f t="shared" si="186"/>
        <v>19.168571428571429</v>
      </c>
      <c r="U100" s="37">
        <v>1</v>
      </c>
      <c r="V100" s="30">
        <f t="shared" si="187"/>
        <v>27.548571428571424</v>
      </c>
      <c r="W100" s="25">
        <v>105</v>
      </c>
      <c r="X100" s="31">
        <f t="shared" si="188"/>
        <v>244.8</v>
      </c>
      <c r="Y100" s="25">
        <v>180</v>
      </c>
      <c r="Z100" s="25">
        <v>11</v>
      </c>
      <c r="AA100" s="25">
        <v>81</v>
      </c>
      <c r="AB100" s="37">
        <v>1</v>
      </c>
      <c r="AC100" s="30">
        <f t="shared" si="189"/>
        <v>185</v>
      </c>
      <c r="AD100" s="31">
        <f t="shared" si="190"/>
        <v>2</v>
      </c>
      <c r="AE100" s="31">
        <f t="shared" si="191"/>
        <v>8</v>
      </c>
      <c r="AF100" s="31" t="str">
        <f t="shared" si="192"/>
        <v/>
      </c>
      <c r="AG100" s="31" t="str">
        <f t="shared" si="193"/>
        <v/>
      </c>
      <c r="AH100" s="31" t="str">
        <f t="shared" si="194"/>
        <v/>
      </c>
      <c r="AI100" s="31" t="str">
        <f t="shared" si="195"/>
        <v/>
      </c>
      <c r="AJ100" s="25">
        <v>10</v>
      </c>
      <c r="AK100" s="25">
        <v>0</v>
      </c>
      <c r="AL100" s="25">
        <v>0</v>
      </c>
      <c r="AM100" s="23" t="s">
        <v>206</v>
      </c>
      <c r="AN100" s="23" t="s">
        <v>92</v>
      </c>
      <c r="AO100" s="25">
        <v>256</v>
      </c>
      <c r="AR100" s="32" t="str">
        <f t="shared" si="196"/>
        <v>2 doors</v>
      </c>
      <c r="AS100" s="23" t="s">
        <v>255</v>
      </c>
      <c r="AT100" s="23" t="s">
        <v>33</v>
      </c>
      <c r="AU100" s="23" t="str">
        <f t="shared" si="197"/>
        <v>CC</v>
      </c>
      <c r="AV100" s="34">
        <f t="shared" si="198"/>
        <v>1345.02</v>
      </c>
      <c r="AW100" s="23">
        <v>13</v>
      </c>
      <c r="AX100" s="23">
        <v>45</v>
      </c>
      <c r="AY100" s="23">
        <v>2</v>
      </c>
    </row>
    <row r="101" spans="1:51">
      <c r="A101" s="25">
        <v>256</v>
      </c>
      <c r="B101" s="23" t="s">
        <v>256</v>
      </c>
      <c r="C101" s="23" t="s">
        <v>122</v>
      </c>
      <c r="D101" s="23">
        <v>2</v>
      </c>
      <c r="E101" s="25" t="s">
        <v>284</v>
      </c>
      <c r="F101" s="25" t="s">
        <v>302</v>
      </c>
      <c r="G101" s="23" t="s">
        <v>27</v>
      </c>
      <c r="H101" s="23" t="s">
        <v>254</v>
      </c>
      <c r="I101" s="25">
        <v>1995</v>
      </c>
      <c r="J101" s="35">
        <v>30</v>
      </c>
      <c r="K101" s="35">
        <v>40</v>
      </c>
      <c r="L101" s="35">
        <v>20</v>
      </c>
      <c r="M101" s="25">
        <v>10</v>
      </c>
      <c r="N101" s="25">
        <v>10</v>
      </c>
      <c r="R101" s="30">
        <f t="shared" si="185"/>
        <v>20</v>
      </c>
      <c r="S101" s="37">
        <v>1</v>
      </c>
      <c r="T101" s="30">
        <f t="shared" si="186"/>
        <v>19.168571428571429</v>
      </c>
      <c r="U101" s="37">
        <v>1</v>
      </c>
      <c r="V101" s="30">
        <f t="shared" si="187"/>
        <v>27.548571428571424</v>
      </c>
      <c r="W101" s="25">
        <v>105</v>
      </c>
      <c r="X101" s="31">
        <f t="shared" si="188"/>
        <v>244.8</v>
      </c>
      <c r="Y101" s="25">
        <v>180</v>
      </c>
      <c r="Z101" s="25">
        <v>11</v>
      </c>
      <c r="AA101" s="25">
        <v>81</v>
      </c>
      <c r="AB101" s="37">
        <v>1</v>
      </c>
      <c r="AC101" s="30">
        <f t="shared" si="189"/>
        <v>185</v>
      </c>
      <c r="AD101" s="31">
        <f t="shared" si="190"/>
        <v>2</v>
      </c>
      <c r="AE101" s="31">
        <f t="shared" si="191"/>
        <v>8</v>
      </c>
      <c r="AF101" s="31" t="str">
        <f t="shared" si="192"/>
        <v/>
      </c>
      <c r="AG101" s="31" t="str">
        <f t="shared" si="193"/>
        <v/>
      </c>
      <c r="AH101" s="31" t="str">
        <f t="shared" si="194"/>
        <v/>
      </c>
      <c r="AI101" s="31" t="str">
        <f t="shared" si="195"/>
        <v/>
      </c>
      <c r="AJ101" s="25">
        <v>10</v>
      </c>
      <c r="AK101" s="25">
        <v>0</v>
      </c>
      <c r="AL101" s="25">
        <v>0</v>
      </c>
      <c r="AM101" s="23" t="s">
        <v>206</v>
      </c>
      <c r="AN101" s="23" t="s">
        <v>92</v>
      </c>
      <c r="AO101" s="25">
        <v>256</v>
      </c>
      <c r="AR101" s="32" t="str">
        <f t="shared" si="196"/>
        <v>2 doors</v>
      </c>
      <c r="AS101" s="23" t="s">
        <v>255</v>
      </c>
      <c r="AT101" s="23" t="s">
        <v>33</v>
      </c>
      <c r="AU101" s="23" t="str">
        <f t="shared" si="197"/>
        <v>CC</v>
      </c>
      <c r="AV101" s="34">
        <f t="shared" si="198"/>
        <v>1345.03</v>
      </c>
      <c r="AW101" s="23">
        <v>13</v>
      </c>
      <c r="AX101" s="23">
        <v>45</v>
      </c>
      <c r="AY101" s="23">
        <v>3</v>
      </c>
    </row>
    <row r="102" spans="1:51">
      <c r="A102" s="25">
        <v>256</v>
      </c>
      <c r="B102" s="23" t="s">
        <v>256</v>
      </c>
      <c r="C102" s="23" t="s">
        <v>122</v>
      </c>
      <c r="D102" s="23">
        <v>2</v>
      </c>
      <c r="E102" s="25" t="s">
        <v>285</v>
      </c>
      <c r="F102" s="25" t="s">
        <v>302</v>
      </c>
      <c r="G102" s="23" t="s">
        <v>27</v>
      </c>
      <c r="H102" s="23" t="s">
        <v>254</v>
      </c>
      <c r="I102" s="25">
        <v>1995</v>
      </c>
      <c r="J102" s="35">
        <v>30</v>
      </c>
      <c r="K102" s="35">
        <v>40</v>
      </c>
      <c r="L102" s="35">
        <v>20</v>
      </c>
      <c r="M102" s="25">
        <v>10</v>
      </c>
      <c r="N102" s="25">
        <v>10</v>
      </c>
      <c r="R102" s="30">
        <f t="shared" si="185"/>
        <v>20</v>
      </c>
      <c r="S102" s="37">
        <v>1</v>
      </c>
      <c r="T102" s="30">
        <f t="shared" si="186"/>
        <v>19.168571428571429</v>
      </c>
      <c r="U102" s="37">
        <v>1</v>
      </c>
      <c r="V102" s="30">
        <f t="shared" si="187"/>
        <v>27.548571428571424</v>
      </c>
      <c r="W102" s="25">
        <v>105</v>
      </c>
      <c r="X102" s="31">
        <f t="shared" si="188"/>
        <v>244.8</v>
      </c>
      <c r="Y102" s="25">
        <v>180</v>
      </c>
      <c r="Z102" s="25">
        <v>11</v>
      </c>
      <c r="AA102" s="25">
        <v>81</v>
      </c>
      <c r="AB102" s="37">
        <v>1</v>
      </c>
      <c r="AC102" s="30">
        <f t="shared" si="189"/>
        <v>185</v>
      </c>
      <c r="AD102" s="31">
        <f t="shared" si="190"/>
        <v>2</v>
      </c>
      <c r="AE102" s="31">
        <f t="shared" si="191"/>
        <v>8</v>
      </c>
      <c r="AF102" s="31" t="str">
        <f t="shared" si="192"/>
        <v/>
      </c>
      <c r="AG102" s="31" t="str">
        <f t="shared" si="193"/>
        <v/>
      </c>
      <c r="AH102" s="31" t="str">
        <f t="shared" si="194"/>
        <v/>
      </c>
      <c r="AI102" s="31" t="str">
        <f t="shared" si="195"/>
        <v/>
      </c>
      <c r="AJ102" s="25">
        <v>10</v>
      </c>
      <c r="AK102" s="25">
        <v>0</v>
      </c>
      <c r="AL102" s="25">
        <v>0</v>
      </c>
      <c r="AM102" s="23" t="s">
        <v>206</v>
      </c>
      <c r="AN102" s="23" t="s">
        <v>92</v>
      </c>
      <c r="AO102" s="25">
        <v>256</v>
      </c>
      <c r="AR102" s="32" t="str">
        <f t="shared" si="196"/>
        <v>2 doors</v>
      </c>
      <c r="AS102" s="23" t="s">
        <v>255</v>
      </c>
      <c r="AT102" s="23" t="s">
        <v>33</v>
      </c>
      <c r="AU102" s="23" t="str">
        <f t="shared" si="197"/>
        <v>CC</v>
      </c>
      <c r="AV102" s="34">
        <f t="shared" si="198"/>
        <v>1345.04</v>
      </c>
      <c r="AW102" s="23">
        <v>13</v>
      </c>
      <c r="AX102" s="23">
        <v>45</v>
      </c>
      <c r="AY102" s="23">
        <v>4</v>
      </c>
    </row>
    <row r="103" spans="1:51">
      <c r="A103" s="25">
        <v>256</v>
      </c>
      <c r="B103" s="23" t="s">
        <v>256</v>
      </c>
      <c r="C103" s="23" t="s">
        <v>122</v>
      </c>
      <c r="D103" s="23">
        <v>2</v>
      </c>
      <c r="E103" s="25" t="s">
        <v>286</v>
      </c>
      <c r="F103" s="25" t="s">
        <v>302</v>
      </c>
      <c r="G103" s="23" t="s">
        <v>27</v>
      </c>
      <c r="H103" s="23" t="s">
        <v>254</v>
      </c>
      <c r="I103" s="25">
        <v>1995</v>
      </c>
      <c r="J103" s="35">
        <v>30</v>
      </c>
      <c r="K103" s="35">
        <v>40</v>
      </c>
      <c r="L103" s="35">
        <v>20</v>
      </c>
      <c r="M103" s="25">
        <v>10</v>
      </c>
      <c r="N103" s="25">
        <v>10</v>
      </c>
      <c r="R103" s="30">
        <f t="shared" si="185"/>
        <v>20</v>
      </c>
      <c r="S103" s="37">
        <v>1</v>
      </c>
      <c r="T103" s="30">
        <f t="shared" si="186"/>
        <v>19.168571428571429</v>
      </c>
      <c r="U103" s="37">
        <v>1</v>
      </c>
      <c r="V103" s="30">
        <f t="shared" si="187"/>
        <v>27.548571428571424</v>
      </c>
      <c r="W103" s="25">
        <v>105</v>
      </c>
      <c r="X103" s="31">
        <f t="shared" si="188"/>
        <v>244.8</v>
      </c>
      <c r="Y103" s="25">
        <v>180</v>
      </c>
      <c r="Z103" s="25">
        <v>11</v>
      </c>
      <c r="AA103" s="25">
        <v>81</v>
      </c>
      <c r="AB103" s="37">
        <v>1</v>
      </c>
      <c r="AC103" s="30">
        <f t="shared" si="189"/>
        <v>185</v>
      </c>
      <c r="AD103" s="31">
        <f t="shared" si="190"/>
        <v>2</v>
      </c>
      <c r="AE103" s="31">
        <f t="shared" si="191"/>
        <v>8</v>
      </c>
      <c r="AF103" s="31" t="str">
        <f t="shared" si="192"/>
        <v/>
      </c>
      <c r="AG103" s="31" t="str">
        <f t="shared" si="193"/>
        <v/>
      </c>
      <c r="AH103" s="31" t="str">
        <f t="shared" si="194"/>
        <v/>
      </c>
      <c r="AI103" s="31" t="str">
        <f t="shared" si="195"/>
        <v/>
      </c>
      <c r="AJ103" s="25">
        <v>10</v>
      </c>
      <c r="AK103" s="25">
        <v>0</v>
      </c>
      <c r="AL103" s="25">
        <v>0</v>
      </c>
      <c r="AM103" s="23" t="s">
        <v>206</v>
      </c>
      <c r="AN103" s="23" t="s">
        <v>92</v>
      </c>
      <c r="AO103" s="25">
        <v>256</v>
      </c>
      <c r="AR103" s="32" t="str">
        <f t="shared" si="196"/>
        <v>2 doors</v>
      </c>
      <c r="AS103" s="23" t="s">
        <v>255</v>
      </c>
      <c r="AT103" s="23" t="s">
        <v>33</v>
      </c>
      <c r="AU103" s="23" t="str">
        <f t="shared" si="197"/>
        <v>CC</v>
      </c>
      <c r="AV103" s="34">
        <f t="shared" si="198"/>
        <v>1345.05</v>
      </c>
      <c r="AW103" s="23">
        <v>13</v>
      </c>
      <c r="AX103" s="23">
        <v>45</v>
      </c>
      <c r="AY103" s="23">
        <v>5</v>
      </c>
    </row>
    <row r="104" spans="1:51">
      <c r="A104" s="25">
        <v>256</v>
      </c>
      <c r="B104" s="23" t="s">
        <v>256</v>
      </c>
      <c r="C104" s="23" t="s">
        <v>122</v>
      </c>
      <c r="D104" s="23">
        <v>2</v>
      </c>
      <c r="E104" s="25" t="s">
        <v>287</v>
      </c>
      <c r="F104" s="25" t="s">
        <v>302</v>
      </c>
      <c r="G104" s="23" t="s">
        <v>27</v>
      </c>
      <c r="H104" s="23" t="s">
        <v>254</v>
      </c>
      <c r="I104" s="25">
        <v>1995</v>
      </c>
      <c r="J104" s="35">
        <v>30</v>
      </c>
      <c r="K104" s="35">
        <v>40</v>
      </c>
      <c r="L104" s="35">
        <v>20</v>
      </c>
      <c r="M104" s="25">
        <v>10</v>
      </c>
      <c r="N104" s="25">
        <v>10</v>
      </c>
      <c r="R104" s="30">
        <f t="shared" si="185"/>
        <v>20</v>
      </c>
      <c r="S104" s="37">
        <v>1</v>
      </c>
      <c r="T104" s="30">
        <f t="shared" si="186"/>
        <v>19.168571428571429</v>
      </c>
      <c r="U104" s="37">
        <v>1</v>
      </c>
      <c r="V104" s="30">
        <f t="shared" si="187"/>
        <v>27.548571428571424</v>
      </c>
      <c r="W104" s="25">
        <v>105</v>
      </c>
      <c r="X104" s="31">
        <f t="shared" si="188"/>
        <v>244.8</v>
      </c>
      <c r="Y104" s="25">
        <v>180</v>
      </c>
      <c r="Z104" s="25">
        <v>11</v>
      </c>
      <c r="AA104" s="25">
        <v>81</v>
      </c>
      <c r="AB104" s="37">
        <v>1</v>
      </c>
      <c r="AC104" s="30">
        <f t="shared" si="189"/>
        <v>185</v>
      </c>
      <c r="AD104" s="31">
        <f t="shared" si="190"/>
        <v>2</v>
      </c>
      <c r="AE104" s="31">
        <f t="shared" si="191"/>
        <v>8</v>
      </c>
      <c r="AF104" s="31" t="str">
        <f t="shared" si="192"/>
        <v/>
      </c>
      <c r="AG104" s="31" t="str">
        <f t="shared" si="193"/>
        <v/>
      </c>
      <c r="AH104" s="31" t="str">
        <f t="shared" si="194"/>
        <v/>
      </c>
      <c r="AI104" s="31" t="str">
        <f t="shared" si="195"/>
        <v/>
      </c>
      <c r="AJ104" s="25">
        <v>10</v>
      </c>
      <c r="AK104" s="25">
        <v>0</v>
      </c>
      <c r="AL104" s="25">
        <v>0</v>
      </c>
      <c r="AM104" s="23" t="s">
        <v>206</v>
      </c>
      <c r="AN104" s="23" t="s">
        <v>92</v>
      </c>
      <c r="AO104" s="25">
        <v>256</v>
      </c>
      <c r="AR104" s="32" t="str">
        <f t="shared" si="196"/>
        <v>2 doors</v>
      </c>
      <c r="AS104" s="23" t="s">
        <v>255</v>
      </c>
      <c r="AT104" s="23" t="s">
        <v>33</v>
      </c>
      <c r="AU104" s="23" t="str">
        <f t="shared" si="197"/>
        <v>CC</v>
      </c>
      <c r="AV104" s="34">
        <f t="shared" si="198"/>
        <v>1345.06</v>
      </c>
      <c r="AW104" s="23">
        <v>13</v>
      </c>
      <c r="AX104" s="23">
        <v>45</v>
      </c>
      <c r="AY104" s="23">
        <v>6</v>
      </c>
    </row>
    <row r="105" spans="1:51">
      <c r="A105" s="25">
        <v>256</v>
      </c>
      <c r="B105" s="23" t="s">
        <v>256</v>
      </c>
      <c r="C105" s="23" t="s">
        <v>330</v>
      </c>
      <c r="D105" s="23">
        <v>2</v>
      </c>
      <c r="E105" s="25" t="s">
        <v>30</v>
      </c>
      <c r="F105" s="25" t="s">
        <v>302</v>
      </c>
      <c r="G105" s="23" t="s">
        <v>27</v>
      </c>
      <c r="H105" s="23" t="s">
        <v>331</v>
      </c>
      <c r="I105" s="25">
        <v>1995</v>
      </c>
      <c r="J105" s="35">
        <v>30</v>
      </c>
      <c r="K105" s="35">
        <v>40</v>
      </c>
      <c r="L105" s="35">
        <v>20</v>
      </c>
      <c r="M105" s="25">
        <v>6</v>
      </c>
      <c r="N105" s="25">
        <v>4</v>
      </c>
      <c r="R105" s="30">
        <f t="shared" ref="R105" si="199">SUM(M105:Q105)</f>
        <v>10</v>
      </c>
      <c r="S105" s="37">
        <v>1</v>
      </c>
      <c r="T105" s="30">
        <f t="shared" ref="T105" si="200">S105*IF(OR(G105="diesel", G105="petrol"), ((Z105+(X105/10))/2)+(R105/14), IF(OR(G105="cng", G105="hybrid"), ((Z105+(X105/10))/2*1.2)+(R105/14), IF(OR(G105="hydrogen", G105="electric"), ((Z105+(X105/10))/2*1.5)+(R105/14), 0)))</f>
        <v>18.454285714285717</v>
      </c>
      <c r="U105" s="37">
        <v>1</v>
      </c>
      <c r="V105" s="30">
        <f t="shared" ref="V105" si="201">U105*IF(G105="petrol", ((Z105+(AA105/15)+X105)/10*1.5)+(R105/14), IF(G105="diesel", ((Z105+(AA105/15)+X105)/10)+(R105/14), IF(OR(G105="cng", G105="hybrid"), ((Z105+(AA105/15)+X105)/10*0.8)+(R105/14), IF(OR(G105="hydrogen", G105="electric"), ((Z105+(AA105/15)+X105)/10*0.5)+(R105/14), 0))))</f>
        <v>26.627619047619049</v>
      </c>
      <c r="W105" s="25">
        <v>105</v>
      </c>
      <c r="X105" s="31">
        <f t="shared" ref="X105" si="202">Y105*1.36</f>
        <v>244.8</v>
      </c>
      <c r="Y105" s="25">
        <v>180</v>
      </c>
      <c r="Z105" s="25">
        <v>11</v>
      </c>
      <c r="AA105" s="25">
        <v>50</v>
      </c>
      <c r="AB105" s="37">
        <v>1</v>
      </c>
      <c r="AC105" s="30">
        <f t="shared" ref="AC105" si="203">AB105*IF(AT105="Regional", 185, IF(AT105="Intercity", 150, IF(AT105="Tourist", 100, 200)))</f>
        <v>200</v>
      </c>
      <c r="AD105" s="31">
        <f t="shared" ref="AD105" si="204">IF(AJ105&gt;8, AJ105-8, AJ105)</f>
        <v>2</v>
      </c>
      <c r="AE105" s="31">
        <f t="shared" ref="AE105" si="205">IF(AJ105&gt;8, 8, "")</f>
        <v>8</v>
      </c>
      <c r="AF105" s="31" t="str">
        <f t="shared" ref="AF105" si="206">IF(AK105&gt;8, AK105-8, IF(AK105=0, "", AK105))</f>
        <v/>
      </c>
      <c r="AG105" s="31" t="str">
        <f t="shared" ref="AG105" si="207">IF(AK105&gt;8, 8, "")</f>
        <v/>
      </c>
      <c r="AH105" s="31" t="str">
        <f t="shared" ref="AH105" si="208">IF(AL105&gt;8, AL105-8, IF(AL105=0, "", AL105))</f>
        <v/>
      </c>
      <c r="AI105" s="31" t="str">
        <f t="shared" ref="AI105" si="209">IF(AL105&gt;8, 8, "")</f>
        <v/>
      </c>
      <c r="AJ105" s="25">
        <v>10</v>
      </c>
      <c r="AK105" s="25">
        <v>0</v>
      </c>
      <c r="AL105" s="25">
        <v>0</v>
      </c>
      <c r="AM105" s="23" t="s">
        <v>206</v>
      </c>
      <c r="AN105" s="23" t="s">
        <v>92</v>
      </c>
      <c r="AO105" s="25">
        <v>256</v>
      </c>
      <c r="AR105" s="32" t="str">
        <f t="shared" ref="AR105" si="210">IF(Q105&gt;0, "5 doors", IF(P105&gt;0, "4 doors", IF(O105&gt;0, "3 doors", IF(N105&gt;0, "2 doors", "1 door"))))</f>
        <v>2 doors</v>
      </c>
      <c r="AS105" s="23" t="s">
        <v>255</v>
      </c>
      <c r="AT105" s="23" t="s">
        <v>270</v>
      </c>
      <c r="AU105" s="23" t="str">
        <f t="shared" ref="AU105" si="211">IF(ISNUMBER(SEARCH("CC", E105)), "CC", "Hungary")</f>
        <v>CC</v>
      </c>
      <c r="AV105" s="34">
        <f t="shared" ref="AV105" si="212">(AW105*100)+AX105+(AY105/100)</f>
        <v>1348</v>
      </c>
      <c r="AW105" s="23">
        <v>13</v>
      </c>
      <c r="AX105" s="23">
        <v>48</v>
      </c>
      <c r="AY105" s="23">
        <v>0</v>
      </c>
    </row>
    <row r="106" spans="1:51">
      <c r="A106" s="25">
        <v>256</v>
      </c>
      <c r="B106" s="23" t="s">
        <v>256</v>
      </c>
      <c r="C106" s="23" t="s">
        <v>330</v>
      </c>
      <c r="D106" s="23">
        <v>2</v>
      </c>
      <c r="E106" s="25" t="s">
        <v>42</v>
      </c>
      <c r="F106" s="25" t="s">
        <v>302</v>
      </c>
      <c r="G106" s="23" t="s">
        <v>27</v>
      </c>
      <c r="H106" s="23" t="s">
        <v>331</v>
      </c>
      <c r="I106" s="25">
        <v>1995</v>
      </c>
      <c r="J106" s="35">
        <v>30</v>
      </c>
      <c r="K106" s="35">
        <v>40</v>
      </c>
      <c r="L106" s="35">
        <v>20</v>
      </c>
      <c r="M106" s="25">
        <v>6</v>
      </c>
      <c r="N106" s="25">
        <v>4</v>
      </c>
      <c r="R106" s="30">
        <f t="shared" ref="R106:R111" si="213">SUM(M106:Q106)</f>
        <v>10</v>
      </c>
      <c r="S106" s="37">
        <v>1</v>
      </c>
      <c r="T106" s="30">
        <f t="shared" ref="T106:T111" si="214">S106*IF(OR(G106="diesel", G106="petrol"), ((Z106+(X106/10))/2)+(R106/14), IF(OR(G106="cng", G106="hybrid"), ((Z106+(X106/10))/2*1.2)+(R106/14), IF(OR(G106="hydrogen", G106="electric"), ((Z106+(X106/10))/2*1.5)+(R106/14), 0)))</f>
        <v>18.454285714285717</v>
      </c>
      <c r="U106" s="37">
        <v>1</v>
      </c>
      <c r="V106" s="30">
        <f t="shared" ref="V106:V111" si="215">U106*IF(G106="petrol", ((Z106+(AA106/15)+X106)/10*1.5)+(R106/14), IF(G106="diesel", ((Z106+(AA106/15)+X106)/10)+(R106/14), IF(OR(G106="cng", G106="hybrid"), ((Z106+(AA106/15)+X106)/10*0.8)+(R106/14), IF(OR(G106="hydrogen", G106="electric"), ((Z106+(AA106/15)+X106)/10*0.5)+(R106/14), 0))))</f>
        <v>26.627619047619049</v>
      </c>
      <c r="W106" s="25">
        <v>105</v>
      </c>
      <c r="X106" s="31">
        <f t="shared" ref="X106:X111" si="216">Y106*1.36</f>
        <v>244.8</v>
      </c>
      <c r="Y106" s="25">
        <v>180</v>
      </c>
      <c r="Z106" s="25">
        <v>11</v>
      </c>
      <c r="AA106" s="25">
        <v>50</v>
      </c>
      <c r="AB106" s="37">
        <v>1</v>
      </c>
      <c r="AC106" s="30">
        <f t="shared" ref="AC106:AC111" si="217">AB106*IF(AT106="Regional", 185, IF(AT106="Intercity", 150, IF(AT106="Tourist", 100, 200)))</f>
        <v>200</v>
      </c>
      <c r="AD106" s="31">
        <f t="shared" ref="AD106:AD111" si="218">IF(AJ106&gt;8, AJ106-8, AJ106)</f>
        <v>2</v>
      </c>
      <c r="AE106" s="31">
        <f t="shared" ref="AE106:AE111" si="219">IF(AJ106&gt;8, 8, "")</f>
        <v>8</v>
      </c>
      <c r="AF106" s="31" t="str">
        <f t="shared" ref="AF106:AF111" si="220">IF(AK106&gt;8, AK106-8, IF(AK106=0, "", AK106))</f>
        <v/>
      </c>
      <c r="AG106" s="31" t="str">
        <f t="shared" ref="AG106:AG111" si="221">IF(AK106&gt;8, 8, "")</f>
        <v/>
      </c>
      <c r="AH106" s="31" t="str">
        <f t="shared" ref="AH106:AH111" si="222">IF(AL106&gt;8, AL106-8, IF(AL106=0, "", AL106))</f>
        <v/>
      </c>
      <c r="AI106" s="31" t="str">
        <f t="shared" ref="AI106:AI111" si="223">IF(AL106&gt;8, 8, "")</f>
        <v/>
      </c>
      <c r="AJ106" s="25">
        <v>10</v>
      </c>
      <c r="AK106" s="25">
        <v>0</v>
      </c>
      <c r="AL106" s="25">
        <v>0</v>
      </c>
      <c r="AM106" s="23" t="s">
        <v>206</v>
      </c>
      <c r="AN106" s="23" t="s">
        <v>92</v>
      </c>
      <c r="AO106" s="25">
        <v>256</v>
      </c>
      <c r="AR106" s="32" t="str">
        <f t="shared" ref="AR106:AR111" si="224">IF(Q106&gt;0, "5 doors", IF(P106&gt;0, "4 doors", IF(O106&gt;0, "3 doors", IF(N106&gt;0, "2 doors", "1 door"))))</f>
        <v>2 doors</v>
      </c>
      <c r="AS106" s="23" t="s">
        <v>255</v>
      </c>
      <c r="AT106" s="23" t="s">
        <v>270</v>
      </c>
      <c r="AU106" s="23" t="str">
        <f t="shared" ref="AU106:AU111" si="225">IF(ISNUMBER(SEARCH("CC", E106)), "CC", "Hungary")</f>
        <v>CC</v>
      </c>
      <c r="AV106" s="34">
        <f t="shared" ref="AV106:AV111" si="226">(AW106*100)+AX106+(AY106/100)</f>
        <v>1348.01</v>
      </c>
      <c r="AW106" s="23">
        <v>13</v>
      </c>
      <c r="AX106" s="23">
        <v>48</v>
      </c>
      <c r="AY106" s="23">
        <v>1</v>
      </c>
    </row>
    <row r="107" spans="1:51">
      <c r="A107" s="25">
        <v>256</v>
      </c>
      <c r="B107" s="23" t="s">
        <v>256</v>
      </c>
      <c r="C107" s="23" t="s">
        <v>330</v>
      </c>
      <c r="D107" s="23">
        <v>2</v>
      </c>
      <c r="E107" s="25" t="s">
        <v>43</v>
      </c>
      <c r="F107" s="25" t="s">
        <v>302</v>
      </c>
      <c r="G107" s="23" t="s">
        <v>27</v>
      </c>
      <c r="H107" s="23" t="s">
        <v>331</v>
      </c>
      <c r="I107" s="25">
        <v>1995</v>
      </c>
      <c r="J107" s="35">
        <v>30</v>
      </c>
      <c r="K107" s="35">
        <v>40</v>
      </c>
      <c r="L107" s="35">
        <v>20</v>
      </c>
      <c r="M107" s="25">
        <v>6</v>
      </c>
      <c r="N107" s="25">
        <v>4</v>
      </c>
      <c r="R107" s="30">
        <f t="shared" si="213"/>
        <v>10</v>
      </c>
      <c r="S107" s="37">
        <v>1</v>
      </c>
      <c r="T107" s="30">
        <f t="shared" si="214"/>
        <v>18.454285714285717</v>
      </c>
      <c r="U107" s="37">
        <v>1</v>
      </c>
      <c r="V107" s="30">
        <f t="shared" si="215"/>
        <v>26.627619047619049</v>
      </c>
      <c r="W107" s="25">
        <v>105</v>
      </c>
      <c r="X107" s="31">
        <f t="shared" si="216"/>
        <v>244.8</v>
      </c>
      <c r="Y107" s="25">
        <v>180</v>
      </c>
      <c r="Z107" s="25">
        <v>11</v>
      </c>
      <c r="AA107" s="25">
        <v>50</v>
      </c>
      <c r="AB107" s="37">
        <v>1</v>
      </c>
      <c r="AC107" s="30">
        <f t="shared" si="217"/>
        <v>200</v>
      </c>
      <c r="AD107" s="31">
        <f t="shared" si="218"/>
        <v>2</v>
      </c>
      <c r="AE107" s="31">
        <f t="shared" si="219"/>
        <v>8</v>
      </c>
      <c r="AF107" s="31" t="str">
        <f t="shared" si="220"/>
        <v/>
      </c>
      <c r="AG107" s="31" t="str">
        <f t="shared" si="221"/>
        <v/>
      </c>
      <c r="AH107" s="31" t="str">
        <f t="shared" si="222"/>
        <v/>
      </c>
      <c r="AI107" s="31" t="str">
        <f t="shared" si="223"/>
        <v/>
      </c>
      <c r="AJ107" s="25">
        <v>10</v>
      </c>
      <c r="AK107" s="25">
        <v>0</v>
      </c>
      <c r="AL107" s="25">
        <v>0</v>
      </c>
      <c r="AM107" s="23" t="s">
        <v>206</v>
      </c>
      <c r="AN107" s="23" t="s">
        <v>92</v>
      </c>
      <c r="AO107" s="25">
        <v>256</v>
      </c>
      <c r="AR107" s="32" t="str">
        <f t="shared" si="224"/>
        <v>2 doors</v>
      </c>
      <c r="AS107" s="23" t="s">
        <v>255</v>
      </c>
      <c r="AT107" s="23" t="s">
        <v>270</v>
      </c>
      <c r="AU107" s="23" t="str">
        <f t="shared" si="225"/>
        <v>CC</v>
      </c>
      <c r="AV107" s="34">
        <f t="shared" si="226"/>
        <v>1348.02</v>
      </c>
      <c r="AW107" s="23">
        <v>13</v>
      </c>
      <c r="AX107" s="23">
        <v>48</v>
      </c>
      <c r="AY107" s="23">
        <v>2</v>
      </c>
    </row>
    <row r="108" spans="1:51">
      <c r="A108" s="25">
        <v>256</v>
      </c>
      <c r="B108" s="23" t="s">
        <v>256</v>
      </c>
      <c r="C108" s="23" t="s">
        <v>330</v>
      </c>
      <c r="D108" s="23">
        <v>2</v>
      </c>
      <c r="E108" s="25" t="s">
        <v>284</v>
      </c>
      <c r="F108" s="25" t="s">
        <v>302</v>
      </c>
      <c r="G108" s="23" t="s">
        <v>27</v>
      </c>
      <c r="H108" s="23" t="s">
        <v>331</v>
      </c>
      <c r="I108" s="25">
        <v>1995</v>
      </c>
      <c r="J108" s="35">
        <v>30</v>
      </c>
      <c r="K108" s="35">
        <v>40</v>
      </c>
      <c r="L108" s="35">
        <v>20</v>
      </c>
      <c r="M108" s="25">
        <v>6</v>
      </c>
      <c r="N108" s="25">
        <v>4</v>
      </c>
      <c r="R108" s="30">
        <f t="shared" si="213"/>
        <v>10</v>
      </c>
      <c r="S108" s="37">
        <v>1</v>
      </c>
      <c r="T108" s="30">
        <f t="shared" si="214"/>
        <v>18.454285714285717</v>
      </c>
      <c r="U108" s="37">
        <v>1</v>
      </c>
      <c r="V108" s="30">
        <f t="shared" si="215"/>
        <v>26.627619047619049</v>
      </c>
      <c r="W108" s="25">
        <v>105</v>
      </c>
      <c r="X108" s="31">
        <f t="shared" si="216"/>
        <v>244.8</v>
      </c>
      <c r="Y108" s="25">
        <v>180</v>
      </c>
      <c r="Z108" s="25">
        <v>11</v>
      </c>
      <c r="AA108" s="25">
        <v>50</v>
      </c>
      <c r="AB108" s="37">
        <v>1</v>
      </c>
      <c r="AC108" s="30">
        <f t="shared" si="217"/>
        <v>200</v>
      </c>
      <c r="AD108" s="31">
        <f t="shared" si="218"/>
        <v>2</v>
      </c>
      <c r="AE108" s="31">
        <f t="shared" si="219"/>
        <v>8</v>
      </c>
      <c r="AF108" s="31" t="str">
        <f t="shared" si="220"/>
        <v/>
      </c>
      <c r="AG108" s="31" t="str">
        <f t="shared" si="221"/>
        <v/>
      </c>
      <c r="AH108" s="31" t="str">
        <f t="shared" si="222"/>
        <v/>
      </c>
      <c r="AI108" s="31" t="str">
        <f t="shared" si="223"/>
        <v/>
      </c>
      <c r="AJ108" s="25">
        <v>10</v>
      </c>
      <c r="AK108" s="25">
        <v>0</v>
      </c>
      <c r="AL108" s="25">
        <v>0</v>
      </c>
      <c r="AM108" s="23" t="s">
        <v>206</v>
      </c>
      <c r="AN108" s="23" t="s">
        <v>92</v>
      </c>
      <c r="AO108" s="25">
        <v>256</v>
      </c>
      <c r="AR108" s="32" t="str">
        <f t="shared" si="224"/>
        <v>2 doors</v>
      </c>
      <c r="AS108" s="23" t="s">
        <v>255</v>
      </c>
      <c r="AT108" s="23" t="s">
        <v>270</v>
      </c>
      <c r="AU108" s="23" t="str">
        <f t="shared" si="225"/>
        <v>CC</v>
      </c>
      <c r="AV108" s="34">
        <f t="shared" si="226"/>
        <v>1348.03</v>
      </c>
      <c r="AW108" s="23">
        <v>13</v>
      </c>
      <c r="AX108" s="23">
        <v>48</v>
      </c>
      <c r="AY108" s="23">
        <v>3</v>
      </c>
    </row>
    <row r="109" spans="1:51">
      <c r="A109" s="25">
        <v>256</v>
      </c>
      <c r="B109" s="23" t="s">
        <v>256</v>
      </c>
      <c r="C109" s="23" t="s">
        <v>330</v>
      </c>
      <c r="D109" s="23">
        <v>2</v>
      </c>
      <c r="E109" s="25" t="s">
        <v>285</v>
      </c>
      <c r="F109" s="25" t="s">
        <v>302</v>
      </c>
      <c r="G109" s="23" t="s">
        <v>27</v>
      </c>
      <c r="H109" s="23" t="s">
        <v>331</v>
      </c>
      <c r="I109" s="25">
        <v>1995</v>
      </c>
      <c r="J109" s="35">
        <v>30</v>
      </c>
      <c r="K109" s="35">
        <v>40</v>
      </c>
      <c r="L109" s="35">
        <v>20</v>
      </c>
      <c r="M109" s="25">
        <v>6</v>
      </c>
      <c r="N109" s="25">
        <v>4</v>
      </c>
      <c r="R109" s="30">
        <f t="shared" si="213"/>
        <v>10</v>
      </c>
      <c r="S109" s="37">
        <v>1</v>
      </c>
      <c r="T109" s="30">
        <f t="shared" si="214"/>
        <v>18.454285714285717</v>
      </c>
      <c r="U109" s="37">
        <v>1</v>
      </c>
      <c r="V109" s="30">
        <f t="shared" si="215"/>
        <v>26.627619047619049</v>
      </c>
      <c r="W109" s="25">
        <v>105</v>
      </c>
      <c r="X109" s="31">
        <f t="shared" si="216"/>
        <v>244.8</v>
      </c>
      <c r="Y109" s="25">
        <v>180</v>
      </c>
      <c r="Z109" s="25">
        <v>11</v>
      </c>
      <c r="AA109" s="25">
        <v>50</v>
      </c>
      <c r="AB109" s="37">
        <v>1</v>
      </c>
      <c r="AC109" s="30">
        <f t="shared" si="217"/>
        <v>200</v>
      </c>
      <c r="AD109" s="31">
        <f t="shared" si="218"/>
        <v>2</v>
      </c>
      <c r="AE109" s="31">
        <f t="shared" si="219"/>
        <v>8</v>
      </c>
      <c r="AF109" s="31" t="str">
        <f t="shared" si="220"/>
        <v/>
      </c>
      <c r="AG109" s="31" t="str">
        <f t="shared" si="221"/>
        <v/>
      </c>
      <c r="AH109" s="31" t="str">
        <f t="shared" si="222"/>
        <v/>
      </c>
      <c r="AI109" s="31" t="str">
        <f t="shared" si="223"/>
        <v/>
      </c>
      <c r="AJ109" s="25">
        <v>10</v>
      </c>
      <c r="AK109" s="25">
        <v>0</v>
      </c>
      <c r="AL109" s="25">
        <v>0</v>
      </c>
      <c r="AM109" s="23" t="s">
        <v>206</v>
      </c>
      <c r="AN109" s="23" t="s">
        <v>92</v>
      </c>
      <c r="AO109" s="25">
        <v>256</v>
      </c>
      <c r="AR109" s="32" t="str">
        <f t="shared" si="224"/>
        <v>2 doors</v>
      </c>
      <c r="AS109" s="23" t="s">
        <v>255</v>
      </c>
      <c r="AT109" s="23" t="s">
        <v>270</v>
      </c>
      <c r="AU109" s="23" t="str">
        <f t="shared" si="225"/>
        <v>CC</v>
      </c>
      <c r="AV109" s="34">
        <f t="shared" si="226"/>
        <v>1348.04</v>
      </c>
      <c r="AW109" s="23">
        <v>13</v>
      </c>
      <c r="AX109" s="23">
        <v>48</v>
      </c>
      <c r="AY109" s="23">
        <v>4</v>
      </c>
    </row>
    <row r="110" spans="1:51">
      <c r="A110" s="25">
        <v>256</v>
      </c>
      <c r="B110" s="23" t="s">
        <v>256</v>
      </c>
      <c r="C110" s="23" t="s">
        <v>330</v>
      </c>
      <c r="D110" s="23">
        <v>2</v>
      </c>
      <c r="E110" s="25" t="s">
        <v>286</v>
      </c>
      <c r="F110" s="25" t="s">
        <v>302</v>
      </c>
      <c r="G110" s="23" t="s">
        <v>27</v>
      </c>
      <c r="H110" s="23" t="s">
        <v>331</v>
      </c>
      <c r="I110" s="25">
        <v>1995</v>
      </c>
      <c r="J110" s="35">
        <v>30</v>
      </c>
      <c r="K110" s="35">
        <v>40</v>
      </c>
      <c r="L110" s="35">
        <v>20</v>
      </c>
      <c r="M110" s="25">
        <v>6</v>
      </c>
      <c r="N110" s="25">
        <v>4</v>
      </c>
      <c r="R110" s="30">
        <f t="shared" si="213"/>
        <v>10</v>
      </c>
      <c r="S110" s="37">
        <v>1</v>
      </c>
      <c r="T110" s="30">
        <f t="shared" si="214"/>
        <v>18.454285714285717</v>
      </c>
      <c r="U110" s="37">
        <v>1</v>
      </c>
      <c r="V110" s="30">
        <f t="shared" si="215"/>
        <v>26.627619047619049</v>
      </c>
      <c r="W110" s="25">
        <v>105</v>
      </c>
      <c r="X110" s="31">
        <f t="shared" si="216"/>
        <v>244.8</v>
      </c>
      <c r="Y110" s="25">
        <v>180</v>
      </c>
      <c r="Z110" s="25">
        <v>11</v>
      </c>
      <c r="AA110" s="25">
        <v>50</v>
      </c>
      <c r="AB110" s="37">
        <v>1</v>
      </c>
      <c r="AC110" s="30">
        <f t="shared" si="217"/>
        <v>200</v>
      </c>
      <c r="AD110" s="31">
        <f t="shared" si="218"/>
        <v>2</v>
      </c>
      <c r="AE110" s="31">
        <f t="shared" si="219"/>
        <v>8</v>
      </c>
      <c r="AF110" s="31" t="str">
        <f t="shared" si="220"/>
        <v/>
      </c>
      <c r="AG110" s="31" t="str">
        <f t="shared" si="221"/>
        <v/>
      </c>
      <c r="AH110" s="31" t="str">
        <f t="shared" si="222"/>
        <v/>
      </c>
      <c r="AI110" s="31" t="str">
        <f t="shared" si="223"/>
        <v/>
      </c>
      <c r="AJ110" s="25">
        <v>10</v>
      </c>
      <c r="AK110" s="25">
        <v>0</v>
      </c>
      <c r="AL110" s="25">
        <v>0</v>
      </c>
      <c r="AM110" s="23" t="s">
        <v>206</v>
      </c>
      <c r="AN110" s="23" t="s">
        <v>92</v>
      </c>
      <c r="AO110" s="25">
        <v>256</v>
      </c>
      <c r="AR110" s="32" t="str">
        <f t="shared" si="224"/>
        <v>2 doors</v>
      </c>
      <c r="AS110" s="23" t="s">
        <v>255</v>
      </c>
      <c r="AT110" s="23" t="s">
        <v>270</v>
      </c>
      <c r="AU110" s="23" t="str">
        <f t="shared" si="225"/>
        <v>CC</v>
      </c>
      <c r="AV110" s="34">
        <f t="shared" si="226"/>
        <v>1348.05</v>
      </c>
      <c r="AW110" s="23">
        <v>13</v>
      </c>
      <c r="AX110" s="23">
        <v>48</v>
      </c>
      <c r="AY110" s="23">
        <v>5</v>
      </c>
    </row>
    <row r="111" spans="1:51">
      <c r="A111" s="25">
        <v>256</v>
      </c>
      <c r="B111" s="23" t="s">
        <v>256</v>
      </c>
      <c r="C111" s="23" t="s">
        <v>330</v>
      </c>
      <c r="D111" s="23">
        <v>2</v>
      </c>
      <c r="E111" s="25" t="s">
        <v>287</v>
      </c>
      <c r="F111" s="25" t="s">
        <v>302</v>
      </c>
      <c r="G111" s="23" t="s">
        <v>27</v>
      </c>
      <c r="H111" s="23" t="s">
        <v>331</v>
      </c>
      <c r="I111" s="25">
        <v>1995</v>
      </c>
      <c r="J111" s="35">
        <v>30</v>
      </c>
      <c r="K111" s="35">
        <v>40</v>
      </c>
      <c r="L111" s="35">
        <v>20</v>
      </c>
      <c r="M111" s="25">
        <v>6</v>
      </c>
      <c r="N111" s="25">
        <v>4</v>
      </c>
      <c r="R111" s="30">
        <f t="shared" si="213"/>
        <v>10</v>
      </c>
      <c r="S111" s="37">
        <v>1</v>
      </c>
      <c r="T111" s="30">
        <f t="shared" si="214"/>
        <v>18.454285714285717</v>
      </c>
      <c r="U111" s="37">
        <v>1</v>
      </c>
      <c r="V111" s="30">
        <f t="shared" si="215"/>
        <v>26.627619047619049</v>
      </c>
      <c r="W111" s="25">
        <v>105</v>
      </c>
      <c r="X111" s="31">
        <f t="shared" si="216"/>
        <v>244.8</v>
      </c>
      <c r="Y111" s="25">
        <v>180</v>
      </c>
      <c r="Z111" s="25">
        <v>11</v>
      </c>
      <c r="AA111" s="25">
        <v>50</v>
      </c>
      <c r="AB111" s="37">
        <v>1</v>
      </c>
      <c r="AC111" s="30">
        <f t="shared" si="217"/>
        <v>200</v>
      </c>
      <c r="AD111" s="31">
        <f t="shared" si="218"/>
        <v>2</v>
      </c>
      <c r="AE111" s="31">
        <f t="shared" si="219"/>
        <v>8</v>
      </c>
      <c r="AF111" s="31" t="str">
        <f t="shared" si="220"/>
        <v/>
      </c>
      <c r="AG111" s="31" t="str">
        <f t="shared" si="221"/>
        <v/>
      </c>
      <c r="AH111" s="31" t="str">
        <f t="shared" si="222"/>
        <v/>
      </c>
      <c r="AI111" s="31" t="str">
        <f t="shared" si="223"/>
        <v/>
      </c>
      <c r="AJ111" s="25">
        <v>10</v>
      </c>
      <c r="AK111" s="25">
        <v>0</v>
      </c>
      <c r="AL111" s="25">
        <v>0</v>
      </c>
      <c r="AM111" s="23" t="s">
        <v>206</v>
      </c>
      <c r="AN111" s="23" t="s">
        <v>92</v>
      </c>
      <c r="AO111" s="25">
        <v>256</v>
      </c>
      <c r="AR111" s="32" t="str">
        <f t="shared" si="224"/>
        <v>2 doors</v>
      </c>
      <c r="AS111" s="23" t="s">
        <v>255</v>
      </c>
      <c r="AT111" s="23" t="s">
        <v>270</v>
      </c>
      <c r="AU111" s="23" t="str">
        <f t="shared" si="225"/>
        <v>CC</v>
      </c>
      <c r="AV111" s="34">
        <f t="shared" si="226"/>
        <v>1348.06</v>
      </c>
      <c r="AW111" s="23">
        <v>13</v>
      </c>
      <c r="AX111" s="23">
        <v>48</v>
      </c>
      <c r="AY111" s="23">
        <v>6</v>
      </c>
    </row>
    <row r="112" spans="1:51">
      <c r="A112" s="25">
        <v>260</v>
      </c>
      <c r="B112" s="23" t="s">
        <v>89</v>
      </c>
      <c r="C112" s="23" t="s">
        <v>124</v>
      </c>
      <c r="D112" s="23">
        <v>3</v>
      </c>
      <c r="E112" s="25" t="s">
        <v>30</v>
      </c>
      <c r="F112" s="25" t="s">
        <v>295</v>
      </c>
      <c r="G112" s="23" t="s">
        <v>27</v>
      </c>
      <c r="H112" s="23" t="s">
        <v>156</v>
      </c>
      <c r="I112" s="25">
        <v>1971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O112" s="25">
        <v>10</v>
      </c>
      <c r="R112" s="30">
        <f t="shared" si="151"/>
        <v>30</v>
      </c>
      <c r="S112" s="37">
        <v>1</v>
      </c>
      <c r="T112" s="30">
        <f t="shared" si="122"/>
        <v>17.230857142857143</v>
      </c>
      <c r="U112" s="37">
        <v>1</v>
      </c>
      <c r="V112" s="30">
        <f t="shared" si="106"/>
        <v>23.08552380952381</v>
      </c>
      <c r="W112" s="25">
        <v>62</v>
      </c>
      <c r="X112" s="31">
        <f t="shared" si="152"/>
        <v>191.76000000000002</v>
      </c>
      <c r="Y112" s="25">
        <v>141</v>
      </c>
      <c r="Z112" s="25">
        <v>11</v>
      </c>
      <c r="AA112" s="25">
        <v>100</v>
      </c>
      <c r="AB112" s="37">
        <v>1</v>
      </c>
      <c r="AC112" s="30">
        <f t="shared" si="70"/>
        <v>200</v>
      </c>
      <c r="AD112" s="31">
        <f t="shared" si="153"/>
        <v>1</v>
      </c>
      <c r="AE112" s="31">
        <f t="shared" si="154"/>
        <v>8</v>
      </c>
      <c r="AF112" s="31" t="str">
        <f t="shared" si="155"/>
        <v/>
      </c>
      <c r="AG112" s="31" t="str">
        <f t="shared" si="156"/>
        <v/>
      </c>
      <c r="AH112" s="31" t="str">
        <f t="shared" si="157"/>
        <v/>
      </c>
      <c r="AI112" s="31" t="str">
        <f t="shared" si="158"/>
        <v/>
      </c>
      <c r="AJ112" s="25">
        <v>9</v>
      </c>
      <c r="AK112" s="25">
        <v>0</v>
      </c>
      <c r="AL112" s="25">
        <v>0</v>
      </c>
      <c r="AM112" s="23" t="s">
        <v>206</v>
      </c>
      <c r="AN112" s="23" t="s">
        <v>92</v>
      </c>
      <c r="AO112" s="25">
        <v>260</v>
      </c>
      <c r="AR112" s="32" t="str">
        <f t="shared" si="159"/>
        <v>3 doors</v>
      </c>
      <c r="AS112" s="23" t="s">
        <v>232</v>
      </c>
      <c r="AT112" s="23" t="s">
        <v>32</v>
      </c>
      <c r="AU112" s="23" t="str">
        <f t="shared" si="107"/>
        <v>CC</v>
      </c>
      <c r="AV112" s="34">
        <f t="shared" si="160"/>
        <v>1400</v>
      </c>
      <c r="AW112" s="23">
        <v>14</v>
      </c>
      <c r="AX112" s="23">
        <v>0</v>
      </c>
      <c r="AY112" s="23">
        <v>0</v>
      </c>
    </row>
    <row r="113" spans="1:51">
      <c r="A113" s="25">
        <v>260</v>
      </c>
      <c r="B113" s="23" t="s">
        <v>89</v>
      </c>
      <c r="C113" s="23" t="s">
        <v>124</v>
      </c>
      <c r="D113" s="23">
        <v>3</v>
      </c>
      <c r="E113" s="25" t="s">
        <v>42</v>
      </c>
      <c r="F113" s="25" t="s">
        <v>296</v>
      </c>
      <c r="G113" s="23" t="s">
        <v>27</v>
      </c>
      <c r="H113" s="23" t="s">
        <v>156</v>
      </c>
      <c r="I113" s="25">
        <v>1971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O113" s="25">
        <v>10</v>
      </c>
      <c r="R113" s="30">
        <f t="shared" si="151"/>
        <v>30</v>
      </c>
      <c r="S113" s="37">
        <v>1</v>
      </c>
      <c r="T113" s="30">
        <f t="shared" si="122"/>
        <v>17.230857142857143</v>
      </c>
      <c r="U113" s="37">
        <v>1</v>
      </c>
      <c r="V113" s="30">
        <f t="shared" si="106"/>
        <v>23.08552380952381</v>
      </c>
      <c r="W113" s="25">
        <v>62</v>
      </c>
      <c r="X113" s="31">
        <f t="shared" si="152"/>
        <v>191.76000000000002</v>
      </c>
      <c r="Y113" s="25">
        <v>141</v>
      </c>
      <c r="Z113" s="25">
        <v>11</v>
      </c>
      <c r="AA113" s="25">
        <v>100</v>
      </c>
      <c r="AB113" s="37">
        <v>1</v>
      </c>
      <c r="AC113" s="30">
        <f t="shared" si="70"/>
        <v>200</v>
      </c>
      <c r="AD113" s="31">
        <f t="shared" si="153"/>
        <v>1</v>
      </c>
      <c r="AE113" s="31">
        <f t="shared" si="154"/>
        <v>8</v>
      </c>
      <c r="AF113" s="31" t="str">
        <f t="shared" si="155"/>
        <v/>
      </c>
      <c r="AG113" s="31" t="str">
        <f t="shared" si="156"/>
        <v/>
      </c>
      <c r="AH113" s="31" t="str">
        <f t="shared" si="157"/>
        <v/>
      </c>
      <c r="AI113" s="31" t="str">
        <f t="shared" si="158"/>
        <v/>
      </c>
      <c r="AJ113" s="25">
        <v>9</v>
      </c>
      <c r="AK113" s="25">
        <v>0</v>
      </c>
      <c r="AL113" s="25">
        <v>0</v>
      </c>
      <c r="AM113" s="23" t="s">
        <v>206</v>
      </c>
      <c r="AN113" s="23" t="s">
        <v>92</v>
      </c>
      <c r="AO113" s="25">
        <v>260</v>
      </c>
      <c r="AR113" s="32" t="str">
        <f t="shared" si="159"/>
        <v>3 doors</v>
      </c>
      <c r="AS113" s="23" t="s">
        <v>232</v>
      </c>
      <c r="AT113" s="23" t="s">
        <v>32</v>
      </c>
      <c r="AU113" s="23" t="str">
        <f t="shared" si="107"/>
        <v>CC</v>
      </c>
      <c r="AV113" s="34">
        <f t="shared" si="160"/>
        <v>1400.01</v>
      </c>
      <c r="AW113" s="23">
        <v>14</v>
      </c>
      <c r="AX113" s="23">
        <v>0</v>
      </c>
      <c r="AY113" s="23">
        <v>1</v>
      </c>
    </row>
    <row r="114" spans="1:51">
      <c r="A114" s="25">
        <v>260</v>
      </c>
      <c r="B114" s="23" t="s">
        <v>89</v>
      </c>
      <c r="C114" s="23" t="s">
        <v>124</v>
      </c>
      <c r="D114" s="23">
        <v>3</v>
      </c>
      <c r="E114" s="25" t="s">
        <v>43</v>
      </c>
      <c r="F114" s="25" t="s">
        <v>297</v>
      </c>
      <c r="G114" s="23" t="s">
        <v>27</v>
      </c>
      <c r="H114" s="23" t="s">
        <v>156</v>
      </c>
      <c r="I114" s="25">
        <v>1971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10</v>
      </c>
      <c r="R114" s="30">
        <f t="shared" ref="R114:R118" si="227">SUM(M114:Q114)</f>
        <v>30</v>
      </c>
      <c r="S114" s="37">
        <v>1</v>
      </c>
      <c r="T114" s="30">
        <f t="shared" si="122"/>
        <v>17.230857142857143</v>
      </c>
      <c r="U114" s="37">
        <v>1</v>
      </c>
      <c r="V114" s="30">
        <f t="shared" si="106"/>
        <v>23.08552380952381</v>
      </c>
      <c r="W114" s="25">
        <v>62</v>
      </c>
      <c r="X114" s="31">
        <f t="shared" ref="X114:X118" si="228">Y114*1.36</f>
        <v>191.76000000000002</v>
      </c>
      <c r="Y114" s="25">
        <v>141</v>
      </c>
      <c r="Z114" s="25">
        <v>11</v>
      </c>
      <c r="AA114" s="25">
        <v>100</v>
      </c>
      <c r="AB114" s="37">
        <v>1</v>
      </c>
      <c r="AC114" s="30">
        <f t="shared" si="70"/>
        <v>200</v>
      </c>
      <c r="AD114" s="31">
        <f t="shared" ref="AD114:AD118" si="229">IF(AJ114&gt;8, AJ114-8, AJ114)</f>
        <v>1</v>
      </c>
      <c r="AE114" s="31">
        <f t="shared" ref="AE114:AE118" si="230">IF(AJ114&gt;8, 8, "")</f>
        <v>8</v>
      </c>
      <c r="AF114" s="31" t="str">
        <f t="shared" ref="AF114:AF118" si="231">IF(AK114&gt;8, AK114-8, IF(AK114=0, "", AK114))</f>
        <v/>
      </c>
      <c r="AG114" s="31" t="str">
        <f t="shared" ref="AG114:AG118" si="232">IF(AK114&gt;8, 8, "")</f>
        <v/>
      </c>
      <c r="AH114" s="31" t="str">
        <f t="shared" ref="AH114:AH118" si="233">IF(AL114&gt;8, AL114-8, IF(AL114=0, "", AL114))</f>
        <v/>
      </c>
      <c r="AI114" s="31" t="str">
        <f t="shared" ref="AI114:AI118" si="234">IF(AL114&gt;8, 8, "")</f>
        <v/>
      </c>
      <c r="AJ114" s="25">
        <v>9</v>
      </c>
      <c r="AK114" s="25">
        <v>0</v>
      </c>
      <c r="AL114" s="25">
        <v>0</v>
      </c>
      <c r="AM114" s="23" t="s">
        <v>206</v>
      </c>
      <c r="AN114" s="23" t="s">
        <v>92</v>
      </c>
      <c r="AO114" s="25">
        <v>260</v>
      </c>
      <c r="AR114" s="32" t="str">
        <f t="shared" ref="AR114:AR118" si="235">IF(Q114&gt;0, "5 doors", IF(P114&gt;0, "4 doors", IF(O114&gt;0, "3 doors", IF(N114&gt;0, "2 doors", "1 door"))))</f>
        <v>3 doors</v>
      </c>
      <c r="AS114" s="23" t="s">
        <v>232</v>
      </c>
      <c r="AT114" s="23" t="s">
        <v>32</v>
      </c>
      <c r="AU114" s="23" t="str">
        <f t="shared" ref="AU114:AU118" si="236">IF(ISNUMBER(SEARCH("CC", E114)), "CC", "Hungary")</f>
        <v>CC</v>
      </c>
      <c r="AV114" s="34">
        <f t="shared" ref="AV114:AV118" si="237">(AW114*100)+AX114+(AY114/100)</f>
        <v>1400.02</v>
      </c>
      <c r="AW114" s="23">
        <v>14</v>
      </c>
      <c r="AX114" s="23">
        <v>0</v>
      </c>
      <c r="AY114" s="23">
        <v>2</v>
      </c>
    </row>
    <row r="115" spans="1:51">
      <c r="A115" s="25">
        <v>260</v>
      </c>
      <c r="B115" s="23" t="s">
        <v>89</v>
      </c>
      <c r="C115" s="23" t="s">
        <v>124</v>
      </c>
      <c r="D115" s="23">
        <v>3</v>
      </c>
      <c r="E115" s="25" t="s">
        <v>284</v>
      </c>
      <c r="F115" s="25" t="s">
        <v>298</v>
      </c>
      <c r="G115" s="23" t="s">
        <v>27</v>
      </c>
      <c r="H115" s="23" t="s">
        <v>156</v>
      </c>
      <c r="I115" s="25">
        <v>1971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10</v>
      </c>
      <c r="R115" s="30">
        <f t="shared" si="227"/>
        <v>30</v>
      </c>
      <c r="S115" s="37">
        <v>1</v>
      </c>
      <c r="T115" s="30">
        <f t="shared" si="122"/>
        <v>17.230857142857143</v>
      </c>
      <c r="U115" s="37">
        <v>1</v>
      </c>
      <c r="V115" s="30">
        <f t="shared" si="106"/>
        <v>23.08552380952381</v>
      </c>
      <c r="W115" s="25">
        <v>62</v>
      </c>
      <c r="X115" s="31">
        <f t="shared" si="228"/>
        <v>191.76000000000002</v>
      </c>
      <c r="Y115" s="25">
        <v>141</v>
      </c>
      <c r="Z115" s="25">
        <v>11</v>
      </c>
      <c r="AA115" s="25">
        <v>100</v>
      </c>
      <c r="AB115" s="37">
        <v>1</v>
      </c>
      <c r="AC115" s="30">
        <f t="shared" si="70"/>
        <v>200</v>
      </c>
      <c r="AD115" s="31">
        <f t="shared" si="229"/>
        <v>1</v>
      </c>
      <c r="AE115" s="31">
        <f t="shared" si="230"/>
        <v>8</v>
      </c>
      <c r="AF115" s="31" t="str">
        <f t="shared" si="231"/>
        <v/>
      </c>
      <c r="AG115" s="31" t="str">
        <f t="shared" si="232"/>
        <v/>
      </c>
      <c r="AH115" s="31" t="str">
        <f t="shared" si="233"/>
        <v/>
      </c>
      <c r="AI115" s="31" t="str">
        <f t="shared" si="234"/>
        <v/>
      </c>
      <c r="AJ115" s="25">
        <v>9</v>
      </c>
      <c r="AK115" s="25">
        <v>0</v>
      </c>
      <c r="AL115" s="25">
        <v>0</v>
      </c>
      <c r="AM115" s="23" t="s">
        <v>206</v>
      </c>
      <c r="AN115" s="23" t="s">
        <v>92</v>
      </c>
      <c r="AO115" s="25">
        <v>260</v>
      </c>
      <c r="AR115" s="32" t="str">
        <f t="shared" si="235"/>
        <v>3 doors</v>
      </c>
      <c r="AS115" s="23" t="s">
        <v>232</v>
      </c>
      <c r="AT115" s="23" t="s">
        <v>32</v>
      </c>
      <c r="AU115" s="23" t="str">
        <f t="shared" si="236"/>
        <v>CC</v>
      </c>
      <c r="AV115" s="34">
        <f t="shared" si="237"/>
        <v>1400.03</v>
      </c>
      <c r="AW115" s="23">
        <v>14</v>
      </c>
      <c r="AX115" s="23">
        <v>0</v>
      </c>
      <c r="AY115" s="23">
        <v>3</v>
      </c>
    </row>
    <row r="116" spans="1:51">
      <c r="A116" s="25">
        <v>260</v>
      </c>
      <c r="B116" s="23" t="s">
        <v>89</v>
      </c>
      <c r="C116" s="23" t="s">
        <v>124</v>
      </c>
      <c r="D116" s="23">
        <v>3</v>
      </c>
      <c r="E116" s="25" t="s">
        <v>285</v>
      </c>
      <c r="F116" s="25" t="s">
        <v>299</v>
      </c>
      <c r="G116" s="23" t="s">
        <v>27</v>
      </c>
      <c r="H116" s="23" t="s">
        <v>156</v>
      </c>
      <c r="I116" s="25">
        <v>1971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R116" s="30">
        <f t="shared" si="227"/>
        <v>30</v>
      </c>
      <c r="S116" s="37">
        <v>1</v>
      </c>
      <c r="T116" s="30">
        <f t="shared" si="122"/>
        <v>17.230857142857143</v>
      </c>
      <c r="U116" s="37">
        <v>1</v>
      </c>
      <c r="V116" s="30">
        <f t="shared" si="106"/>
        <v>23.08552380952381</v>
      </c>
      <c r="W116" s="25">
        <v>62</v>
      </c>
      <c r="X116" s="31">
        <f t="shared" si="228"/>
        <v>191.76000000000002</v>
      </c>
      <c r="Y116" s="25">
        <v>141</v>
      </c>
      <c r="Z116" s="25">
        <v>11</v>
      </c>
      <c r="AA116" s="25">
        <v>100</v>
      </c>
      <c r="AB116" s="37">
        <v>1</v>
      </c>
      <c r="AC116" s="30">
        <f t="shared" si="70"/>
        <v>200</v>
      </c>
      <c r="AD116" s="31">
        <f t="shared" si="229"/>
        <v>1</v>
      </c>
      <c r="AE116" s="31">
        <f t="shared" si="230"/>
        <v>8</v>
      </c>
      <c r="AF116" s="31" t="str">
        <f t="shared" si="231"/>
        <v/>
      </c>
      <c r="AG116" s="31" t="str">
        <f t="shared" si="232"/>
        <v/>
      </c>
      <c r="AH116" s="31" t="str">
        <f t="shared" si="233"/>
        <v/>
      </c>
      <c r="AI116" s="31" t="str">
        <f t="shared" si="234"/>
        <v/>
      </c>
      <c r="AJ116" s="25">
        <v>9</v>
      </c>
      <c r="AK116" s="25">
        <v>0</v>
      </c>
      <c r="AL116" s="25">
        <v>0</v>
      </c>
      <c r="AM116" s="23" t="s">
        <v>206</v>
      </c>
      <c r="AN116" s="23" t="s">
        <v>92</v>
      </c>
      <c r="AO116" s="25">
        <v>260</v>
      </c>
      <c r="AR116" s="32" t="str">
        <f t="shared" si="235"/>
        <v>3 doors</v>
      </c>
      <c r="AS116" s="23" t="s">
        <v>232</v>
      </c>
      <c r="AT116" s="23" t="s">
        <v>32</v>
      </c>
      <c r="AU116" s="23" t="str">
        <f t="shared" si="236"/>
        <v>CC</v>
      </c>
      <c r="AV116" s="34">
        <f t="shared" si="237"/>
        <v>1400.04</v>
      </c>
      <c r="AW116" s="23">
        <v>14</v>
      </c>
      <c r="AX116" s="23">
        <v>0</v>
      </c>
      <c r="AY116" s="23">
        <v>4</v>
      </c>
    </row>
    <row r="117" spans="1:51">
      <c r="A117" s="25">
        <v>260</v>
      </c>
      <c r="B117" s="23" t="s">
        <v>89</v>
      </c>
      <c r="C117" s="23" t="s">
        <v>124</v>
      </c>
      <c r="D117" s="23">
        <v>3</v>
      </c>
      <c r="E117" s="25" t="s">
        <v>286</v>
      </c>
      <c r="F117" s="25" t="s">
        <v>301</v>
      </c>
      <c r="G117" s="23" t="s">
        <v>27</v>
      </c>
      <c r="H117" s="23" t="s">
        <v>156</v>
      </c>
      <c r="I117" s="25">
        <v>1971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R117" s="30">
        <f t="shared" si="227"/>
        <v>30</v>
      </c>
      <c r="S117" s="37">
        <v>1</v>
      </c>
      <c r="T117" s="30">
        <f t="shared" si="122"/>
        <v>17.230857142857143</v>
      </c>
      <c r="U117" s="37">
        <v>1</v>
      </c>
      <c r="V117" s="30">
        <f t="shared" si="106"/>
        <v>23.08552380952381</v>
      </c>
      <c r="W117" s="25">
        <v>62</v>
      </c>
      <c r="X117" s="31">
        <f t="shared" si="228"/>
        <v>191.76000000000002</v>
      </c>
      <c r="Y117" s="25">
        <v>141</v>
      </c>
      <c r="Z117" s="25">
        <v>11</v>
      </c>
      <c r="AA117" s="25">
        <v>100</v>
      </c>
      <c r="AB117" s="37">
        <v>1</v>
      </c>
      <c r="AC117" s="30">
        <f t="shared" si="70"/>
        <v>200</v>
      </c>
      <c r="AD117" s="31">
        <f t="shared" si="229"/>
        <v>1</v>
      </c>
      <c r="AE117" s="31">
        <f t="shared" si="230"/>
        <v>8</v>
      </c>
      <c r="AF117" s="31" t="str">
        <f t="shared" si="231"/>
        <v/>
      </c>
      <c r="AG117" s="31" t="str">
        <f t="shared" si="232"/>
        <v/>
      </c>
      <c r="AH117" s="31" t="str">
        <f t="shared" si="233"/>
        <v/>
      </c>
      <c r="AI117" s="31" t="str">
        <f t="shared" si="234"/>
        <v/>
      </c>
      <c r="AJ117" s="25">
        <v>9</v>
      </c>
      <c r="AK117" s="25">
        <v>0</v>
      </c>
      <c r="AL117" s="25">
        <v>0</v>
      </c>
      <c r="AM117" s="23" t="s">
        <v>206</v>
      </c>
      <c r="AN117" s="23" t="s">
        <v>92</v>
      </c>
      <c r="AO117" s="25">
        <v>260</v>
      </c>
      <c r="AR117" s="32" t="str">
        <f t="shared" si="235"/>
        <v>3 doors</v>
      </c>
      <c r="AS117" s="23" t="s">
        <v>232</v>
      </c>
      <c r="AT117" s="23" t="s">
        <v>32</v>
      </c>
      <c r="AU117" s="23" t="str">
        <f t="shared" si="236"/>
        <v>CC</v>
      </c>
      <c r="AV117" s="34">
        <f t="shared" si="237"/>
        <v>1400.05</v>
      </c>
      <c r="AW117" s="23">
        <v>14</v>
      </c>
      <c r="AX117" s="23">
        <v>0</v>
      </c>
      <c r="AY117" s="23">
        <v>5</v>
      </c>
    </row>
    <row r="118" spans="1:51">
      <c r="A118" s="25">
        <v>260</v>
      </c>
      <c r="B118" s="23" t="s">
        <v>89</v>
      </c>
      <c r="C118" s="23" t="s">
        <v>124</v>
      </c>
      <c r="D118" s="23">
        <v>3</v>
      </c>
      <c r="E118" s="25" t="s">
        <v>287</v>
      </c>
      <c r="F118" s="25" t="s">
        <v>300</v>
      </c>
      <c r="G118" s="23" t="s">
        <v>27</v>
      </c>
      <c r="H118" s="23" t="s">
        <v>156</v>
      </c>
      <c r="I118" s="25">
        <v>1971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R118" s="30">
        <f t="shared" si="227"/>
        <v>30</v>
      </c>
      <c r="S118" s="37">
        <v>1</v>
      </c>
      <c r="T118" s="30">
        <f t="shared" si="122"/>
        <v>17.230857142857143</v>
      </c>
      <c r="U118" s="37">
        <v>1</v>
      </c>
      <c r="V118" s="30">
        <f t="shared" si="106"/>
        <v>23.08552380952381</v>
      </c>
      <c r="W118" s="25">
        <v>62</v>
      </c>
      <c r="X118" s="31">
        <f t="shared" si="228"/>
        <v>191.76000000000002</v>
      </c>
      <c r="Y118" s="25">
        <v>141</v>
      </c>
      <c r="Z118" s="25">
        <v>11</v>
      </c>
      <c r="AA118" s="25">
        <v>100</v>
      </c>
      <c r="AB118" s="37">
        <v>1</v>
      </c>
      <c r="AC118" s="30">
        <f t="shared" si="70"/>
        <v>200</v>
      </c>
      <c r="AD118" s="31">
        <f t="shared" si="229"/>
        <v>1</v>
      </c>
      <c r="AE118" s="31">
        <f t="shared" si="230"/>
        <v>8</v>
      </c>
      <c r="AF118" s="31" t="str">
        <f t="shared" si="231"/>
        <v/>
      </c>
      <c r="AG118" s="31" t="str">
        <f t="shared" si="232"/>
        <v/>
      </c>
      <c r="AH118" s="31" t="str">
        <f t="shared" si="233"/>
        <v/>
      </c>
      <c r="AI118" s="31" t="str">
        <f t="shared" si="234"/>
        <v/>
      </c>
      <c r="AJ118" s="25">
        <v>9</v>
      </c>
      <c r="AK118" s="25">
        <v>0</v>
      </c>
      <c r="AL118" s="25">
        <v>0</v>
      </c>
      <c r="AM118" s="23" t="s">
        <v>206</v>
      </c>
      <c r="AN118" s="23" t="s">
        <v>92</v>
      </c>
      <c r="AO118" s="25">
        <v>260</v>
      </c>
      <c r="AR118" s="32" t="str">
        <f t="shared" si="235"/>
        <v>3 doors</v>
      </c>
      <c r="AS118" s="23" t="s">
        <v>232</v>
      </c>
      <c r="AT118" s="23" t="s">
        <v>32</v>
      </c>
      <c r="AU118" s="23" t="str">
        <f t="shared" si="236"/>
        <v>CC</v>
      </c>
      <c r="AV118" s="34">
        <f t="shared" si="237"/>
        <v>1400.06</v>
      </c>
      <c r="AW118" s="23">
        <v>14</v>
      </c>
      <c r="AX118" s="23">
        <v>0</v>
      </c>
      <c r="AY118" s="23">
        <v>6</v>
      </c>
    </row>
    <row r="119" spans="1:51">
      <c r="A119" s="25">
        <v>260</v>
      </c>
      <c r="B119" s="23" t="s">
        <v>89</v>
      </c>
      <c r="C119" s="23" t="s">
        <v>124</v>
      </c>
      <c r="D119" s="23">
        <v>3</v>
      </c>
      <c r="E119" s="25" t="s">
        <v>288</v>
      </c>
      <c r="F119" s="25" t="s">
        <v>315</v>
      </c>
      <c r="G119" s="23" t="s">
        <v>27</v>
      </c>
      <c r="H119" s="23" t="s">
        <v>156</v>
      </c>
      <c r="I119" s="25">
        <v>1971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ref="R119" si="238">SUM(M119:Q119)</f>
        <v>30</v>
      </c>
      <c r="S119" s="37">
        <v>1</v>
      </c>
      <c r="T119" s="30">
        <f t="shared" si="122"/>
        <v>17.230857142857143</v>
      </c>
      <c r="U119" s="37">
        <v>1</v>
      </c>
      <c r="V119" s="30">
        <f t="shared" si="106"/>
        <v>23.08552380952381</v>
      </c>
      <c r="W119" s="25">
        <v>62</v>
      </c>
      <c r="X119" s="31">
        <f t="shared" ref="X119" si="239">Y119*1.36</f>
        <v>191.76000000000002</v>
      </c>
      <c r="Y119" s="25">
        <v>141</v>
      </c>
      <c r="Z119" s="25">
        <v>11</v>
      </c>
      <c r="AA119" s="25">
        <v>100</v>
      </c>
      <c r="AB119" s="37">
        <v>1</v>
      </c>
      <c r="AC119" s="30">
        <f t="shared" si="70"/>
        <v>200</v>
      </c>
      <c r="AD119" s="31">
        <f t="shared" ref="AD119" si="240">IF(AJ119&gt;8, AJ119-8, AJ119)</f>
        <v>1</v>
      </c>
      <c r="AE119" s="31">
        <f t="shared" ref="AE119" si="241">IF(AJ119&gt;8, 8, "")</f>
        <v>8</v>
      </c>
      <c r="AF119" s="31" t="str">
        <f t="shared" ref="AF119" si="242">IF(AK119&gt;8, AK119-8, IF(AK119=0, "", AK119))</f>
        <v/>
      </c>
      <c r="AG119" s="31" t="str">
        <f t="shared" ref="AG119" si="243">IF(AK119&gt;8, 8, "")</f>
        <v/>
      </c>
      <c r="AH119" s="31" t="str">
        <f t="shared" ref="AH119" si="244">IF(AL119&gt;8, AL119-8, IF(AL119=0, "", AL119))</f>
        <v/>
      </c>
      <c r="AI119" s="31" t="str">
        <f t="shared" ref="AI119" si="245">IF(AL119&gt;8, 8, "")</f>
        <v/>
      </c>
      <c r="AJ119" s="25">
        <v>9</v>
      </c>
      <c r="AK119" s="25">
        <v>0</v>
      </c>
      <c r="AL119" s="25">
        <v>0</v>
      </c>
      <c r="AM119" s="23" t="s">
        <v>206</v>
      </c>
      <c r="AN119" s="23" t="s">
        <v>92</v>
      </c>
      <c r="AO119" s="25">
        <v>260</v>
      </c>
      <c r="AR119" s="32" t="str">
        <f t="shared" ref="AR119" si="246">IF(Q119&gt;0, "5 doors", IF(P119&gt;0, "4 doors", IF(O119&gt;0, "3 doors", IF(N119&gt;0, "2 doors", "1 door"))))</f>
        <v>3 doors</v>
      </c>
      <c r="AS119" s="23" t="s">
        <v>232</v>
      </c>
      <c r="AT119" s="23" t="s">
        <v>32</v>
      </c>
      <c r="AU119" s="23" t="str">
        <f t="shared" ref="AU119" si="247">IF(ISNUMBER(SEARCH("CC", E119)), "CC", "Hungary")</f>
        <v>CC</v>
      </c>
      <c r="AV119" s="34">
        <f t="shared" ref="AV119" si="248">(AW119*100)+AX119+(AY119/100)</f>
        <v>1400.07</v>
      </c>
      <c r="AW119" s="23">
        <v>14</v>
      </c>
      <c r="AX119" s="23">
        <v>0</v>
      </c>
      <c r="AY119" s="23">
        <v>7</v>
      </c>
    </row>
    <row r="120" spans="1:51">
      <c r="A120" s="25">
        <v>260</v>
      </c>
      <c r="B120" s="23" t="s">
        <v>89</v>
      </c>
      <c r="C120" s="23" t="s">
        <v>124</v>
      </c>
      <c r="D120" s="23">
        <v>3</v>
      </c>
      <c r="E120" s="25" t="s">
        <v>85</v>
      </c>
      <c r="F120" s="25" t="s">
        <v>85</v>
      </c>
      <c r="G120" s="23" t="s">
        <v>27</v>
      </c>
      <c r="H120" s="23" t="s">
        <v>156</v>
      </c>
      <c r="I120" s="25">
        <v>1971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151"/>
        <v>30</v>
      </c>
      <c r="S120" s="37">
        <v>1</v>
      </c>
      <c r="T120" s="30">
        <f t="shared" si="122"/>
        <v>17.230857142857143</v>
      </c>
      <c r="U120" s="37">
        <v>1</v>
      </c>
      <c r="V120" s="30">
        <f t="shared" si="106"/>
        <v>23.08552380952381</v>
      </c>
      <c r="W120" s="25">
        <v>62</v>
      </c>
      <c r="X120" s="31">
        <f t="shared" si="152"/>
        <v>191.76000000000002</v>
      </c>
      <c r="Y120" s="25">
        <v>141</v>
      </c>
      <c r="Z120" s="25">
        <v>11</v>
      </c>
      <c r="AA120" s="25">
        <v>100</v>
      </c>
      <c r="AB120" s="37">
        <v>1</v>
      </c>
      <c r="AC120" s="30">
        <f t="shared" si="70"/>
        <v>200</v>
      </c>
      <c r="AD120" s="31">
        <f t="shared" si="153"/>
        <v>1</v>
      </c>
      <c r="AE120" s="31">
        <f t="shared" si="154"/>
        <v>8</v>
      </c>
      <c r="AF120" s="31" t="str">
        <f t="shared" si="155"/>
        <v/>
      </c>
      <c r="AG120" s="31" t="str">
        <f t="shared" si="156"/>
        <v/>
      </c>
      <c r="AH120" s="31" t="str">
        <f t="shared" si="157"/>
        <v/>
      </c>
      <c r="AI120" s="31" t="str">
        <f t="shared" si="158"/>
        <v/>
      </c>
      <c r="AJ120" s="25">
        <v>9</v>
      </c>
      <c r="AK120" s="25">
        <v>0</v>
      </c>
      <c r="AL120" s="25">
        <v>0</v>
      </c>
      <c r="AM120" s="23" t="s">
        <v>206</v>
      </c>
      <c r="AN120" s="23" t="s">
        <v>92</v>
      </c>
      <c r="AO120" s="25">
        <v>260</v>
      </c>
      <c r="AR120" s="32" t="str">
        <f t="shared" si="159"/>
        <v>3 doors</v>
      </c>
      <c r="AS120" s="23" t="s">
        <v>232</v>
      </c>
      <c r="AT120" s="23" t="s">
        <v>32</v>
      </c>
      <c r="AU120" s="23" t="str">
        <f t="shared" si="107"/>
        <v>Hungary</v>
      </c>
      <c r="AV120" s="34">
        <f t="shared" si="160"/>
        <v>1400.08</v>
      </c>
      <c r="AW120" s="23">
        <v>14</v>
      </c>
      <c r="AX120" s="23">
        <v>0</v>
      </c>
      <c r="AY120" s="23">
        <v>8</v>
      </c>
    </row>
    <row r="121" spans="1:51">
      <c r="A121" s="25">
        <v>260</v>
      </c>
      <c r="B121" s="23" t="s">
        <v>125</v>
      </c>
      <c r="C121" s="23" t="s">
        <v>124</v>
      </c>
      <c r="D121" s="23">
        <v>2</v>
      </c>
      <c r="E121" s="25" t="s">
        <v>30</v>
      </c>
      <c r="F121" s="25" t="s">
        <v>302</v>
      </c>
      <c r="G121" s="23" t="s">
        <v>27</v>
      </c>
      <c r="H121" s="23" t="s">
        <v>157</v>
      </c>
      <c r="I121" s="25">
        <v>1971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R121" s="30">
        <f t="shared" si="151"/>
        <v>20</v>
      </c>
      <c r="S121" s="37">
        <v>1</v>
      </c>
      <c r="T121" s="30">
        <f t="shared" si="122"/>
        <v>16.516571428571428</v>
      </c>
      <c r="U121" s="37">
        <v>1</v>
      </c>
      <c r="V121" s="30">
        <f t="shared" si="106"/>
        <v>22.17790476190476</v>
      </c>
      <c r="W121" s="25">
        <v>78</v>
      </c>
      <c r="X121" s="31">
        <f t="shared" si="152"/>
        <v>191.76000000000002</v>
      </c>
      <c r="Y121" s="25">
        <v>141</v>
      </c>
      <c r="Z121" s="25">
        <v>11</v>
      </c>
      <c r="AA121" s="25">
        <v>71</v>
      </c>
      <c r="AB121" s="37">
        <v>1</v>
      </c>
      <c r="AC121" s="30">
        <f t="shared" si="70"/>
        <v>200</v>
      </c>
      <c r="AD121" s="31">
        <f t="shared" si="153"/>
        <v>1</v>
      </c>
      <c r="AE121" s="31">
        <f t="shared" si="154"/>
        <v>8</v>
      </c>
      <c r="AF121" s="31" t="str">
        <f t="shared" si="155"/>
        <v/>
      </c>
      <c r="AG121" s="31" t="str">
        <f t="shared" si="156"/>
        <v/>
      </c>
      <c r="AH121" s="31" t="str">
        <f t="shared" si="157"/>
        <v/>
      </c>
      <c r="AI121" s="31" t="str">
        <f t="shared" si="158"/>
        <v/>
      </c>
      <c r="AJ121" s="25">
        <v>9</v>
      </c>
      <c r="AK121" s="25">
        <v>0</v>
      </c>
      <c r="AL121" s="25">
        <v>0</v>
      </c>
      <c r="AM121" s="23" t="s">
        <v>206</v>
      </c>
      <c r="AN121" s="23" t="s">
        <v>92</v>
      </c>
      <c r="AO121" s="25">
        <v>260</v>
      </c>
      <c r="AR121" s="32" t="str">
        <f t="shared" si="159"/>
        <v>2 doors</v>
      </c>
      <c r="AS121" s="23" t="s">
        <v>233</v>
      </c>
      <c r="AT121" s="23" t="s">
        <v>270</v>
      </c>
      <c r="AU121" s="23" t="str">
        <f t="shared" si="107"/>
        <v>CC</v>
      </c>
      <c r="AV121" s="34">
        <f t="shared" si="160"/>
        <v>1410</v>
      </c>
      <c r="AW121" s="23">
        <v>14</v>
      </c>
      <c r="AX121" s="23">
        <v>10</v>
      </c>
      <c r="AY121" s="23">
        <v>0</v>
      </c>
    </row>
    <row r="122" spans="1:51">
      <c r="A122" s="25">
        <v>260</v>
      </c>
      <c r="B122" s="23" t="s">
        <v>125</v>
      </c>
      <c r="C122" s="23" t="s">
        <v>124</v>
      </c>
      <c r="D122" s="23">
        <v>2</v>
      </c>
      <c r="E122" s="25" t="s">
        <v>42</v>
      </c>
      <c r="F122" s="25" t="s">
        <v>303</v>
      </c>
      <c r="G122" s="23" t="s">
        <v>27</v>
      </c>
      <c r="H122" s="23" t="s">
        <v>157</v>
      </c>
      <c r="I122" s="25">
        <v>1971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R122" s="30">
        <f t="shared" ref="R122:R128" si="249">SUM(M122:Q122)</f>
        <v>20</v>
      </c>
      <c r="S122" s="37">
        <v>1</v>
      </c>
      <c r="T122" s="30">
        <f t="shared" si="122"/>
        <v>16.516571428571428</v>
      </c>
      <c r="U122" s="37">
        <v>1</v>
      </c>
      <c r="V122" s="30">
        <f t="shared" si="106"/>
        <v>22.17790476190476</v>
      </c>
      <c r="W122" s="25">
        <v>78</v>
      </c>
      <c r="X122" s="31">
        <f t="shared" ref="X122:X128" si="250">Y122*1.36</f>
        <v>191.76000000000002</v>
      </c>
      <c r="Y122" s="25">
        <v>141</v>
      </c>
      <c r="Z122" s="25">
        <v>11</v>
      </c>
      <c r="AA122" s="25">
        <v>71</v>
      </c>
      <c r="AB122" s="37">
        <v>1</v>
      </c>
      <c r="AC122" s="30">
        <f t="shared" si="70"/>
        <v>200</v>
      </c>
      <c r="AD122" s="31">
        <f t="shared" ref="AD122:AD128" si="251">IF(AJ122&gt;8, AJ122-8, AJ122)</f>
        <v>1</v>
      </c>
      <c r="AE122" s="31">
        <f t="shared" ref="AE122:AE128" si="252">IF(AJ122&gt;8, 8, "")</f>
        <v>8</v>
      </c>
      <c r="AF122" s="31" t="str">
        <f t="shared" ref="AF122:AF128" si="253">IF(AK122&gt;8, AK122-8, IF(AK122=0, "", AK122))</f>
        <v/>
      </c>
      <c r="AG122" s="31" t="str">
        <f t="shared" ref="AG122:AG128" si="254">IF(AK122&gt;8, 8, "")</f>
        <v/>
      </c>
      <c r="AH122" s="31" t="str">
        <f t="shared" ref="AH122:AH128" si="255">IF(AL122&gt;8, AL122-8, IF(AL122=0, "", AL122))</f>
        <v/>
      </c>
      <c r="AI122" s="31" t="str">
        <f t="shared" ref="AI122:AI128" si="256">IF(AL122&gt;8, 8, "")</f>
        <v/>
      </c>
      <c r="AJ122" s="25">
        <v>9</v>
      </c>
      <c r="AK122" s="25">
        <v>0</v>
      </c>
      <c r="AL122" s="25">
        <v>0</v>
      </c>
      <c r="AM122" s="23" t="s">
        <v>206</v>
      </c>
      <c r="AN122" s="23" t="s">
        <v>92</v>
      </c>
      <c r="AO122" s="25">
        <v>260</v>
      </c>
      <c r="AR122" s="32" t="str">
        <f t="shared" ref="AR122:AR128" si="257">IF(Q122&gt;0, "5 doors", IF(P122&gt;0, "4 doors", IF(O122&gt;0, "3 doors", IF(N122&gt;0, "2 doors", "1 door"))))</f>
        <v>2 doors</v>
      </c>
      <c r="AS122" s="23" t="s">
        <v>233</v>
      </c>
      <c r="AT122" s="23" t="s">
        <v>270</v>
      </c>
      <c r="AU122" s="23" t="str">
        <f t="shared" ref="AU122:AU128" si="258">IF(ISNUMBER(SEARCH("CC", E122)), "CC", "Hungary")</f>
        <v>CC</v>
      </c>
      <c r="AV122" s="34">
        <f t="shared" ref="AV122:AV128" si="259">(AW122*100)+AX122+(AY122/100)</f>
        <v>1410.01</v>
      </c>
      <c r="AW122" s="23">
        <v>14</v>
      </c>
      <c r="AX122" s="23">
        <v>10</v>
      </c>
      <c r="AY122" s="23">
        <v>1</v>
      </c>
    </row>
    <row r="123" spans="1:51">
      <c r="A123" s="25">
        <v>260</v>
      </c>
      <c r="B123" s="23" t="s">
        <v>125</v>
      </c>
      <c r="C123" s="23" t="s">
        <v>124</v>
      </c>
      <c r="D123" s="23">
        <v>2</v>
      </c>
      <c r="E123" s="25" t="s">
        <v>43</v>
      </c>
      <c r="F123" s="25" t="s">
        <v>304</v>
      </c>
      <c r="G123" s="23" t="s">
        <v>27</v>
      </c>
      <c r="H123" s="23" t="s">
        <v>157</v>
      </c>
      <c r="I123" s="25">
        <v>1971</v>
      </c>
      <c r="J123" s="35">
        <v>30</v>
      </c>
      <c r="K123" s="35">
        <v>40</v>
      </c>
      <c r="L123" s="35">
        <v>20</v>
      </c>
      <c r="M123" s="25">
        <v>10</v>
      </c>
      <c r="N123" s="25">
        <v>10</v>
      </c>
      <c r="R123" s="30">
        <f t="shared" si="249"/>
        <v>20</v>
      </c>
      <c r="S123" s="37">
        <v>1</v>
      </c>
      <c r="T123" s="30">
        <f t="shared" si="122"/>
        <v>16.516571428571428</v>
      </c>
      <c r="U123" s="37">
        <v>1</v>
      </c>
      <c r="V123" s="30">
        <f t="shared" si="106"/>
        <v>22.17790476190476</v>
      </c>
      <c r="W123" s="25">
        <v>78</v>
      </c>
      <c r="X123" s="31">
        <f t="shared" si="250"/>
        <v>191.76000000000002</v>
      </c>
      <c r="Y123" s="25">
        <v>141</v>
      </c>
      <c r="Z123" s="25">
        <v>11</v>
      </c>
      <c r="AA123" s="25">
        <v>71</v>
      </c>
      <c r="AB123" s="37">
        <v>1</v>
      </c>
      <c r="AC123" s="30">
        <f t="shared" si="70"/>
        <v>200</v>
      </c>
      <c r="AD123" s="31">
        <f t="shared" si="251"/>
        <v>1</v>
      </c>
      <c r="AE123" s="31">
        <f t="shared" si="252"/>
        <v>8</v>
      </c>
      <c r="AF123" s="31" t="str">
        <f t="shared" si="253"/>
        <v/>
      </c>
      <c r="AG123" s="31" t="str">
        <f t="shared" si="254"/>
        <v/>
      </c>
      <c r="AH123" s="31" t="str">
        <f t="shared" si="255"/>
        <v/>
      </c>
      <c r="AI123" s="31" t="str">
        <f t="shared" si="256"/>
        <v/>
      </c>
      <c r="AJ123" s="25">
        <v>9</v>
      </c>
      <c r="AK123" s="25">
        <v>0</v>
      </c>
      <c r="AL123" s="25">
        <v>0</v>
      </c>
      <c r="AM123" s="23" t="s">
        <v>206</v>
      </c>
      <c r="AN123" s="23" t="s">
        <v>92</v>
      </c>
      <c r="AO123" s="25">
        <v>260</v>
      </c>
      <c r="AR123" s="32" t="str">
        <f t="shared" si="257"/>
        <v>2 doors</v>
      </c>
      <c r="AS123" s="23" t="s">
        <v>233</v>
      </c>
      <c r="AT123" s="23" t="s">
        <v>270</v>
      </c>
      <c r="AU123" s="23" t="str">
        <f t="shared" si="258"/>
        <v>CC</v>
      </c>
      <c r="AV123" s="34">
        <f t="shared" si="259"/>
        <v>1410.02</v>
      </c>
      <c r="AW123" s="23">
        <v>14</v>
      </c>
      <c r="AX123" s="23">
        <v>10</v>
      </c>
      <c r="AY123" s="23">
        <v>2</v>
      </c>
    </row>
    <row r="124" spans="1:51">
      <c r="A124" s="25">
        <v>260</v>
      </c>
      <c r="B124" s="23" t="s">
        <v>125</v>
      </c>
      <c r="C124" s="23" t="s">
        <v>124</v>
      </c>
      <c r="D124" s="23">
        <v>2</v>
      </c>
      <c r="E124" s="25" t="s">
        <v>284</v>
      </c>
      <c r="F124" s="25" t="s">
        <v>305</v>
      </c>
      <c r="G124" s="23" t="s">
        <v>27</v>
      </c>
      <c r="H124" s="23" t="s">
        <v>157</v>
      </c>
      <c r="I124" s="25">
        <v>1971</v>
      </c>
      <c r="J124" s="35">
        <v>30</v>
      </c>
      <c r="K124" s="35">
        <v>40</v>
      </c>
      <c r="L124" s="35">
        <v>20</v>
      </c>
      <c r="M124" s="25">
        <v>10</v>
      </c>
      <c r="N124" s="25">
        <v>10</v>
      </c>
      <c r="R124" s="30">
        <f t="shared" si="249"/>
        <v>20</v>
      </c>
      <c r="S124" s="37">
        <v>1</v>
      </c>
      <c r="T124" s="30">
        <f t="shared" si="122"/>
        <v>16.516571428571428</v>
      </c>
      <c r="U124" s="37">
        <v>1</v>
      </c>
      <c r="V124" s="30">
        <f t="shared" si="106"/>
        <v>22.17790476190476</v>
      </c>
      <c r="W124" s="25">
        <v>78</v>
      </c>
      <c r="X124" s="31">
        <f t="shared" si="250"/>
        <v>191.76000000000002</v>
      </c>
      <c r="Y124" s="25">
        <v>141</v>
      </c>
      <c r="Z124" s="25">
        <v>11</v>
      </c>
      <c r="AA124" s="25">
        <v>71</v>
      </c>
      <c r="AB124" s="37">
        <v>1</v>
      </c>
      <c r="AC124" s="30">
        <f t="shared" si="70"/>
        <v>200</v>
      </c>
      <c r="AD124" s="31">
        <f t="shared" si="251"/>
        <v>1</v>
      </c>
      <c r="AE124" s="31">
        <f t="shared" si="252"/>
        <v>8</v>
      </c>
      <c r="AF124" s="31" t="str">
        <f t="shared" si="253"/>
        <v/>
      </c>
      <c r="AG124" s="31" t="str">
        <f t="shared" si="254"/>
        <v/>
      </c>
      <c r="AH124" s="31" t="str">
        <f t="shared" si="255"/>
        <v/>
      </c>
      <c r="AI124" s="31" t="str">
        <f t="shared" si="256"/>
        <v/>
      </c>
      <c r="AJ124" s="25">
        <v>9</v>
      </c>
      <c r="AK124" s="25">
        <v>0</v>
      </c>
      <c r="AL124" s="25">
        <v>0</v>
      </c>
      <c r="AM124" s="23" t="s">
        <v>206</v>
      </c>
      <c r="AN124" s="23" t="s">
        <v>92</v>
      </c>
      <c r="AO124" s="25">
        <v>260</v>
      </c>
      <c r="AR124" s="32" t="str">
        <f t="shared" si="257"/>
        <v>2 doors</v>
      </c>
      <c r="AS124" s="23" t="s">
        <v>233</v>
      </c>
      <c r="AT124" s="23" t="s">
        <v>270</v>
      </c>
      <c r="AU124" s="23" t="str">
        <f t="shared" si="258"/>
        <v>CC</v>
      </c>
      <c r="AV124" s="34">
        <f t="shared" si="259"/>
        <v>1410.03</v>
      </c>
      <c r="AW124" s="23">
        <v>14</v>
      </c>
      <c r="AX124" s="23">
        <v>10</v>
      </c>
      <c r="AY124" s="23">
        <v>3</v>
      </c>
    </row>
    <row r="125" spans="1:51">
      <c r="A125" s="25">
        <v>260</v>
      </c>
      <c r="B125" s="23" t="s">
        <v>125</v>
      </c>
      <c r="C125" s="23" t="s">
        <v>124</v>
      </c>
      <c r="D125" s="23">
        <v>2</v>
      </c>
      <c r="E125" s="25" t="s">
        <v>285</v>
      </c>
      <c r="F125" s="25" t="s">
        <v>306</v>
      </c>
      <c r="G125" s="23" t="s">
        <v>27</v>
      </c>
      <c r="H125" s="23" t="s">
        <v>157</v>
      </c>
      <c r="I125" s="25">
        <v>1971</v>
      </c>
      <c r="J125" s="35">
        <v>30</v>
      </c>
      <c r="K125" s="35">
        <v>40</v>
      </c>
      <c r="L125" s="35">
        <v>20</v>
      </c>
      <c r="M125" s="25">
        <v>10</v>
      </c>
      <c r="N125" s="25">
        <v>10</v>
      </c>
      <c r="R125" s="30">
        <f t="shared" si="249"/>
        <v>20</v>
      </c>
      <c r="S125" s="37">
        <v>1</v>
      </c>
      <c r="T125" s="30">
        <f t="shared" si="122"/>
        <v>16.516571428571428</v>
      </c>
      <c r="U125" s="37">
        <v>1</v>
      </c>
      <c r="V125" s="30">
        <f t="shared" si="106"/>
        <v>22.17790476190476</v>
      </c>
      <c r="W125" s="25">
        <v>78</v>
      </c>
      <c r="X125" s="31">
        <f t="shared" si="250"/>
        <v>191.76000000000002</v>
      </c>
      <c r="Y125" s="25">
        <v>141</v>
      </c>
      <c r="Z125" s="25">
        <v>11</v>
      </c>
      <c r="AA125" s="25">
        <v>71</v>
      </c>
      <c r="AB125" s="37">
        <v>1</v>
      </c>
      <c r="AC125" s="30">
        <f t="shared" si="70"/>
        <v>200</v>
      </c>
      <c r="AD125" s="31">
        <f t="shared" si="251"/>
        <v>1</v>
      </c>
      <c r="AE125" s="31">
        <f t="shared" si="252"/>
        <v>8</v>
      </c>
      <c r="AF125" s="31" t="str">
        <f t="shared" si="253"/>
        <v/>
      </c>
      <c r="AG125" s="31" t="str">
        <f t="shared" si="254"/>
        <v/>
      </c>
      <c r="AH125" s="31" t="str">
        <f t="shared" si="255"/>
        <v/>
      </c>
      <c r="AI125" s="31" t="str">
        <f t="shared" si="256"/>
        <v/>
      </c>
      <c r="AJ125" s="25">
        <v>9</v>
      </c>
      <c r="AK125" s="25">
        <v>0</v>
      </c>
      <c r="AL125" s="25">
        <v>0</v>
      </c>
      <c r="AM125" s="23" t="s">
        <v>206</v>
      </c>
      <c r="AN125" s="23" t="s">
        <v>92</v>
      </c>
      <c r="AO125" s="25">
        <v>260</v>
      </c>
      <c r="AR125" s="32" t="str">
        <f t="shared" si="257"/>
        <v>2 doors</v>
      </c>
      <c r="AS125" s="23" t="s">
        <v>233</v>
      </c>
      <c r="AT125" s="23" t="s">
        <v>270</v>
      </c>
      <c r="AU125" s="23" t="str">
        <f t="shared" si="258"/>
        <v>CC</v>
      </c>
      <c r="AV125" s="34">
        <f t="shared" si="259"/>
        <v>1410.04</v>
      </c>
      <c r="AW125" s="23">
        <v>14</v>
      </c>
      <c r="AX125" s="23">
        <v>10</v>
      </c>
      <c r="AY125" s="23">
        <v>4</v>
      </c>
    </row>
    <row r="126" spans="1:51">
      <c r="A126" s="25">
        <v>260</v>
      </c>
      <c r="B126" s="23" t="s">
        <v>125</v>
      </c>
      <c r="C126" s="23" t="s">
        <v>124</v>
      </c>
      <c r="D126" s="23">
        <v>2</v>
      </c>
      <c r="E126" s="25" t="s">
        <v>286</v>
      </c>
      <c r="F126" s="25" t="s">
        <v>307</v>
      </c>
      <c r="G126" s="23" t="s">
        <v>27</v>
      </c>
      <c r="H126" s="23" t="s">
        <v>157</v>
      </c>
      <c r="I126" s="25">
        <v>1971</v>
      </c>
      <c r="J126" s="35">
        <v>30</v>
      </c>
      <c r="K126" s="35">
        <v>40</v>
      </c>
      <c r="L126" s="35">
        <v>20</v>
      </c>
      <c r="M126" s="25">
        <v>10</v>
      </c>
      <c r="N126" s="25">
        <v>10</v>
      </c>
      <c r="R126" s="30">
        <f t="shared" si="249"/>
        <v>20</v>
      </c>
      <c r="S126" s="37">
        <v>1</v>
      </c>
      <c r="T126" s="30">
        <f t="shared" si="122"/>
        <v>16.516571428571428</v>
      </c>
      <c r="U126" s="37">
        <v>1</v>
      </c>
      <c r="V126" s="30">
        <f t="shared" si="106"/>
        <v>22.17790476190476</v>
      </c>
      <c r="W126" s="25">
        <v>78</v>
      </c>
      <c r="X126" s="31">
        <f t="shared" si="250"/>
        <v>191.76000000000002</v>
      </c>
      <c r="Y126" s="25">
        <v>141</v>
      </c>
      <c r="Z126" s="25">
        <v>11</v>
      </c>
      <c r="AA126" s="25">
        <v>71</v>
      </c>
      <c r="AB126" s="37">
        <v>1</v>
      </c>
      <c r="AC126" s="30">
        <f t="shared" si="70"/>
        <v>200</v>
      </c>
      <c r="AD126" s="31">
        <f t="shared" si="251"/>
        <v>1</v>
      </c>
      <c r="AE126" s="31">
        <f t="shared" si="252"/>
        <v>8</v>
      </c>
      <c r="AF126" s="31" t="str">
        <f t="shared" si="253"/>
        <v/>
      </c>
      <c r="AG126" s="31" t="str">
        <f t="shared" si="254"/>
        <v/>
      </c>
      <c r="AH126" s="31" t="str">
        <f t="shared" si="255"/>
        <v/>
      </c>
      <c r="AI126" s="31" t="str">
        <f t="shared" si="256"/>
        <v/>
      </c>
      <c r="AJ126" s="25">
        <v>9</v>
      </c>
      <c r="AK126" s="25">
        <v>0</v>
      </c>
      <c r="AL126" s="25">
        <v>0</v>
      </c>
      <c r="AM126" s="23" t="s">
        <v>206</v>
      </c>
      <c r="AN126" s="23" t="s">
        <v>92</v>
      </c>
      <c r="AO126" s="25">
        <v>260</v>
      </c>
      <c r="AR126" s="32" t="str">
        <f t="shared" si="257"/>
        <v>2 doors</v>
      </c>
      <c r="AS126" s="23" t="s">
        <v>233</v>
      </c>
      <c r="AT126" s="23" t="s">
        <v>270</v>
      </c>
      <c r="AU126" s="23" t="str">
        <f t="shared" si="258"/>
        <v>CC</v>
      </c>
      <c r="AV126" s="34">
        <f t="shared" si="259"/>
        <v>1410.05</v>
      </c>
      <c r="AW126" s="23">
        <v>14</v>
      </c>
      <c r="AX126" s="23">
        <v>10</v>
      </c>
      <c r="AY126" s="23">
        <v>5</v>
      </c>
    </row>
    <row r="127" spans="1:51">
      <c r="A127" s="25">
        <v>260</v>
      </c>
      <c r="B127" s="23" t="s">
        <v>125</v>
      </c>
      <c r="C127" s="23" t="s">
        <v>124</v>
      </c>
      <c r="D127" s="23">
        <v>2</v>
      </c>
      <c r="E127" s="25" t="s">
        <v>287</v>
      </c>
      <c r="F127" s="25" t="s">
        <v>316</v>
      </c>
      <c r="G127" s="23" t="s">
        <v>27</v>
      </c>
      <c r="H127" s="23" t="s">
        <v>157</v>
      </c>
      <c r="I127" s="25">
        <v>1971</v>
      </c>
      <c r="J127" s="35">
        <v>30</v>
      </c>
      <c r="K127" s="35">
        <v>40</v>
      </c>
      <c r="L127" s="35">
        <v>20</v>
      </c>
      <c r="M127" s="25">
        <v>10</v>
      </c>
      <c r="N127" s="25">
        <v>10</v>
      </c>
      <c r="R127" s="30">
        <f t="shared" ref="R127" si="260">SUM(M127:Q127)</f>
        <v>20</v>
      </c>
      <c r="S127" s="37">
        <v>1</v>
      </c>
      <c r="T127" s="30">
        <f t="shared" si="122"/>
        <v>16.516571428571428</v>
      </c>
      <c r="U127" s="37">
        <v>1</v>
      </c>
      <c r="V127" s="30">
        <f t="shared" si="106"/>
        <v>22.17790476190476</v>
      </c>
      <c r="W127" s="25">
        <v>78</v>
      </c>
      <c r="X127" s="31">
        <f t="shared" ref="X127" si="261">Y127*1.36</f>
        <v>191.76000000000002</v>
      </c>
      <c r="Y127" s="25">
        <v>141</v>
      </c>
      <c r="Z127" s="25">
        <v>11</v>
      </c>
      <c r="AA127" s="25">
        <v>71</v>
      </c>
      <c r="AB127" s="37">
        <v>1</v>
      </c>
      <c r="AC127" s="30">
        <f t="shared" si="70"/>
        <v>200</v>
      </c>
      <c r="AD127" s="31">
        <f t="shared" ref="AD127" si="262">IF(AJ127&gt;8, AJ127-8, AJ127)</f>
        <v>1</v>
      </c>
      <c r="AE127" s="31">
        <f t="shared" ref="AE127" si="263">IF(AJ127&gt;8, 8, "")</f>
        <v>8</v>
      </c>
      <c r="AF127" s="31" t="str">
        <f t="shared" ref="AF127" si="264">IF(AK127&gt;8, AK127-8, IF(AK127=0, "", AK127))</f>
        <v/>
      </c>
      <c r="AG127" s="31" t="str">
        <f t="shared" ref="AG127" si="265">IF(AK127&gt;8, 8, "")</f>
        <v/>
      </c>
      <c r="AH127" s="31" t="str">
        <f t="shared" ref="AH127" si="266">IF(AL127&gt;8, AL127-8, IF(AL127=0, "", AL127))</f>
        <v/>
      </c>
      <c r="AI127" s="31" t="str">
        <f t="shared" ref="AI127" si="267">IF(AL127&gt;8, 8, "")</f>
        <v/>
      </c>
      <c r="AJ127" s="25">
        <v>9</v>
      </c>
      <c r="AK127" s="25">
        <v>0</v>
      </c>
      <c r="AL127" s="25">
        <v>0</v>
      </c>
      <c r="AM127" s="23" t="s">
        <v>206</v>
      </c>
      <c r="AN127" s="23" t="s">
        <v>92</v>
      </c>
      <c r="AO127" s="25">
        <v>260</v>
      </c>
      <c r="AR127" s="32" t="str">
        <f t="shared" ref="AR127" si="268">IF(Q127&gt;0, "5 doors", IF(P127&gt;0, "4 doors", IF(O127&gt;0, "3 doors", IF(N127&gt;0, "2 doors", "1 door"))))</f>
        <v>2 doors</v>
      </c>
      <c r="AS127" s="23" t="s">
        <v>233</v>
      </c>
      <c r="AT127" s="23" t="s">
        <v>270</v>
      </c>
      <c r="AU127" s="23" t="str">
        <f t="shared" ref="AU127" si="269">IF(ISNUMBER(SEARCH("CC", E127)), "CC", "Hungary")</f>
        <v>CC</v>
      </c>
      <c r="AV127" s="34">
        <f t="shared" ref="AV127" si="270">(AW127*100)+AX127+(AY127/100)</f>
        <v>1410.06</v>
      </c>
      <c r="AW127" s="23">
        <v>14</v>
      </c>
      <c r="AX127" s="23">
        <v>10</v>
      </c>
      <c r="AY127" s="23">
        <v>6</v>
      </c>
    </row>
    <row r="128" spans="1:51">
      <c r="A128" s="25">
        <v>260</v>
      </c>
      <c r="B128" s="23" t="s">
        <v>125</v>
      </c>
      <c r="C128" s="23" t="s">
        <v>124</v>
      </c>
      <c r="D128" s="23">
        <v>2</v>
      </c>
      <c r="E128" s="25" t="s">
        <v>46</v>
      </c>
      <c r="F128" s="25" t="s">
        <v>46</v>
      </c>
      <c r="G128" s="23" t="s">
        <v>27</v>
      </c>
      <c r="H128" s="23" t="s">
        <v>157</v>
      </c>
      <c r="I128" s="25">
        <v>1971</v>
      </c>
      <c r="J128" s="35">
        <v>30</v>
      </c>
      <c r="K128" s="35">
        <v>40</v>
      </c>
      <c r="L128" s="35">
        <v>20</v>
      </c>
      <c r="M128" s="25">
        <v>10</v>
      </c>
      <c r="N128" s="25">
        <v>10</v>
      </c>
      <c r="R128" s="30">
        <f t="shared" si="249"/>
        <v>20</v>
      </c>
      <c r="S128" s="37">
        <v>1</v>
      </c>
      <c r="T128" s="30">
        <f t="shared" si="122"/>
        <v>16.516571428571428</v>
      </c>
      <c r="U128" s="37">
        <v>1</v>
      </c>
      <c r="V128" s="30">
        <f t="shared" si="106"/>
        <v>22.17790476190476</v>
      </c>
      <c r="W128" s="25">
        <v>78</v>
      </c>
      <c r="X128" s="31">
        <f t="shared" si="250"/>
        <v>191.76000000000002</v>
      </c>
      <c r="Y128" s="25">
        <v>141</v>
      </c>
      <c r="Z128" s="25">
        <v>11</v>
      </c>
      <c r="AA128" s="25">
        <v>71</v>
      </c>
      <c r="AB128" s="37">
        <v>1</v>
      </c>
      <c r="AC128" s="30">
        <f t="shared" si="70"/>
        <v>200</v>
      </c>
      <c r="AD128" s="31">
        <f t="shared" si="251"/>
        <v>1</v>
      </c>
      <c r="AE128" s="31">
        <f t="shared" si="252"/>
        <v>8</v>
      </c>
      <c r="AF128" s="31" t="str">
        <f t="shared" si="253"/>
        <v/>
      </c>
      <c r="AG128" s="31" t="str">
        <f t="shared" si="254"/>
        <v/>
      </c>
      <c r="AH128" s="31" t="str">
        <f t="shared" si="255"/>
        <v/>
      </c>
      <c r="AI128" s="31" t="str">
        <f t="shared" si="256"/>
        <v/>
      </c>
      <c r="AJ128" s="25">
        <v>9</v>
      </c>
      <c r="AK128" s="25">
        <v>0</v>
      </c>
      <c r="AL128" s="25">
        <v>0</v>
      </c>
      <c r="AM128" s="23" t="s">
        <v>206</v>
      </c>
      <c r="AN128" s="23" t="s">
        <v>92</v>
      </c>
      <c r="AO128" s="25">
        <v>260</v>
      </c>
      <c r="AR128" s="32" t="str">
        <f t="shared" si="257"/>
        <v>2 doors</v>
      </c>
      <c r="AS128" s="23" t="s">
        <v>233</v>
      </c>
      <c r="AT128" s="23" t="s">
        <v>270</v>
      </c>
      <c r="AU128" s="23" t="str">
        <f t="shared" si="258"/>
        <v>Hungary</v>
      </c>
      <c r="AV128" s="34">
        <f t="shared" si="259"/>
        <v>1410.07</v>
      </c>
      <c r="AW128" s="23">
        <v>14</v>
      </c>
      <c r="AX128" s="23">
        <v>10</v>
      </c>
      <c r="AY128" s="23">
        <v>7</v>
      </c>
    </row>
    <row r="129" spans="1:51">
      <c r="A129" s="25">
        <v>260</v>
      </c>
      <c r="B129" s="23" t="s">
        <v>125</v>
      </c>
      <c r="C129" s="23" t="s">
        <v>124</v>
      </c>
      <c r="D129" s="23">
        <v>2</v>
      </c>
      <c r="E129" s="25" t="s">
        <v>30</v>
      </c>
      <c r="F129" s="25" t="s">
        <v>303</v>
      </c>
      <c r="G129" s="23" t="s">
        <v>27</v>
      </c>
      <c r="H129" s="23" t="s">
        <v>322</v>
      </c>
      <c r="I129" s="25">
        <v>1980</v>
      </c>
      <c r="J129" s="35">
        <v>30</v>
      </c>
      <c r="K129" s="35">
        <v>40</v>
      </c>
      <c r="L129" s="35">
        <v>20</v>
      </c>
      <c r="M129" s="25">
        <v>10</v>
      </c>
      <c r="N129" s="25">
        <v>10</v>
      </c>
      <c r="R129" s="30">
        <f t="shared" ref="R129:R135" si="271">SUM(M129:Q129)</f>
        <v>20</v>
      </c>
      <c r="S129" s="37">
        <v>1</v>
      </c>
      <c r="T129" s="30">
        <f t="shared" si="122"/>
        <v>16.516571428571428</v>
      </c>
      <c r="U129" s="37">
        <v>1</v>
      </c>
      <c r="V129" s="30">
        <f t="shared" si="106"/>
        <v>22.20457142857143</v>
      </c>
      <c r="W129" s="25">
        <v>78</v>
      </c>
      <c r="X129" s="31">
        <f t="shared" ref="X129:X135" si="272">Y129*1.36</f>
        <v>191.76000000000002</v>
      </c>
      <c r="Y129" s="25">
        <v>141</v>
      </c>
      <c r="Z129" s="25">
        <v>11</v>
      </c>
      <c r="AA129" s="25">
        <v>75</v>
      </c>
      <c r="AB129" s="37">
        <v>1</v>
      </c>
      <c r="AC129" s="30">
        <f t="shared" si="70"/>
        <v>200</v>
      </c>
      <c r="AD129" s="31">
        <f t="shared" ref="AD129:AD135" si="273">IF(AJ129&gt;8, AJ129-8, AJ129)</f>
        <v>1</v>
      </c>
      <c r="AE129" s="31">
        <f t="shared" ref="AE129:AE135" si="274">IF(AJ129&gt;8, 8, "")</f>
        <v>8</v>
      </c>
      <c r="AF129" s="31" t="str">
        <f t="shared" ref="AF129:AF135" si="275">IF(AK129&gt;8, AK129-8, IF(AK129=0, "", AK129))</f>
        <v/>
      </c>
      <c r="AG129" s="31" t="str">
        <f t="shared" ref="AG129:AG135" si="276">IF(AK129&gt;8, 8, "")</f>
        <v/>
      </c>
      <c r="AH129" s="31" t="str">
        <f t="shared" ref="AH129:AH135" si="277">IF(AL129&gt;8, AL129-8, IF(AL129=0, "", AL129))</f>
        <v/>
      </c>
      <c r="AI129" s="31" t="str">
        <f t="shared" ref="AI129:AI135" si="278">IF(AL129&gt;8, 8, "")</f>
        <v/>
      </c>
      <c r="AJ129" s="25">
        <v>9</v>
      </c>
      <c r="AK129" s="25">
        <v>0</v>
      </c>
      <c r="AL129" s="25">
        <v>0</v>
      </c>
      <c r="AM129" s="23" t="s">
        <v>206</v>
      </c>
      <c r="AN129" s="23" t="s">
        <v>92</v>
      </c>
      <c r="AO129" s="25">
        <v>260</v>
      </c>
      <c r="AR129" s="32" t="str">
        <f t="shared" ref="AR129:AR135" si="279">IF(Q129&gt;0, "5 doors", IF(P129&gt;0, "4 doors", IF(O129&gt;0, "3 doors", IF(N129&gt;0, "2 doors", "1 door"))))</f>
        <v>2 doors</v>
      </c>
      <c r="AS129" s="23" t="s">
        <v>323</v>
      </c>
      <c r="AT129" s="23" t="s">
        <v>270</v>
      </c>
      <c r="AU129" s="23" t="str">
        <f t="shared" ref="AU129:AU135" si="280">IF(ISNUMBER(SEARCH("CC", E129)), "CC", "Hungary")</f>
        <v>CC</v>
      </c>
      <c r="AV129" s="34">
        <f t="shared" ref="AV129:AV135" si="281">(AW129*100)+AX129+(AY129/100)</f>
        <v>1415</v>
      </c>
      <c r="AW129" s="23">
        <v>14</v>
      </c>
      <c r="AX129" s="23">
        <v>15</v>
      </c>
      <c r="AY129" s="23">
        <v>0</v>
      </c>
    </row>
    <row r="130" spans="1:51">
      <c r="A130" s="25">
        <v>260</v>
      </c>
      <c r="B130" s="23" t="s">
        <v>125</v>
      </c>
      <c r="C130" s="23" t="s">
        <v>124</v>
      </c>
      <c r="D130" s="23">
        <v>2</v>
      </c>
      <c r="E130" s="25" t="s">
        <v>42</v>
      </c>
      <c r="F130" s="25" t="s">
        <v>304</v>
      </c>
      <c r="G130" s="23" t="s">
        <v>27</v>
      </c>
      <c r="H130" s="23" t="s">
        <v>322</v>
      </c>
      <c r="I130" s="25">
        <v>1980</v>
      </c>
      <c r="J130" s="35">
        <v>30</v>
      </c>
      <c r="K130" s="35">
        <v>40</v>
      </c>
      <c r="L130" s="35">
        <v>20</v>
      </c>
      <c r="M130" s="25">
        <v>10</v>
      </c>
      <c r="N130" s="25">
        <v>10</v>
      </c>
      <c r="R130" s="30">
        <f t="shared" si="271"/>
        <v>20</v>
      </c>
      <c r="S130" s="37">
        <v>1</v>
      </c>
      <c r="T130" s="30">
        <f t="shared" si="122"/>
        <v>16.516571428571428</v>
      </c>
      <c r="U130" s="37">
        <v>1</v>
      </c>
      <c r="V130" s="30">
        <f t="shared" si="106"/>
        <v>22.20457142857143</v>
      </c>
      <c r="W130" s="25">
        <v>78</v>
      </c>
      <c r="X130" s="31">
        <f t="shared" si="272"/>
        <v>191.76000000000002</v>
      </c>
      <c r="Y130" s="25">
        <v>141</v>
      </c>
      <c r="Z130" s="25">
        <v>11</v>
      </c>
      <c r="AA130" s="25">
        <v>75</v>
      </c>
      <c r="AB130" s="37">
        <v>1</v>
      </c>
      <c r="AC130" s="30">
        <f t="shared" si="70"/>
        <v>200</v>
      </c>
      <c r="AD130" s="31">
        <f t="shared" si="273"/>
        <v>1</v>
      </c>
      <c r="AE130" s="31">
        <f t="shared" si="274"/>
        <v>8</v>
      </c>
      <c r="AF130" s="31" t="str">
        <f t="shared" si="275"/>
        <v/>
      </c>
      <c r="AG130" s="31" t="str">
        <f t="shared" si="276"/>
        <v/>
      </c>
      <c r="AH130" s="31" t="str">
        <f t="shared" si="277"/>
        <v/>
      </c>
      <c r="AI130" s="31" t="str">
        <f t="shared" si="278"/>
        <v/>
      </c>
      <c r="AJ130" s="25">
        <v>9</v>
      </c>
      <c r="AK130" s="25">
        <v>0</v>
      </c>
      <c r="AL130" s="25">
        <v>0</v>
      </c>
      <c r="AM130" s="23" t="s">
        <v>206</v>
      </c>
      <c r="AN130" s="23" t="s">
        <v>92</v>
      </c>
      <c r="AO130" s="25">
        <v>260</v>
      </c>
      <c r="AR130" s="32" t="str">
        <f t="shared" si="279"/>
        <v>2 doors</v>
      </c>
      <c r="AS130" s="23" t="s">
        <v>323</v>
      </c>
      <c r="AT130" s="23" t="s">
        <v>270</v>
      </c>
      <c r="AU130" s="23" t="str">
        <f t="shared" si="280"/>
        <v>CC</v>
      </c>
      <c r="AV130" s="34">
        <f t="shared" si="281"/>
        <v>1415.01</v>
      </c>
      <c r="AW130" s="23">
        <v>14</v>
      </c>
      <c r="AX130" s="23">
        <v>15</v>
      </c>
      <c r="AY130" s="23">
        <v>1</v>
      </c>
    </row>
    <row r="131" spans="1:51">
      <c r="A131" s="25">
        <v>260</v>
      </c>
      <c r="B131" s="23" t="s">
        <v>125</v>
      </c>
      <c r="C131" s="23" t="s">
        <v>124</v>
      </c>
      <c r="D131" s="23">
        <v>2</v>
      </c>
      <c r="E131" s="25" t="s">
        <v>43</v>
      </c>
      <c r="F131" s="25" t="s">
        <v>305</v>
      </c>
      <c r="G131" s="23" t="s">
        <v>27</v>
      </c>
      <c r="H131" s="23" t="s">
        <v>322</v>
      </c>
      <c r="I131" s="25">
        <v>1980</v>
      </c>
      <c r="J131" s="35">
        <v>30</v>
      </c>
      <c r="K131" s="35">
        <v>40</v>
      </c>
      <c r="L131" s="35">
        <v>20</v>
      </c>
      <c r="M131" s="25">
        <v>10</v>
      </c>
      <c r="N131" s="25">
        <v>10</v>
      </c>
      <c r="R131" s="30">
        <f t="shared" si="271"/>
        <v>20</v>
      </c>
      <c r="S131" s="37">
        <v>1</v>
      </c>
      <c r="T131" s="30">
        <f t="shared" si="122"/>
        <v>16.516571428571428</v>
      </c>
      <c r="U131" s="37">
        <v>1</v>
      </c>
      <c r="V131" s="30">
        <f t="shared" si="106"/>
        <v>22.20457142857143</v>
      </c>
      <c r="W131" s="25">
        <v>78</v>
      </c>
      <c r="X131" s="31">
        <f t="shared" si="272"/>
        <v>191.76000000000002</v>
      </c>
      <c r="Y131" s="25">
        <v>141</v>
      </c>
      <c r="Z131" s="25">
        <v>11</v>
      </c>
      <c r="AA131" s="25">
        <v>75</v>
      </c>
      <c r="AB131" s="37">
        <v>1</v>
      </c>
      <c r="AC131" s="30">
        <f t="shared" si="70"/>
        <v>200</v>
      </c>
      <c r="AD131" s="31">
        <f t="shared" si="273"/>
        <v>1</v>
      </c>
      <c r="AE131" s="31">
        <f t="shared" si="274"/>
        <v>8</v>
      </c>
      <c r="AF131" s="31" t="str">
        <f t="shared" si="275"/>
        <v/>
      </c>
      <c r="AG131" s="31" t="str">
        <f t="shared" si="276"/>
        <v/>
      </c>
      <c r="AH131" s="31" t="str">
        <f t="shared" si="277"/>
        <v/>
      </c>
      <c r="AI131" s="31" t="str">
        <f t="shared" si="278"/>
        <v/>
      </c>
      <c r="AJ131" s="25">
        <v>9</v>
      </c>
      <c r="AK131" s="25">
        <v>0</v>
      </c>
      <c r="AL131" s="25">
        <v>0</v>
      </c>
      <c r="AM131" s="23" t="s">
        <v>206</v>
      </c>
      <c r="AN131" s="23" t="s">
        <v>92</v>
      </c>
      <c r="AO131" s="25">
        <v>260</v>
      </c>
      <c r="AR131" s="32" t="str">
        <f t="shared" si="279"/>
        <v>2 doors</v>
      </c>
      <c r="AS131" s="23" t="s">
        <v>323</v>
      </c>
      <c r="AT131" s="23" t="s">
        <v>270</v>
      </c>
      <c r="AU131" s="23" t="str">
        <f t="shared" si="280"/>
        <v>CC</v>
      </c>
      <c r="AV131" s="34">
        <f t="shared" si="281"/>
        <v>1415.02</v>
      </c>
      <c r="AW131" s="23">
        <v>14</v>
      </c>
      <c r="AX131" s="23">
        <v>15</v>
      </c>
      <c r="AY131" s="23">
        <v>2</v>
      </c>
    </row>
    <row r="132" spans="1:51">
      <c r="A132" s="25">
        <v>260</v>
      </c>
      <c r="B132" s="23" t="s">
        <v>125</v>
      </c>
      <c r="C132" s="23" t="s">
        <v>124</v>
      </c>
      <c r="D132" s="23">
        <v>2</v>
      </c>
      <c r="E132" s="25" t="s">
        <v>284</v>
      </c>
      <c r="F132" s="25" t="s">
        <v>306</v>
      </c>
      <c r="G132" s="23" t="s">
        <v>27</v>
      </c>
      <c r="H132" s="23" t="s">
        <v>322</v>
      </c>
      <c r="I132" s="25">
        <v>1980</v>
      </c>
      <c r="J132" s="35">
        <v>30</v>
      </c>
      <c r="K132" s="35">
        <v>40</v>
      </c>
      <c r="L132" s="35">
        <v>20</v>
      </c>
      <c r="M132" s="25">
        <v>10</v>
      </c>
      <c r="N132" s="25">
        <v>10</v>
      </c>
      <c r="R132" s="30">
        <f t="shared" si="271"/>
        <v>20</v>
      </c>
      <c r="S132" s="37">
        <v>1</v>
      </c>
      <c r="T132" s="30">
        <f t="shared" si="122"/>
        <v>16.516571428571428</v>
      </c>
      <c r="U132" s="37">
        <v>1</v>
      </c>
      <c r="V132" s="30">
        <f t="shared" si="106"/>
        <v>22.20457142857143</v>
      </c>
      <c r="W132" s="25">
        <v>78</v>
      </c>
      <c r="X132" s="31">
        <f t="shared" si="272"/>
        <v>191.76000000000002</v>
      </c>
      <c r="Y132" s="25">
        <v>141</v>
      </c>
      <c r="Z132" s="25">
        <v>11</v>
      </c>
      <c r="AA132" s="25">
        <v>75</v>
      </c>
      <c r="AB132" s="37">
        <v>1</v>
      </c>
      <c r="AC132" s="30">
        <f t="shared" si="70"/>
        <v>200</v>
      </c>
      <c r="AD132" s="31">
        <f t="shared" si="273"/>
        <v>1</v>
      </c>
      <c r="AE132" s="31">
        <f t="shared" si="274"/>
        <v>8</v>
      </c>
      <c r="AF132" s="31" t="str">
        <f t="shared" si="275"/>
        <v/>
      </c>
      <c r="AG132" s="31" t="str">
        <f t="shared" si="276"/>
        <v/>
      </c>
      <c r="AH132" s="31" t="str">
        <f t="shared" si="277"/>
        <v/>
      </c>
      <c r="AI132" s="31" t="str">
        <f t="shared" si="278"/>
        <v/>
      </c>
      <c r="AJ132" s="25">
        <v>9</v>
      </c>
      <c r="AK132" s="25">
        <v>0</v>
      </c>
      <c r="AL132" s="25">
        <v>0</v>
      </c>
      <c r="AM132" s="23" t="s">
        <v>206</v>
      </c>
      <c r="AN132" s="23" t="s">
        <v>92</v>
      </c>
      <c r="AO132" s="25">
        <v>260</v>
      </c>
      <c r="AR132" s="32" t="str">
        <f t="shared" si="279"/>
        <v>2 doors</v>
      </c>
      <c r="AS132" s="23" t="s">
        <v>323</v>
      </c>
      <c r="AT132" s="23" t="s">
        <v>270</v>
      </c>
      <c r="AU132" s="23" t="str">
        <f t="shared" si="280"/>
        <v>CC</v>
      </c>
      <c r="AV132" s="34">
        <f t="shared" si="281"/>
        <v>1415.03</v>
      </c>
      <c r="AW132" s="23">
        <v>14</v>
      </c>
      <c r="AX132" s="23">
        <v>15</v>
      </c>
      <c r="AY132" s="23">
        <v>3</v>
      </c>
    </row>
    <row r="133" spans="1:51">
      <c r="A133" s="25">
        <v>260</v>
      </c>
      <c r="B133" s="23" t="s">
        <v>125</v>
      </c>
      <c r="C133" s="23" t="s">
        <v>124</v>
      </c>
      <c r="D133" s="23">
        <v>2</v>
      </c>
      <c r="E133" s="25" t="s">
        <v>285</v>
      </c>
      <c r="F133" s="25" t="s">
        <v>302</v>
      </c>
      <c r="G133" s="23" t="s">
        <v>27</v>
      </c>
      <c r="H133" s="23" t="s">
        <v>322</v>
      </c>
      <c r="I133" s="25">
        <v>1980</v>
      </c>
      <c r="J133" s="35">
        <v>30</v>
      </c>
      <c r="K133" s="35">
        <v>40</v>
      </c>
      <c r="L133" s="35">
        <v>20</v>
      </c>
      <c r="M133" s="25">
        <v>10</v>
      </c>
      <c r="N133" s="25">
        <v>10</v>
      </c>
      <c r="R133" s="30">
        <f t="shared" si="271"/>
        <v>20</v>
      </c>
      <c r="S133" s="37">
        <v>1</v>
      </c>
      <c r="T133" s="30">
        <f t="shared" si="122"/>
        <v>16.516571428571428</v>
      </c>
      <c r="U133" s="37">
        <v>1</v>
      </c>
      <c r="V133" s="30">
        <f t="shared" si="106"/>
        <v>22.20457142857143</v>
      </c>
      <c r="W133" s="25">
        <v>78</v>
      </c>
      <c r="X133" s="31">
        <f t="shared" si="272"/>
        <v>191.76000000000002</v>
      </c>
      <c r="Y133" s="25">
        <v>141</v>
      </c>
      <c r="Z133" s="25">
        <v>11</v>
      </c>
      <c r="AA133" s="25">
        <v>75</v>
      </c>
      <c r="AB133" s="37">
        <v>1</v>
      </c>
      <c r="AC133" s="30">
        <f t="shared" si="70"/>
        <v>200</v>
      </c>
      <c r="AD133" s="31">
        <f t="shared" si="273"/>
        <v>1</v>
      </c>
      <c r="AE133" s="31">
        <f t="shared" si="274"/>
        <v>8</v>
      </c>
      <c r="AF133" s="31" t="str">
        <f t="shared" si="275"/>
        <v/>
      </c>
      <c r="AG133" s="31" t="str">
        <f t="shared" si="276"/>
        <v/>
      </c>
      <c r="AH133" s="31" t="str">
        <f t="shared" si="277"/>
        <v/>
      </c>
      <c r="AI133" s="31" t="str">
        <f t="shared" si="278"/>
        <v/>
      </c>
      <c r="AJ133" s="25">
        <v>9</v>
      </c>
      <c r="AK133" s="25">
        <v>0</v>
      </c>
      <c r="AL133" s="25">
        <v>0</v>
      </c>
      <c r="AM133" s="23" t="s">
        <v>206</v>
      </c>
      <c r="AN133" s="23" t="s">
        <v>92</v>
      </c>
      <c r="AO133" s="25">
        <v>260</v>
      </c>
      <c r="AR133" s="32" t="str">
        <f t="shared" si="279"/>
        <v>2 doors</v>
      </c>
      <c r="AS133" s="23" t="s">
        <v>323</v>
      </c>
      <c r="AT133" s="23" t="s">
        <v>270</v>
      </c>
      <c r="AU133" s="23" t="str">
        <f t="shared" si="280"/>
        <v>CC</v>
      </c>
      <c r="AV133" s="34">
        <f t="shared" si="281"/>
        <v>1415.04</v>
      </c>
      <c r="AW133" s="23">
        <v>14</v>
      </c>
      <c r="AX133" s="23">
        <v>15</v>
      </c>
      <c r="AY133" s="23">
        <v>4</v>
      </c>
    </row>
    <row r="134" spans="1:51">
      <c r="A134" s="25">
        <v>260</v>
      </c>
      <c r="B134" s="23" t="s">
        <v>125</v>
      </c>
      <c r="C134" s="23" t="s">
        <v>124</v>
      </c>
      <c r="D134" s="23">
        <v>2</v>
      </c>
      <c r="E134" s="25" t="s">
        <v>286</v>
      </c>
      <c r="F134" s="25" t="s">
        <v>307</v>
      </c>
      <c r="G134" s="23" t="s">
        <v>27</v>
      </c>
      <c r="H134" s="23" t="s">
        <v>322</v>
      </c>
      <c r="I134" s="25">
        <v>1980</v>
      </c>
      <c r="J134" s="35">
        <v>30</v>
      </c>
      <c r="K134" s="35">
        <v>40</v>
      </c>
      <c r="L134" s="35">
        <v>20</v>
      </c>
      <c r="M134" s="25">
        <v>10</v>
      </c>
      <c r="N134" s="25">
        <v>10</v>
      </c>
      <c r="R134" s="30">
        <f t="shared" si="271"/>
        <v>20</v>
      </c>
      <c r="S134" s="37">
        <v>1</v>
      </c>
      <c r="T134" s="30">
        <f t="shared" si="122"/>
        <v>16.516571428571428</v>
      </c>
      <c r="U134" s="37">
        <v>1</v>
      </c>
      <c r="V134" s="30">
        <f t="shared" si="106"/>
        <v>22.20457142857143</v>
      </c>
      <c r="W134" s="25">
        <v>78</v>
      </c>
      <c r="X134" s="31">
        <f t="shared" si="272"/>
        <v>191.76000000000002</v>
      </c>
      <c r="Y134" s="25">
        <v>141</v>
      </c>
      <c r="Z134" s="25">
        <v>11</v>
      </c>
      <c r="AA134" s="25">
        <v>75</v>
      </c>
      <c r="AB134" s="37">
        <v>1</v>
      </c>
      <c r="AC134" s="30">
        <f t="shared" si="70"/>
        <v>200</v>
      </c>
      <c r="AD134" s="31">
        <f t="shared" si="273"/>
        <v>1</v>
      </c>
      <c r="AE134" s="31">
        <f t="shared" si="274"/>
        <v>8</v>
      </c>
      <c r="AF134" s="31" t="str">
        <f t="shared" si="275"/>
        <v/>
      </c>
      <c r="AG134" s="31" t="str">
        <f t="shared" si="276"/>
        <v/>
      </c>
      <c r="AH134" s="31" t="str">
        <f t="shared" si="277"/>
        <v/>
      </c>
      <c r="AI134" s="31" t="str">
        <f t="shared" si="278"/>
        <v/>
      </c>
      <c r="AJ134" s="25">
        <v>9</v>
      </c>
      <c r="AK134" s="25">
        <v>0</v>
      </c>
      <c r="AL134" s="25">
        <v>0</v>
      </c>
      <c r="AM134" s="23" t="s">
        <v>206</v>
      </c>
      <c r="AN134" s="23" t="s">
        <v>92</v>
      </c>
      <c r="AO134" s="25">
        <v>260</v>
      </c>
      <c r="AR134" s="32" t="str">
        <f t="shared" si="279"/>
        <v>2 doors</v>
      </c>
      <c r="AS134" s="23" t="s">
        <v>323</v>
      </c>
      <c r="AT134" s="23" t="s">
        <v>270</v>
      </c>
      <c r="AU134" s="23" t="str">
        <f t="shared" si="280"/>
        <v>CC</v>
      </c>
      <c r="AV134" s="34">
        <f t="shared" si="281"/>
        <v>1415.05</v>
      </c>
      <c r="AW134" s="23">
        <v>14</v>
      </c>
      <c r="AX134" s="23">
        <v>15</v>
      </c>
      <c r="AY134" s="23">
        <v>5</v>
      </c>
    </row>
    <row r="135" spans="1:51">
      <c r="A135" s="25">
        <v>260</v>
      </c>
      <c r="B135" s="23" t="s">
        <v>125</v>
      </c>
      <c r="C135" s="23" t="s">
        <v>124</v>
      </c>
      <c r="D135" s="23">
        <v>2</v>
      </c>
      <c r="E135" s="25" t="s">
        <v>287</v>
      </c>
      <c r="F135" s="25" t="s">
        <v>316</v>
      </c>
      <c r="G135" s="23" t="s">
        <v>27</v>
      </c>
      <c r="H135" s="23" t="s">
        <v>322</v>
      </c>
      <c r="I135" s="25">
        <v>1980</v>
      </c>
      <c r="J135" s="35">
        <v>30</v>
      </c>
      <c r="K135" s="35">
        <v>40</v>
      </c>
      <c r="L135" s="35">
        <v>20</v>
      </c>
      <c r="M135" s="25">
        <v>10</v>
      </c>
      <c r="N135" s="25">
        <v>10</v>
      </c>
      <c r="R135" s="30">
        <f t="shared" si="271"/>
        <v>20</v>
      </c>
      <c r="S135" s="37">
        <v>1</v>
      </c>
      <c r="T135" s="30">
        <f t="shared" si="122"/>
        <v>16.516571428571428</v>
      </c>
      <c r="U135" s="37">
        <v>1</v>
      </c>
      <c r="V135" s="30">
        <f t="shared" si="106"/>
        <v>22.20457142857143</v>
      </c>
      <c r="W135" s="25">
        <v>78</v>
      </c>
      <c r="X135" s="31">
        <f t="shared" si="272"/>
        <v>191.76000000000002</v>
      </c>
      <c r="Y135" s="25">
        <v>141</v>
      </c>
      <c r="Z135" s="25">
        <v>11</v>
      </c>
      <c r="AA135" s="25">
        <v>75</v>
      </c>
      <c r="AB135" s="37">
        <v>1</v>
      </c>
      <c r="AC135" s="30">
        <f t="shared" si="70"/>
        <v>200</v>
      </c>
      <c r="AD135" s="31">
        <f t="shared" si="273"/>
        <v>1</v>
      </c>
      <c r="AE135" s="31">
        <f t="shared" si="274"/>
        <v>8</v>
      </c>
      <c r="AF135" s="31" t="str">
        <f t="shared" si="275"/>
        <v/>
      </c>
      <c r="AG135" s="31" t="str">
        <f t="shared" si="276"/>
        <v/>
      </c>
      <c r="AH135" s="31" t="str">
        <f t="shared" si="277"/>
        <v/>
      </c>
      <c r="AI135" s="31" t="str">
        <f t="shared" si="278"/>
        <v/>
      </c>
      <c r="AJ135" s="25">
        <v>9</v>
      </c>
      <c r="AK135" s="25">
        <v>0</v>
      </c>
      <c r="AL135" s="25">
        <v>0</v>
      </c>
      <c r="AM135" s="23" t="s">
        <v>206</v>
      </c>
      <c r="AN135" s="23" t="s">
        <v>92</v>
      </c>
      <c r="AO135" s="25">
        <v>260</v>
      </c>
      <c r="AR135" s="32" t="str">
        <f t="shared" si="279"/>
        <v>2 doors</v>
      </c>
      <c r="AS135" s="23" t="s">
        <v>323</v>
      </c>
      <c r="AT135" s="23" t="s">
        <v>270</v>
      </c>
      <c r="AU135" s="23" t="str">
        <f t="shared" si="280"/>
        <v>CC</v>
      </c>
      <c r="AV135" s="34">
        <f t="shared" si="281"/>
        <v>1415.06</v>
      </c>
      <c r="AW135" s="23">
        <v>14</v>
      </c>
      <c r="AX135" s="23">
        <v>15</v>
      </c>
      <c r="AY135" s="23">
        <v>6</v>
      </c>
    </row>
    <row r="136" spans="1:51">
      <c r="A136" s="25">
        <v>260</v>
      </c>
      <c r="B136" s="23" t="s">
        <v>89</v>
      </c>
      <c r="D136" s="23">
        <v>3</v>
      </c>
      <c r="E136" s="25" t="s">
        <v>30</v>
      </c>
      <c r="F136" s="25" t="s">
        <v>295</v>
      </c>
      <c r="G136" s="23" t="s">
        <v>27</v>
      </c>
      <c r="H136" s="23" t="s">
        <v>158</v>
      </c>
      <c r="I136" s="25">
        <v>1980</v>
      </c>
      <c r="J136" s="35">
        <v>30</v>
      </c>
      <c r="K136" s="35">
        <v>40</v>
      </c>
      <c r="L136" s="35">
        <v>20</v>
      </c>
      <c r="M136" s="25">
        <v>10</v>
      </c>
      <c r="N136" s="25">
        <v>10</v>
      </c>
      <c r="O136" s="25">
        <v>10</v>
      </c>
      <c r="R136" s="30">
        <f t="shared" si="151"/>
        <v>30</v>
      </c>
      <c r="S136" s="37">
        <v>1</v>
      </c>
      <c r="T136" s="30">
        <f t="shared" si="122"/>
        <v>18.522857142857145</v>
      </c>
      <c r="U136" s="37">
        <v>1</v>
      </c>
      <c r="V136" s="30">
        <f t="shared" si="106"/>
        <v>25.66952380952381</v>
      </c>
      <c r="W136" s="25">
        <v>66</v>
      </c>
      <c r="X136" s="31">
        <f t="shared" si="152"/>
        <v>217.60000000000002</v>
      </c>
      <c r="Y136" s="25">
        <v>160</v>
      </c>
      <c r="Z136" s="25">
        <v>11</v>
      </c>
      <c r="AA136" s="25">
        <v>100</v>
      </c>
      <c r="AB136" s="37">
        <v>1</v>
      </c>
      <c r="AC136" s="30">
        <f t="shared" si="70"/>
        <v>200</v>
      </c>
      <c r="AD136" s="31">
        <f t="shared" si="153"/>
        <v>1</v>
      </c>
      <c r="AE136" s="31">
        <f t="shared" si="154"/>
        <v>8</v>
      </c>
      <c r="AF136" s="31" t="str">
        <f t="shared" si="155"/>
        <v/>
      </c>
      <c r="AG136" s="31" t="str">
        <f t="shared" si="156"/>
        <v/>
      </c>
      <c r="AH136" s="31" t="str">
        <f t="shared" si="157"/>
        <v/>
      </c>
      <c r="AI136" s="31" t="str">
        <f t="shared" si="158"/>
        <v/>
      </c>
      <c r="AJ136" s="25">
        <v>9</v>
      </c>
      <c r="AK136" s="25">
        <v>0</v>
      </c>
      <c r="AL136" s="25">
        <v>0</v>
      </c>
      <c r="AM136" s="23" t="s">
        <v>206</v>
      </c>
      <c r="AN136" s="23" t="s">
        <v>92</v>
      </c>
      <c r="AO136" s="25">
        <v>260</v>
      </c>
      <c r="AR136" s="32" t="str">
        <f t="shared" si="159"/>
        <v>3 doors</v>
      </c>
      <c r="AS136" s="23" t="s">
        <v>235</v>
      </c>
      <c r="AT136" s="23" t="s">
        <v>32</v>
      </c>
      <c r="AU136" s="23" t="str">
        <f t="shared" si="107"/>
        <v>CC</v>
      </c>
      <c r="AV136" s="34">
        <f t="shared" si="160"/>
        <v>1420</v>
      </c>
      <c r="AW136" s="23">
        <v>14</v>
      </c>
      <c r="AX136" s="23">
        <v>20</v>
      </c>
      <c r="AY136" s="23">
        <v>0</v>
      </c>
    </row>
    <row r="137" spans="1:51">
      <c r="A137" s="25">
        <v>260</v>
      </c>
      <c r="B137" s="23" t="s">
        <v>89</v>
      </c>
      <c r="D137" s="23">
        <v>3</v>
      </c>
      <c r="E137" s="25" t="s">
        <v>42</v>
      </c>
      <c r="F137" s="25" t="s">
        <v>296</v>
      </c>
      <c r="G137" s="23" t="s">
        <v>27</v>
      </c>
      <c r="H137" s="23" t="s">
        <v>158</v>
      </c>
      <c r="I137" s="25">
        <v>1980</v>
      </c>
      <c r="J137" s="35">
        <v>30</v>
      </c>
      <c r="K137" s="35">
        <v>40</v>
      </c>
      <c r="L137" s="35">
        <v>20</v>
      </c>
      <c r="M137" s="25">
        <v>10</v>
      </c>
      <c r="N137" s="25">
        <v>10</v>
      </c>
      <c r="O137" s="25">
        <v>10</v>
      </c>
      <c r="R137" s="30">
        <f t="shared" ref="R137:R143" si="282">SUM(M137:Q137)</f>
        <v>30</v>
      </c>
      <c r="S137" s="37">
        <v>1</v>
      </c>
      <c r="T137" s="30">
        <f t="shared" si="122"/>
        <v>18.522857142857145</v>
      </c>
      <c r="U137" s="37">
        <v>1</v>
      </c>
      <c r="V137" s="30">
        <f t="shared" si="106"/>
        <v>25.66952380952381</v>
      </c>
      <c r="W137" s="25">
        <v>66</v>
      </c>
      <c r="X137" s="31">
        <f t="shared" ref="X137:X143" si="283">Y137*1.36</f>
        <v>217.60000000000002</v>
      </c>
      <c r="Y137" s="25">
        <v>160</v>
      </c>
      <c r="Z137" s="25">
        <v>11</v>
      </c>
      <c r="AA137" s="25">
        <v>100</v>
      </c>
      <c r="AB137" s="37">
        <v>1</v>
      </c>
      <c r="AC137" s="30">
        <f t="shared" si="70"/>
        <v>200</v>
      </c>
      <c r="AD137" s="31">
        <f t="shared" ref="AD137:AD143" si="284">IF(AJ137&gt;8, AJ137-8, AJ137)</f>
        <v>1</v>
      </c>
      <c r="AE137" s="31">
        <f t="shared" ref="AE137:AE143" si="285">IF(AJ137&gt;8, 8, "")</f>
        <v>8</v>
      </c>
      <c r="AF137" s="31" t="str">
        <f t="shared" ref="AF137:AF143" si="286">IF(AK137&gt;8, AK137-8, IF(AK137=0, "", AK137))</f>
        <v/>
      </c>
      <c r="AG137" s="31" t="str">
        <f t="shared" ref="AG137:AG143" si="287">IF(AK137&gt;8, 8, "")</f>
        <v/>
      </c>
      <c r="AH137" s="31" t="str">
        <f t="shared" ref="AH137:AH143" si="288">IF(AL137&gt;8, AL137-8, IF(AL137=0, "", AL137))</f>
        <v/>
      </c>
      <c r="AI137" s="31" t="str">
        <f t="shared" ref="AI137:AI143" si="289">IF(AL137&gt;8, 8, "")</f>
        <v/>
      </c>
      <c r="AJ137" s="25">
        <v>9</v>
      </c>
      <c r="AK137" s="25">
        <v>0</v>
      </c>
      <c r="AL137" s="25">
        <v>0</v>
      </c>
      <c r="AM137" s="23" t="s">
        <v>206</v>
      </c>
      <c r="AN137" s="23" t="s">
        <v>92</v>
      </c>
      <c r="AO137" s="25">
        <v>260</v>
      </c>
      <c r="AR137" s="32" t="str">
        <f t="shared" ref="AR137:AR143" si="290">IF(Q137&gt;0, "5 doors", IF(P137&gt;0, "4 doors", IF(O137&gt;0, "3 doors", IF(N137&gt;0, "2 doors", "1 door"))))</f>
        <v>3 doors</v>
      </c>
      <c r="AS137" s="23" t="s">
        <v>235</v>
      </c>
      <c r="AT137" s="23" t="s">
        <v>32</v>
      </c>
      <c r="AU137" s="23" t="str">
        <f t="shared" ref="AU137:AU143" si="291">IF(ISNUMBER(SEARCH("CC", E137)), "CC", "Hungary")</f>
        <v>CC</v>
      </c>
      <c r="AV137" s="34">
        <f t="shared" ref="AV137:AV143" si="292">(AW137*100)+AX137+(AY137/100)</f>
        <v>1420.01</v>
      </c>
      <c r="AW137" s="23">
        <v>14</v>
      </c>
      <c r="AX137" s="23">
        <v>20</v>
      </c>
      <c r="AY137" s="23">
        <v>1</v>
      </c>
    </row>
    <row r="138" spans="1:51">
      <c r="A138" s="25">
        <v>260</v>
      </c>
      <c r="B138" s="23" t="s">
        <v>89</v>
      </c>
      <c r="D138" s="23">
        <v>3</v>
      </c>
      <c r="E138" s="25" t="s">
        <v>43</v>
      </c>
      <c r="F138" s="25" t="s">
        <v>297</v>
      </c>
      <c r="G138" s="23" t="s">
        <v>27</v>
      </c>
      <c r="H138" s="23" t="s">
        <v>158</v>
      </c>
      <c r="I138" s="25">
        <v>1980</v>
      </c>
      <c r="J138" s="35">
        <v>30</v>
      </c>
      <c r="K138" s="35">
        <v>40</v>
      </c>
      <c r="L138" s="35">
        <v>20</v>
      </c>
      <c r="M138" s="25">
        <v>10</v>
      </c>
      <c r="N138" s="25">
        <v>10</v>
      </c>
      <c r="O138" s="25">
        <v>10</v>
      </c>
      <c r="R138" s="30">
        <f t="shared" si="282"/>
        <v>30</v>
      </c>
      <c r="S138" s="37">
        <v>1</v>
      </c>
      <c r="T138" s="30">
        <f t="shared" si="122"/>
        <v>18.522857142857145</v>
      </c>
      <c r="U138" s="37">
        <v>1</v>
      </c>
      <c r="V138" s="30">
        <f t="shared" si="106"/>
        <v>25.66952380952381</v>
      </c>
      <c r="W138" s="25">
        <v>66</v>
      </c>
      <c r="X138" s="31">
        <f t="shared" si="283"/>
        <v>217.60000000000002</v>
      </c>
      <c r="Y138" s="25">
        <v>160</v>
      </c>
      <c r="Z138" s="25">
        <v>11</v>
      </c>
      <c r="AA138" s="25">
        <v>100</v>
      </c>
      <c r="AB138" s="37">
        <v>1</v>
      </c>
      <c r="AC138" s="30">
        <f t="shared" si="70"/>
        <v>200</v>
      </c>
      <c r="AD138" s="31">
        <f t="shared" si="284"/>
        <v>1</v>
      </c>
      <c r="AE138" s="31">
        <f t="shared" si="285"/>
        <v>8</v>
      </c>
      <c r="AF138" s="31" t="str">
        <f t="shared" si="286"/>
        <v/>
      </c>
      <c r="AG138" s="31" t="str">
        <f t="shared" si="287"/>
        <v/>
      </c>
      <c r="AH138" s="31" t="str">
        <f t="shared" si="288"/>
        <v/>
      </c>
      <c r="AI138" s="31" t="str">
        <f t="shared" si="289"/>
        <v/>
      </c>
      <c r="AJ138" s="25">
        <v>9</v>
      </c>
      <c r="AK138" s="25">
        <v>0</v>
      </c>
      <c r="AL138" s="25">
        <v>0</v>
      </c>
      <c r="AM138" s="23" t="s">
        <v>206</v>
      </c>
      <c r="AN138" s="23" t="s">
        <v>92</v>
      </c>
      <c r="AO138" s="25">
        <v>260</v>
      </c>
      <c r="AR138" s="32" t="str">
        <f t="shared" si="290"/>
        <v>3 doors</v>
      </c>
      <c r="AS138" s="23" t="s">
        <v>235</v>
      </c>
      <c r="AT138" s="23" t="s">
        <v>32</v>
      </c>
      <c r="AU138" s="23" t="str">
        <f t="shared" si="291"/>
        <v>CC</v>
      </c>
      <c r="AV138" s="34">
        <f t="shared" si="292"/>
        <v>1420.02</v>
      </c>
      <c r="AW138" s="23">
        <v>14</v>
      </c>
      <c r="AX138" s="23">
        <v>20</v>
      </c>
      <c r="AY138" s="23">
        <v>2</v>
      </c>
    </row>
    <row r="139" spans="1:51">
      <c r="A139" s="25">
        <v>260</v>
      </c>
      <c r="B139" s="23" t="s">
        <v>89</v>
      </c>
      <c r="D139" s="23">
        <v>3</v>
      </c>
      <c r="E139" s="25" t="s">
        <v>284</v>
      </c>
      <c r="F139" s="25" t="s">
        <v>298</v>
      </c>
      <c r="G139" s="23" t="s">
        <v>27</v>
      </c>
      <c r="H139" s="23" t="s">
        <v>158</v>
      </c>
      <c r="I139" s="25">
        <v>1980</v>
      </c>
      <c r="J139" s="35">
        <v>30</v>
      </c>
      <c r="K139" s="35">
        <v>40</v>
      </c>
      <c r="L139" s="35">
        <v>20</v>
      </c>
      <c r="M139" s="25">
        <v>10</v>
      </c>
      <c r="N139" s="25">
        <v>10</v>
      </c>
      <c r="O139" s="25">
        <v>10</v>
      </c>
      <c r="R139" s="30">
        <f t="shared" si="282"/>
        <v>30</v>
      </c>
      <c r="S139" s="37">
        <v>1</v>
      </c>
      <c r="T139" s="30">
        <f t="shared" si="122"/>
        <v>18.522857142857145</v>
      </c>
      <c r="U139" s="37">
        <v>1</v>
      </c>
      <c r="V139" s="30">
        <f t="shared" si="106"/>
        <v>25.66952380952381</v>
      </c>
      <c r="W139" s="25">
        <v>66</v>
      </c>
      <c r="X139" s="31">
        <f t="shared" si="283"/>
        <v>217.60000000000002</v>
      </c>
      <c r="Y139" s="25">
        <v>160</v>
      </c>
      <c r="Z139" s="25">
        <v>11</v>
      </c>
      <c r="AA139" s="25">
        <v>100</v>
      </c>
      <c r="AB139" s="37">
        <v>1</v>
      </c>
      <c r="AC139" s="30">
        <f t="shared" si="70"/>
        <v>200</v>
      </c>
      <c r="AD139" s="31">
        <f t="shared" si="284"/>
        <v>1</v>
      </c>
      <c r="AE139" s="31">
        <f t="shared" si="285"/>
        <v>8</v>
      </c>
      <c r="AF139" s="31" t="str">
        <f t="shared" si="286"/>
        <v/>
      </c>
      <c r="AG139" s="31" t="str">
        <f t="shared" si="287"/>
        <v/>
      </c>
      <c r="AH139" s="31" t="str">
        <f t="shared" si="288"/>
        <v/>
      </c>
      <c r="AI139" s="31" t="str">
        <f t="shared" si="289"/>
        <v/>
      </c>
      <c r="AJ139" s="25">
        <v>9</v>
      </c>
      <c r="AK139" s="25">
        <v>0</v>
      </c>
      <c r="AL139" s="25">
        <v>0</v>
      </c>
      <c r="AM139" s="23" t="s">
        <v>206</v>
      </c>
      <c r="AN139" s="23" t="s">
        <v>92</v>
      </c>
      <c r="AO139" s="25">
        <v>260</v>
      </c>
      <c r="AR139" s="32" t="str">
        <f t="shared" si="290"/>
        <v>3 doors</v>
      </c>
      <c r="AS139" s="23" t="s">
        <v>235</v>
      </c>
      <c r="AT139" s="23" t="s">
        <v>32</v>
      </c>
      <c r="AU139" s="23" t="str">
        <f t="shared" si="291"/>
        <v>CC</v>
      </c>
      <c r="AV139" s="34">
        <f t="shared" si="292"/>
        <v>1420.03</v>
      </c>
      <c r="AW139" s="23">
        <v>14</v>
      </c>
      <c r="AX139" s="23">
        <v>20</v>
      </c>
      <c r="AY139" s="23">
        <v>3</v>
      </c>
    </row>
    <row r="140" spans="1:51">
      <c r="A140" s="25">
        <v>260</v>
      </c>
      <c r="B140" s="23" t="s">
        <v>89</v>
      </c>
      <c r="D140" s="23">
        <v>3</v>
      </c>
      <c r="E140" s="25" t="s">
        <v>285</v>
      </c>
      <c r="F140" s="25" t="s">
        <v>301</v>
      </c>
      <c r="G140" s="23" t="s">
        <v>27</v>
      </c>
      <c r="H140" s="23" t="s">
        <v>158</v>
      </c>
      <c r="I140" s="25">
        <v>1980</v>
      </c>
      <c r="J140" s="35">
        <v>30</v>
      </c>
      <c r="K140" s="35">
        <v>40</v>
      </c>
      <c r="L140" s="35">
        <v>20</v>
      </c>
      <c r="M140" s="25">
        <v>10</v>
      </c>
      <c r="N140" s="25">
        <v>10</v>
      </c>
      <c r="O140" s="25">
        <v>10</v>
      </c>
      <c r="R140" s="30">
        <f t="shared" si="282"/>
        <v>30</v>
      </c>
      <c r="S140" s="37">
        <v>1</v>
      </c>
      <c r="T140" s="30">
        <f t="shared" si="122"/>
        <v>18.522857142857145</v>
      </c>
      <c r="U140" s="37">
        <v>1</v>
      </c>
      <c r="V140" s="30">
        <f t="shared" si="106"/>
        <v>25.66952380952381</v>
      </c>
      <c r="W140" s="25">
        <v>66</v>
      </c>
      <c r="X140" s="31">
        <f t="shared" si="283"/>
        <v>217.60000000000002</v>
      </c>
      <c r="Y140" s="25">
        <v>160</v>
      </c>
      <c r="Z140" s="25">
        <v>11</v>
      </c>
      <c r="AA140" s="25">
        <v>100</v>
      </c>
      <c r="AB140" s="37">
        <v>1</v>
      </c>
      <c r="AC140" s="30">
        <f t="shared" si="70"/>
        <v>200</v>
      </c>
      <c r="AD140" s="31">
        <f t="shared" si="284"/>
        <v>1</v>
      </c>
      <c r="AE140" s="31">
        <f t="shared" si="285"/>
        <v>8</v>
      </c>
      <c r="AF140" s="31" t="str">
        <f t="shared" si="286"/>
        <v/>
      </c>
      <c r="AG140" s="31" t="str">
        <f t="shared" si="287"/>
        <v/>
      </c>
      <c r="AH140" s="31" t="str">
        <f t="shared" si="288"/>
        <v/>
      </c>
      <c r="AI140" s="31" t="str">
        <f t="shared" si="289"/>
        <v/>
      </c>
      <c r="AJ140" s="25">
        <v>9</v>
      </c>
      <c r="AK140" s="25">
        <v>0</v>
      </c>
      <c r="AL140" s="25">
        <v>0</v>
      </c>
      <c r="AM140" s="23" t="s">
        <v>206</v>
      </c>
      <c r="AN140" s="23" t="s">
        <v>92</v>
      </c>
      <c r="AO140" s="25">
        <v>260</v>
      </c>
      <c r="AR140" s="32" t="str">
        <f t="shared" si="290"/>
        <v>3 doors</v>
      </c>
      <c r="AS140" s="23" t="s">
        <v>235</v>
      </c>
      <c r="AT140" s="23" t="s">
        <v>32</v>
      </c>
      <c r="AU140" s="23" t="str">
        <f t="shared" si="291"/>
        <v>CC</v>
      </c>
      <c r="AV140" s="34">
        <f t="shared" si="292"/>
        <v>1420.04</v>
      </c>
      <c r="AW140" s="23">
        <v>14</v>
      </c>
      <c r="AX140" s="23">
        <v>20</v>
      </c>
      <c r="AY140" s="23">
        <v>4</v>
      </c>
    </row>
    <row r="141" spans="1:51">
      <c r="A141" s="25">
        <v>260</v>
      </c>
      <c r="B141" s="23" t="s">
        <v>89</v>
      </c>
      <c r="D141" s="23">
        <v>3</v>
      </c>
      <c r="E141" s="25" t="s">
        <v>286</v>
      </c>
      <c r="F141" s="25" t="s">
        <v>300</v>
      </c>
      <c r="G141" s="23" t="s">
        <v>27</v>
      </c>
      <c r="H141" s="23" t="s">
        <v>158</v>
      </c>
      <c r="I141" s="25">
        <v>1980</v>
      </c>
      <c r="J141" s="35">
        <v>30</v>
      </c>
      <c r="K141" s="35">
        <v>40</v>
      </c>
      <c r="L141" s="35">
        <v>20</v>
      </c>
      <c r="M141" s="25">
        <v>10</v>
      </c>
      <c r="N141" s="25">
        <v>10</v>
      </c>
      <c r="O141" s="25">
        <v>10</v>
      </c>
      <c r="R141" s="30">
        <f t="shared" si="282"/>
        <v>30</v>
      </c>
      <c r="S141" s="37">
        <v>1</v>
      </c>
      <c r="T141" s="30">
        <f t="shared" si="122"/>
        <v>18.522857142857145</v>
      </c>
      <c r="U141" s="37">
        <v>1</v>
      </c>
      <c r="V141" s="30">
        <f t="shared" si="106"/>
        <v>25.66952380952381</v>
      </c>
      <c r="W141" s="25">
        <v>66</v>
      </c>
      <c r="X141" s="31">
        <f t="shared" si="283"/>
        <v>217.60000000000002</v>
      </c>
      <c r="Y141" s="25">
        <v>160</v>
      </c>
      <c r="Z141" s="25">
        <v>11</v>
      </c>
      <c r="AA141" s="25">
        <v>100</v>
      </c>
      <c r="AB141" s="37">
        <v>1</v>
      </c>
      <c r="AC141" s="30">
        <f t="shared" si="70"/>
        <v>200</v>
      </c>
      <c r="AD141" s="31">
        <f t="shared" si="284"/>
        <v>1</v>
      </c>
      <c r="AE141" s="31">
        <f t="shared" si="285"/>
        <v>8</v>
      </c>
      <c r="AF141" s="31" t="str">
        <f t="shared" si="286"/>
        <v/>
      </c>
      <c r="AG141" s="31" t="str">
        <f t="shared" si="287"/>
        <v/>
      </c>
      <c r="AH141" s="31" t="str">
        <f t="shared" si="288"/>
        <v/>
      </c>
      <c r="AI141" s="31" t="str">
        <f t="shared" si="289"/>
        <v/>
      </c>
      <c r="AJ141" s="25">
        <v>9</v>
      </c>
      <c r="AK141" s="25">
        <v>0</v>
      </c>
      <c r="AL141" s="25">
        <v>0</v>
      </c>
      <c r="AM141" s="23" t="s">
        <v>206</v>
      </c>
      <c r="AN141" s="23" t="s">
        <v>92</v>
      </c>
      <c r="AO141" s="25">
        <v>260</v>
      </c>
      <c r="AR141" s="32" t="str">
        <f t="shared" si="290"/>
        <v>3 doors</v>
      </c>
      <c r="AS141" s="23" t="s">
        <v>235</v>
      </c>
      <c r="AT141" s="23" t="s">
        <v>32</v>
      </c>
      <c r="AU141" s="23" t="str">
        <f t="shared" si="291"/>
        <v>CC</v>
      </c>
      <c r="AV141" s="34">
        <f t="shared" si="292"/>
        <v>1420.05</v>
      </c>
      <c r="AW141" s="23">
        <v>14</v>
      </c>
      <c r="AX141" s="23">
        <v>20</v>
      </c>
      <c r="AY141" s="23">
        <v>5</v>
      </c>
    </row>
    <row r="142" spans="1:51">
      <c r="A142" s="25">
        <v>260</v>
      </c>
      <c r="B142" s="23" t="s">
        <v>89</v>
      </c>
      <c r="D142" s="23">
        <v>3</v>
      </c>
      <c r="E142" s="25" t="s">
        <v>287</v>
      </c>
      <c r="F142" s="25" t="s">
        <v>315</v>
      </c>
      <c r="G142" s="23" t="s">
        <v>27</v>
      </c>
      <c r="H142" s="23" t="s">
        <v>158</v>
      </c>
      <c r="I142" s="25">
        <v>1980</v>
      </c>
      <c r="J142" s="35">
        <v>30</v>
      </c>
      <c r="K142" s="35">
        <v>40</v>
      </c>
      <c r="L142" s="35">
        <v>20</v>
      </c>
      <c r="M142" s="25">
        <v>10</v>
      </c>
      <c r="N142" s="25">
        <v>10</v>
      </c>
      <c r="O142" s="25">
        <v>10</v>
      </c>
      <c r="R142" s="30">
        <f t="shared" si="282"/>
        <v>30</v>
      </c>
      <c r="S142" s="37">
        <v>1</v>
      </c>
      <c r="T142" s="30">
        <f t="shared" si="122"/>
        <v>18.522857142857145</v>
      </c>
      <c r="U142" s="37">
        <v>1</v>
      </c>
      <c r="V142" s="30">
        <f t="shared" si="106"/>
        <v>25.66952380952381</v>
      </c>
      <c r="W142" s="25">
        <v>66</v>
      </c>
      <c r="X142" s="31">
        <f t="shared" si="283"/>
        <v>217.60000000000002</v>
      </c>
      <c r="Y142" s="25">
        <v>160</v>
      </c>
      <c r="Z142" s="25">
        <v>11</v>
      </c>
      <c r="AA142" s="25">
        <v>100</v>
      </c>
      <c r="AB142" s="37">
        <v>1</v>
      </c>
      <c r="AC142" s="30">
        <f t="shared" si="70"/>
        <v>200</v>
      </c>
      <c r="AD142" s="31">
        <f t="shared" si="284"/>
        <v>1</v>
      </c>
      <c r="AE142" s="31">
        <f t="shared" si="285"/>
        <v>8</v>
      </c>
      <c r="AF142" s="31" t="str">
        <f t="shared" si="286"/>
        <v/>
      </c>
      <c r="AG142" s="31" t="str">
        <f t="shared" si="287"/>
        <v/>
      </c>
      <c r="AH142" s="31" t="str">
        <f t="shared" si="288"/>
        <v/>
      </c>
      <c r="AI142" s="31" t="str">
        <f t="shared" si="289"/>
        <v/>
      </c>
      <c r="AJ142" s="25">
        <v>9</v>
      </c>
      <c r="AK142" s="25">
        <v>0</v>
      </c>
      <c r="AL142" s="25">
        <v>0</v>
      </c>
      <c r="AM142" s="23" t="s">
        <v>206</v>
      </c>
      <c r="AN142" s="23" t="s">
        <v>92</v>
      </c>
      <c r="AO142" s="25">
        <v>260</v>
      </c>
      <c r="AR142" s="32" t="str">
        <f t="shared" si="290"/>
        <v>3 doors</v>
      </c>
      <c r="AS142" s="23" t="s">
        <v>235</v>
      </c>
      <c r="AT142" s="23" t="s">
        <v>32</v>
      </c>
      <c r="AU142" s="23" t="str">
        <f t="shared" si="291"/>
        <v>CC</v>
      </c>
      <c r="AV142" s="34">
        <f t="shared" si="292"/>
        <v>1420.06</v>
      </c>
      <c r="AW142" s="23">
        <v>14</v>
      </c>
      <c r="AX142" s="23">
        <v>20</v>
      </c>
      <c r="AY142" s="23">
        <v>6</v>
      </c>
    </row>
    <row r="143" spans="1:51">
      <c r="A143" s="25">
        <v>260</v>
      </c>
      <c r="B143" s="23" t="s">
        <v>89</v>
      </c>
      <c r="D143" s="23">
        <v>3</v>
      </c>
      <c r="E143" s="25" t="s">
        <v>85</v>
      </c>
      <c r="F143" s="25" t="s">
        <v>85</v>
      </c>
      <c r="G143" s="23" t="s">
        <v>27</v>
      </c>
      <c r="H143" s="23" t="s">
        <v>158</v>
      </c>
      <c r="I143" s="25">
        <v>1980</v>
      </c>
      <c r="J143" s="35">
        <v>30</v>
      </c>
      <c r="K143" s="35">
        <v>40</v>
      </c>
      <c r="L143" s="35">
        <v>20</v>
      </c>
      <c r="M143" s="25">
        <v>10</v>
      </c>
      <c r="N143" s="25">
        <v>10</v>
      </c>
      <c r="O143" s="25">
        <v>10</v>
      </c>
      <c r="R143" s="30">
        <f t="shared" si="282"/>
        <v>30</v>
      </c>
      <c r="S143" s="37">
        <v>1</v>
      </c>
      <c r="T143" s="30">
        <f t="shared" si="122"/>
        <v>18.522857142857145</v>
      </c>
      <c r="U143" s="37">
        <v>1</v>
      </c>
      <c r="V143" s="30">
        <f t="shared" si="106"/>
        <v>25.66952380952381</v>
      </c>
      <c r="W143" s="25">
        <v>66</v>
      </c>
      <c r="X143" s="31">
        <f t="shared" si="283"/>
        <v>217.60000000000002</v>
      </c>
      <c r="Y143" s="25">
        <v>160</v>
      </c>
      <c r="Z143" s="25">
        <v>11</v>
      </c>
      <c r="AA143" s="25">
        <v>100</v>
      </c>
      <c r="AB143" s="37">
        <v>1</v>
      </c>
      <c r="AC143" s="30">
        <f t="shared" si="70"/>
        <v>200</v>
      </c>
      <c r="AD143" s="31">
        <f t="shared" si="284"/>
        <v>1</v>
      </c>
      <c r="AE143" s="31">
        <f t="shared" si="285"/>
        <v>8</v>
      </c>
      <c r="AF143" s="31" t="str">
        <f t="shared" si="286"/>
        <v/>
      </c>
      <c r="AG143" s="31" t="str">
        <f t="shared" si="287"/>
        <v/>
      </c>
      <c r="AH143" s="31" t="str">
        <f t="shared" si="288"/>
        <v/>
      </c>
      <c r="AI143" s="31" t="str">
        <f t="shared" si="289"/>
        <v/>
      </c>
      <c r="AJ143" s="25">
        <v>9</v>
      </c>
      <c r="AK143" s="25">
        <v>0</v>
      </c>
      <c r="AL143" s="25">
        <v>0</v>
      </c>
      <c r="AM143" s="23" t="s">
        <v>206</v>
      </c>
      <c r="AN143" s="23" t="s">
        <v>92</v>
      </c>
      <c r="AO143" s="25">
        <v>260</v>
      </c>
      <c r="AR143" s="32" t="str">
        <f t="shared" si="290"/>
        <v>3 doors</v>
      </c>
      <c r="AS143" s="23" t="s">
        <v>235</v>
      </c>
      <c r="AT143" s="23" t="s">
        <v>32</v>
      </c>
      <c r="AU143" s="23" t="str">
        <f t="shared" si="291"/>
        <v>Hungary</v>
      </c>
      <c r="AV143" s="34">
        <f t="shared" si="292"/>
        <v>1420.07</v>
      </c>
      <c r="AW143" s="23">
        <v>14</v>
      </c>
      <c r="AX143" s="23">
        <v>20</v>
      </c>
      <c r="AY143" s="23">
        <v>7</v>
      </c>
    </row>
    <row r="144" spans="1:51">
      <c r="A144" s="25">
        <v>260</v>
      </c>
      <c r="B144" s="23" t="s">
        <v>125</v>
      </c>
      <c r="D144" s="23">
        <v>2</v>
      </c>
      <c r="E144" s="25" t="s">
        <v>30</v>
      </c>
      <c r="F144" s="25" t="s">
        <v>302</v>
      </c>
      <c r="G144" s="23" t="s">
        <v>27</v>
      </c>
      <c r="H144" s="23" t="s">
        <v>159</v>
      </c>
      <c r="I144" s="25">
        <v>1980</v>
      </c>
      <c r="J144" s="35">
        <v>30</v>
      </c>
      <c r="K144" s="35">
        <v>40</v>
      </c>
      <c r="L144" s="35">
        <v>20</v>
      </c>
      <c r="M144" s="25">
        <v>10</v>
      </c>
      <c r="N144" s="25">
        <v>10</v>
      </c>
      <c r="R144" s="30">
        <f t="shared" si="151"/>
        <v>20</v>
      </c>
      <c r="S144" s="37">
        <v>1</v>
      </c>
      <c r="T144" s="30">
        <f t="shared" si="122"/>
        <v>17.80857142857143</v>
      </c>
      <c r="U144" s="37">
        <v>1</v>
      </c>
      <c r="V144" s="30">
        <f t="shared" si="106"/>
        <v>24.761904761904763</v>
      </c>
      <c r="W144" s="25">
        <v>78</v>
      </c>
      <c r="X144" s="31">
        <f t="shared" si="152"/>
        <v>217.60000000000002</v>
      </c>
      <c r="Y144" s="25">
        <v>160</v>
      </c>
      <c r="Z144" s="25">
        <v>11</v>
      </c>
      <c r="AA144" s="25">
        <v>71</v>
      </c>
      <c r="AB144" s="37">
        <v>1</v>
      </c>
      <c r="AC144" s="30">
        <f t="shared" si="70"/>
        <v>200</v>
      </c>
      <c r="AD144" s="31">
        <f t="shared" si="153"/>
        <v>1</v>
      </c>
      <c r="AE144" s="31">
        <f t="shared" si="154"/>
        <v>8</v>
      </c>
      <c r="AF144" s="31" t="str">
        <f t="shared" si="155"/>
        <v/>
      </c>
      <c r="AG144" s="31" t="str">
        <f t="shared" si="156"/>
        <v/>
      </c>
      <c r="AH144" s="31" t="str">
        <f t="shared" si="157"/>
        <v/>
      </c>
      <c r="AI144" s="31" t="str">
        <f t="shared" si="158"/>
        <v/>
      </c>
      <c r="AJ144" s="25">
        <v>9</v>
      </c>
      <c r="AK144" s="25">
        <v>0</v>
      </c>
      <c r="AL144" s="25">
        <v>0</v>
      </c>
      <c r="AM144" s="23" t="s">
        <v>206</v>
      </c>
      <c r="AN144" s="23" t="s">
        <v>92</v>
      </c>
      <c r="AO144" s="25">
        <v>260</v>
      </c>
      <c r="AR144" s="32" t="str">
        <f t="shared" si="159"/>
        <v>2 doors</v>
      </c>
      <c r="AS144" s="23" t="s">
        <v>234</v>
      </c>
      <c r="AT144" s="23" t="s">
        <v>270</v>
      </c>
      <c r="AU144" s="23" t="str">
        <f t="shared" si="107"/>
        <v>CC</v>
      </c>
      <c r="AV144" s="34">
        <f t="shared" si="160"/>
        <v>1430</v>
      </c>
      <c r="AW144" s="23">
        <v>14</v>
      </c>
      <c r="AX144" s="23">
        <v>30</v>
      </c>
      <c r="AY144" s="23">
        <v>0</v>
      </c>
    </row>
    <row r="145" spans="1:51">
      <c r="A145" s="25">
        <v>260</v>
      </c>
      <c r="B145" s="23" t="s">
        <v>125</v>
      </c>
      <c r="D145" s="23">
        <v>2</v>
      </c>
      <c r="E145" s="25" t="s">
        <v>42</v>
      </c>
      <c r="F145" s="25" t="s">
        <v>303</v>
      </c>
      <c r="G145" s="23" t="s">
        <v>27</v>
      </c>
      <c r="H145" s="23" t="s">
        <v>159</v>
      </c>
      <c r="I145" s="25">
        <v>1980</v>
      </c>
      <c r="J145" s="35">
        <v>30</v>
      </c>
      <c r="K145" s="35">
        <v>40</v>
      </c>
      <c r="L145" s="35">
        <v>20</v>
      </c>
      <c r="M145" s="25">
        <v>10</v>
      </c>
      <c r="N145" s="25">
        <v>10</v>
      </c>
      <c r="R145" s="30">
        <f t="shared" ref="R145:R151" si="293">SUM(M145:Q145)</f>
        <v>20</v>
      </c>
      <c r="S145" s="37">
        <v>1</v>
      </c>
      <c r="T145" s="30">
        <f t="shared" si="122"/>
        <v>17.80857142857143</v>
      </c>
      <c r="U145" s="37">
        <v>1</v>
      </c>
      <c r="V145" s="30">
        <f t="shared" si="106"/>
        <v>24.761904761904763</v>
      </c>
      <c r="W145" s="25">
        <v>78</v>
      </c>
      <c r="X145" s="31">
        <f t="shared" ref="X145:X151" si="294">Y145*1.36</f>
        <v>217.60000000000002</v>
      </c>
      <c r="Y145" s="25">
        <v>160</v>
      </c>
      <c r="Z145" s="25">
        <v>11</v>
      </c>
      <c r="AA145" s="25">
        <v>71</v>
      </c>
      <c r="AB145" s="37">
        <v>1</v>
      </c>
      <c r="AC145" s="30">
        <f t="shared" si="70"/>
        <v>200</v>
      </c>
      <c r="AD145" s="31">
        <f t="shared" ref="AD145:AD151" si="295">IF(AJ145&gt;8, AJ145-8, AJ145)</f>
        <v>1</v>
      </c>
      <c r="AE145" s="31">
        <f t="shared" ref="AE145:AE151" si="296">IF(AJ145&gt;8, 8, "")</f>
        <v>8</v>
      </c>
      <c r="AF145" s="31" t="str">
        <f t="shared" ref="AF145:AF151" si="297">IF(AK145&gt;8, AK145-8, IF(AK145=0, "", AK145))</f>
        <v/>
      </c>
      <c r="AG145" s="31" t="str">
        <f t="shared" ref="AG145:AG151" si="298">IF(AK145&gt;8, 8, "")</f>
        <v/>
      </c>
      <c r="AH145" s="31" t="str">
        <f t="shared" ref="AH145:AH151" si="299">IF(AL145&gt;8, AL145-8, IF(AL145=0, "", AL145))</f>
        <v/>
      </c>
      <c r="AI145" s="31" t="str">
        <f t="shared" ref="AI145:AI151" si="300">IF(AL145&gt;8, 8, "")</f>
        <v/>
      </c>
      <c r="AJ145" s="25">
        <v>9</v>
      </c>
      <c r="AK145" s="25">
        <v>0</v>
      </c>
      <c r="AL145" s="25">
        <v>0</v>
      </c>
      <c r="AM145" s="23" t="s">
        <v>206</v>
      </c>
      <c r="AN145" s="23" t="s">
        <v>92</v>
      </c>
      <c r="AO145" s="25">
        <v>260</v>
      </c>
      <c r="AR145" s="32" t="str">
        <f t="shared" ref="AR145:AR151" si="301">IF(Q145&gt;0, "5 doors", IF(P145&gt;0, "4 doors", IF(O145&gt;0, "3 doors", IF(N145&gt;0, "2 doors", "1 door"))))</f>
        <v>2 doors</v>
      </c>
      <c r="AS145" s="23" t="s">
        <v>234</v>
      </c>
      <c r="AT145" s="23" t="s">
        <v>270</v>
      </c>
      <c r="AU145" s="23" t="str">
        <f t="shared" ref="AU145:AU151" si="302">IF(ISNUMBER(SEARCH("CC", E145)), "CC", "Hungary")</f>
        <v>CC</v>
      </c>
      <c r="AV145" s="34">
        <f t="shared" ref="AV145:AV151" si="303">(AW145*100)+AX145+(AY145/100)</f>
        <v>1430.01</v>
      </c>
      <c r="AW145" s="23">
        <v>14</v>
      </c>
      <c r="AX145" s="23">
        <v>30</v>
      </c>
      <c r="AY145" s="23">
        <v>1</v>
      </c>
    </row>
    <row r="146" spans="1:51">
      <c r="A146" s="25">
        <v>260</v>
      </c>
      <c r="B146" s="23" t="s">
        <v>125</v>
      </c>
      <c r="D146" s="23">
        <v>2</v>
      </c>
      <c r="E146" s="25" t="s">
        <v>43</v>
      </c>
      <c r="F146" s="25" t="s">
        <v>304</v>
      </c>
      <c r="G146" s="23" t="s">
        <v>27</v>
      </c>
      <c r="H146" s="23" t="s">
        <v>159</v>
      </c>
      <c r="I146" s="25">
        <v>1980</v>
      </c>
      <c r="J146" s="35">
        <v>30</v>
      </c>
      <c r="K146" s="35">
        <v>40</v>
      </c>
      <c r="L146" s="35">
        <v>20</v>
      </c>
      <c r="M146" s="25">
        <v>10</v>
      </c>
      <c r="N146" s="25">
        <v>10</v>
      </c>
      <c r="R146" s="30">
        <f t="shared" si="293"/>
        <v>20</v>
      </c>
      <c r="S146" s="37">
        <v>1</v>
      </c>
      <c r="T146" s="30">
        <f t="shared" si="122"/>
        <v>17.80857142857143</v>
      </c>
      <c r="U146" s="37">
        <v>1</v>
      </c>
      <c r="V146" s="30">
        <f t="shared" si="106"/>
        <v>24.761904761904763</v>
      </c>
      <c r="W146" s="25">
        <v>78</v>
      </c>
      <c r="X146" s="31">
        <f t="shared" si="294"/>
        <v>217.60000000000002</v>
      </c>
      <c r="Y146" s="25">
        <v>160</v>
      </c>
      <c r="Z146" s="25">
        <v>11</v>
      </c>
      <c r="AA146" s="25">
        <v>71</v>
      </c>
      <c r="AB146" s="37">
        <v>1</v>
      </c>
      <c r="AC146" s="30">
        <f t="shared" si="70"/>
        <v>200</v>
      </c>
      <c r="AD146" s="31">
        <f t="shared" si="295"/>
        <v>1</v>
      </c>
      <c r="AE146" s="31">
        <f t="shared" si="296"/>
        <v>8</v>
      </c>
      <c r="AF146" s="31" t="str">
        <f t="shared" si="297"/>
        <v/>
      </c>
      <c r="AG146" s="31" t="str">
        <f t="shared" si="298"/>
        <v/>
      </c>
      <c r="AH146" s="31" t="str">
        <f t="shared" si="299"/>
        <v/>
      </c>
      <c r="AI146" s="31" t="str">
        <f t="shared" si="300"/>
        <v/>
      </c>
      <c r="AJ146" s="25">
        <v>9</v>
      </c>
      <c r="AK146" s="25">
        <v>0</v>
      </c>
      <c r="AL146" s="25">
        <v>0</v>
      </c>
      <c r="AM146" s="23" t="s">
        <v>206</v>
      </c>
      <c r="AN146" s="23" t="s">
        <v>92</v>
      </c>
      <c r="AO146" s="25">
        <v>260</v>
      </c>
      <c r="AR146" s="32" t="str">
        <f t="shared" si="301"/>
        <v>2 doors</v>
      </c>
      <c r="AS146" s="23" t="s">
        <v>234</v>
      </c>
      <c r="AT146" s="23" t="s">
        <v>270</v>
      </c>
      <c r="AU146" s="23" t="str">
        <f t="shared" si="302"/>
        <v>CC</v>
      </c>
      <c r="AV146" s="34">
        <f t="shared" si="303"/>
        <v>1430.02</v>
      </c>
      <c r="AW146" s="23">
        <v>14</v>
      </c>
      <c r="AX146" s="23">
        <v>30</v>
      </c>
      <c r="AY146" s="23">
        <v>2</v>
      </c>
    </row>
    <row r="147" spans="1:51">
      <c r="A147" s="25">
        <v>260</v>
      </c>
      <c r="B147" s="23" t="s">
        <v>125</v>
      </c>
      <c r="D147" s="23">
        <v>2</v>
      </c>
      <c r="E147" s="25" t="s">
        <v>284</v>
      </c>
      <c r="F147" s="25" t="s">
        <v>305</v>
      </c>
      <c r="G147" s="23" t="s">
        <v>27</v>
      </c>
      <c r="H147" s="23" t="s">
        <v>159</v>
      </c>
      <c r="I147" s="25">
        <v>1980</v>
      </c>
      <c r="J147" s="35">
        <v>30</v>
      </c>
      <c r="K147" s="35">
        <v>40</v>
      </c>
      <c r="L147" s="35">
        <v>20</v>
      </c>
      <c r="M147" s="25">
        <v>10</v>
      </c>
      <c r="N147" s="25">
        <v>10</v>
      </c>
      <c r="R147" s="30">
        <f t="shared" si="293"/>
        <v>20</v>
      </c>
      <c r="S147" s="37">
        <v>1</v>
      </c>
      <c r="T147" s="30">
        <f t="shared" si="122"/>
        <v>17.80857142857143</v>
      </c>
      <c r="U147" s="37">
        <v>1</v>
      </c>
      <c r="V147" s="30">
        <f t="shared" si="106"/>
        <v>24.761904761904763</v>
      </c>
      <c r="W147" s="25">
        <v>78</v>
      </c>
      <c r="X147" s="31">
        <f t="shared" si="294"/>
        <v>217.60000000000002</v>
      </c>
      <c r="Y147" s="25">
        <v>160</v>
      </c>
      <c r="Z147" s="25">
        <v>11</v>
      </c>
      <c r="AA147" s="25">
        <v>71</v>
      </c>
      <c r="AB147" s="37">
        <v>1</v>
      </c>
      <c r="AC147" s="30">
        <f t="shared" si="70"/>
        <v>200</v>
      </c>
      <c r="AD147" s="31">
        <f t="shared" si="295"/>
        <v>1</v>
      </c>
      <c r="AE147" s="31">
        <f t="shared" si="296"/>
        <v>8</v>
      </c>
      <c r="AF147" s="31" t="str">
        <f t="shared" si="297"/>
        <v/>
      </c>
      <c r="AG147" s="31" t="str">
        <f t="shared" si="298"/>
        <v/>
      </c>
      <c r="AH147" s="31" t="str">
        <f t="shared" si="299"/>
        <v/>
      </c>
      <c r="AI147" s="31" t="str">
        <f t="shared" si="300"/>
        <v/>
      </c>
      <c r="AJ147" s="25">
        <v>9</v>
      </c>
      <c r="AK147" s="25">
        <v>0</v>
      </c>
      <c r="AL147" s="25">
        <v>0</v>
      </c>
      <c r="AM147" s="23" t="s">
        <v>206</v>
      </c>
      <c r="AN147" s="23" t="s">
        <v>92</v>
      </c>
      <c r="AO147" s="25">
        <v>260</v>
      </c>
      <c r="AR147" s="32" t="str">
        <f t="shared" si="301"/>
        <v>2 doors</v>
      </c>
      <c r="AS147" s="23" t="s">
        <v>234</v>
      </c>
      <c r="AT147" s="23" t="s">
        <v>270</v>
      </c>
      <c r="AU147" s="23" t="str">
        <f t="shared" si="302"/>
        <v>CC</v>
      </c>
      <c r="AV147" s="34">
        <f t="shared" si="303"/>
        <v>1430.03</v>
      </c>
      <c r="AW147" s="23">
        <v>14</v>
      </c>
      <c r="AX147" s="23">
        <v>30</v>
      </c>
      <c r="AY147" s="23">
        <v>3</v>
      </c>
    </row>
    <row r="148" spans="1:51">
      <c r="A148" s="25">
        <v>260</v>
      </c>
      <c r="B148" s="23" t="s">
        <v>125</v>
      </c>
      <c r="D148" s="23">
        <v>2</v>
      </c>
      <c r="E148" s="25" t="s">
        <v>285</v>
      </c>
      <c r="F148" s="25" t="s">
        <v>306</v>
      </c>
      <c r="G148" s="23" t="s">
        <v>27</v>
      </c>
      <c r="H148" s="23" t="s">
        <v>159</v>
      </c>
      <c r="I148" s="25">
        <v>1980</v>
      </c>
      <c r="J148" s="35">
        <v>30</v>
      </c>
      <c r="K148" s="35">
        <v>40</v>
      </c>
      <c r="L148" s="35">
        <v>20</v>
      </c>
      <c r="M148" s="25">
        <v>10</v>
      </c>
      <c r="N148" s="25">
        <v>10</v>
      </c>
      <c r="R148" s="30">
        <f t="shared" si="293"/>
        <v>20</v>
      </c>
      <c r="S148" s="37">
        <v>1</v>
      </c>
      <c r="T148" s="30">
        <f t="shared" si="122"/>
        <v>17.80857142857143</v>
      </c>
      <c r="U148" s="37">
        <v>1</v>
      </c>
      <c r="V148" s="30">
        <f t="shared" si="106"/>
        <v>24.761904761904763</v>
      </c>
      <c r="W148" s="25">
        <v>78</v>
      </c>
      <c r="X148" s="31">
        <f t="shared" si="294"/>
        <v>217.60000000000002</v>
      </c>
      <c r="Y148" s="25">
        <v>160</v>
      </c>
      <c r="Z148" s="25">
        <v>11</v>
      </c>
      <c r="AA148" s="25">
        <v>71</v>
      </c>
      <c r="AB148" s="37">
        <v>1</v>
      </c>
      <c r="AC148" s="30">
        <f t="shared" si="70"/>
        <v>200</v>
      </c>
      <c r="AD148" s="31">
        <f t="shared" si="295"/>
        <v>1</v>
      </c>
      <c r="AE148" s="31">
        <f t="shared" si="296"/>
        <v>8</v>
      </c>
      <c r="AF148" s="31" t="str">
        <f t="shared" si="297"/>
        <v/>
      </c>
      <c r="AG148" s="31" t="str">
        <f t="shared" si="298"/>
        <v/>
      </c>
      <c r="AH148" s="31" t="str">
        <f t="shared" si="299"/>
        <v/>
      </c>
      <c r="AI148" s="31" t="str">
        <f t="shared" si="300"/>
        <v/>
      </c>
      <c r="AJ148" s="25">
        <v>9</v>
      </c>
      <c r="AK148" s="25">
        <v>0</v>
      </c>
      <c r="AL148" s="25">
        <v>0</v>
      </c>
      <c r="AM148" s="23" t="s">
        <v>206</v>
      </c>
      <c r="AN148" s="23" t="s">
        <v>92</v>
      </c>
      <c r="AO148" s="25">
        <v>260</v>
      </c>
      <c r="AR148" s="32" t="str">
        <f t="shared" si="301"/>
        <v>2 doors</v>
      </c>
      <c r="AS148" s="23" t="s">
        <v>234</v>
      </c>
      <c r="AT148" s="23" t="s">
        <v>270</v>
      </c>
      <c r="AU148" s="23" t="str">
        <f t="shared" si="302"/>
        <v>CC</v>
      </c>
      <c r="AV148" s="34">
        <f t="shared" si="303"/>
        <v>1430.04</v>
      </c>
      <c r="AW148" s="23">
        <v>14</v>
      </c>
      <c r="AX148" s="23">
        <v>30</v>
      </c>
      <c r="AY148" s="23">
        <v>4</v>
      </c>
    </row>
    <row r="149" spans="1:51">
      <c r="A149" s="25">
        <v>260</v>
      </c>
      <c r="B149" s="23" t="s">
        <v>125</v>
      </c>
      <c r="D149" s="23">
        <v>2</v>
      </c>
      <c r="E149" s="25" t="s">
        <v>286</v>
      </c>
      <c r="F149" s="25" t="s">
        <v>307</v>
      </c>
      <c r="G149" s="23" t="s">
        <v>27</v>
      </c>
      <c r="H149" s="23" t="s">
        <v>159</v>
      </c>
      <c r="I149" s="25">
        <v>1980</v>
      </c>
      <c r="J149" s="35">
        <v>30</v>
      </c>
      <c r="K149" s="35">
        <v>40</v>
      </c>
      <c r="L149" s="35">
        <v>20</v>
      </c>
      <c r="M149" s="25">
        <v>10</v>
      </c>
      <c r="N149" s="25">
        <v>10</v>
      </c>
      <c r="R149" s="30">
        <f t="shared" si="293"/>
        <v>20</v>
      </c>
      <c r="S149" s="37">
        <v>1</v>
      </c>
      <c r="T149" s="30">
        <f t="shared" si="122"/>
        <v>17.80857142857143</v>
      </c>
      <c r="U149" s="37">
        <v>1</v>
      </c>
      <c r="V149" s="30">
        <f t="shared" si="106"/>
        <v>24.761904761904763</v>
      </c>
      <c r="W149" s="25">
        <v>78</v>
      </c>
      <c r="X149" s="31">
        <f t="shared" si="294"/>
        <v>217.60000000000002</v>
      </c>
      <c r="Y149" s="25">
        <v>160</v>
      </c>
      <c r="Z149" s="25">
        <v>11</v>
      </c>
      <c r="AA149" s="25">
        <v>71</v>
      </c>
      <c r="AB149" s="37">
        <v>1</v>
      </c>
      <c r="AC149" s="30">
        <f t="shared" si="70"/>
        <v>200</v>
      </c>
      <c r="AD149" s="31">
        <f t="shared" si="295"/>
        <v>1</v>
      </c>
      <c r="AE149" s="31">
        <f t="shared" si="296"/>
        <v>8</v>
      </c>
      <c r="AF149" s="31" t="str">
        <f t="shared" si="297"/>
        <v/>
      </c>
      <c r="AG149" s="31" t="str">
        <f t="shared" si="298"/>
        <v/>
      </c>
      <c r="AH149" s="31" t="str">
        <f t="shared" si="299"/>
        <v/>
      </c>
      <c r="AI149" s="31" t="str">
        <f t="shared" si="300"/>
        <v/>
      </c>
      <c r="AJ149" s="25">
        <v>9</v>
      </c>
      <c r="AK149" s="25">
        <v>0</v>
      </c>
      <c r="AL149" s="25">
        <v>0</v>
      </c>
      <c r="AM149" s="23" t="s">
        <v>206</v>
      </c>
      <c r="AN149" s="23" t="s">
        <v>92</v>
      </c>
      <c r="AO149" s="25">
        <v>260</v>
      </c>
      <c r="AR149" s="32" t="str">
        <f t="shared" si="301"/>
        <v>2 doors</v>
      </c>
      <c r="AS149" s="23" t="s">
        <v>234</v>
      </c>
      <c r="AT149" s="23" t="s">
        <v>270</v>
      </c>
      <c r="AU149" s="23" t="str">
        <f t="shared" si="302"/>
        <v>CC</v>
      </c>
      <c r="AV149" s="34">
        <f t="shared" si="303"/>
        <v>1430.05</v>
      </c>
      <c r="AW149" s="23">
        <v>14</v>
      </c>
      <c r="AX149" s="23">
        <v>30</v>
      </c>
      <c r="AY149" s="23">
        <v>5</v>
      </c>
    </row>
    <row r="150" spans="1:51">
      <c r="A150" s="25">
        <v>260</v>
      </c>
      <c r="B150" s="23" t="s">
        <v>125</v>
      </c>
      <c r="D150" s="23">
        <v>2</v>
      </c>
      <c r="E150" s="25" t="s">
        <v>287</v>
      </c>
      <c r="F150" s="25" t="s">
        <v>316</v>
      </c>
      <c r="G150" s="23" t="s">
        <v>27</v>
      </c>
      <c r="H150" s="23" t="s">
        <v>159</v>
      </c>
      <c r="I150" s="25">
        <v>1980</v>
      </c>
      <c r="J150" s="35">
        <v>30</v>
      </c>
      <c r="K150" s="35">
        <v>40</v>
      </c>
      <c r="L150" s="35">
        <v>20</v>
      </c>
      <c r="M150" s="25">
        <v>10</v>
      </c>
      <c r="N150" s="25">
        <v>10</v>
      </c>
      <c r="R150" s="30">
        <f t="shared" si="293"/>
        <v>20</v>
      </c>
      <c r="S150" s="37">
        <v>1</v>
      </c>
      <c r="T150" s="30">
        <f t="shared" si="122"/>
        <v>17.80857142857143</v>
      </c>
      <c r="U150" s="37">
        <v>1</v>
      </c>
      <c r="V150" s="30">
        <f t="shared" si="106"/>
        <v>24.761904761904763</v>
      </c>
      <c r="W150" s="25">
        <v>78</v>
      </c>
      <c r="X150" s="31">
        <f t="shared" si="294"/>
        <v>217.60000000000002</v>
      </c>
      <c r="Y150" s="25">
        <v>160</v>
      </c>
      <c r="Z150" s="25">
        <v>11</v>
      </c>
      <c r="AA150" s="25">
        <v>71</v>
      </c>
      <c r="AB150" s="37">
        <v>1</v>
      </c>
      <c r="AC150" s="30">
        <f t="shared" si="70"/>
        <v>200</v>
      </c>
      <c r="AD150" s="31">
        <f t="shared" si="295"/>
        <v>1</v>
      </c>
      <c r="AE150" s="31">
        <f t="shared" si="296"/>
        <v>8</v>
      </c>
      <c r="AF150" s="31" t="str">
        <f t="shared" si="297"/>
        <v/>
      </c>
      <c r="AG150" s="31" t="str">
        <f t="shared" si="298"/>
        <v/>
      </c>
      <c r="AH150" s="31" t="str">
        <f t="shared" si="299"/>
        <v/>
      </c>
      <c r="AI150" s="31" t="str">
        <f t="shared" si="300"/>
        <v/>
      </c>
      <c r="AJ150" s="25">
        <v>9</v>
      </c>
      <c r="AK150" s="25">
        <v>0</v>
      </c>
      <c r="AL150" s="25">
        <v>0</v>
      </c>
      <c r="AM150" s="23" t="s">
        <v>206</v>
      </c>
      <c r="AN150" s="23" t="s">
        <v>92</v>
      </c>
      <c r="AO150" s="25">
        <v>260</v>
      </c>
      <c r="AR150" s="32" t="str">
        <f t="shared" si="301"/>
        <v>2 doors</v>
      </c>
      <c r="AS150" s="23" t="s">
        <v>234</v>
      </c>
      <c r="AT150" s="23" t="s">
        <v>270</v>
      </c>
      <c r="AU150" s="23" t="str">
        <f t="shared" si="302"/>
        <v>CC</v>
      </c>
      <c r="AV150" s="34">
        <f t="shared" si="303"/>
        <v>1430.06</v>
      </c>
      <c r="AW150" s="23">
        <v>14</v>
      </c>
      <c r="AX150" s="23">
        <v>30</v>
      </c>
      <c r="AY150" s="23">
        <v>6</v>
      </c>
    </row>
    <row r="151" spans="1:51">
      <c r="A151" s="25">
        <v>260</v>
      </c>
      <c r="B151" s="23" t="s">
        <v>125</v>
      </c>
      <c r="D151" s="23">
        <v>2</v>
      </c>
      <c r="E151" s="25" t="s">
        <v>46</v>
      </c>
      <c r="F151" s="25" t="s">
        <v>46</v>
      </c>
      <c r="G151" s="23" t="s">
        <v>27</v>
      </c>
      <c r="H151" s="23" t="s">
        <v>159</v>
      </c>
      <c r="I151" s="25">
        <v>1980</v>
      </c>
      <c r="J151" s="35">
        <v>30</v>
      </c>
      <c r="K151" s="35">
        <v>40</v>
      </c>
      <c r="L151" s="35">
        <v>20</v>
      </c>
      <c r="M151" s="25">
        <v>10</v>
      </c>
      <c r="N151" s="25">
        <v>10</v>
      </c>
      <c r="R151" s="30">
        <f t="shared" si="293"/>
        <v>20</v>
      </c>
      <c r="S151" s="37">
        <v>1</v>
      </c>
      <c r="T151" s="30">
        <f t="shared" si="122"/>
        <v>17.80857142857143</v>
      </c>
      <c r="U151" s="37">
        <v>1</v>
      </c>
      <c r="V151" s="30">
        <f t="shared" si="106"/>
        <v>24.761904761904763</v>
      </c>
      <c r="W151" s="25">
        <v>78</v>
      </c>
      <c r="X151" s="31">
        <f t="shared" si="294"/>
        <v>217.60000000000002</v>
      </c>
      <c r="Y151" s="25">
        <v>160</v>
      </c>
      <c r="Z151" s="25">
        <v>11</v>
      </c>
      <c r="AA151" s="25">
        <v>71</v>
      </c>
      <c r="AB151" s="37">
        <v>1</v>
      </c>
      <c r="AC151" s="30">
        <f t="shared" si="70"/>
        <v>200</v>
      </c>
      <c r="AD151" s="31">
        <f t="shared" si="295"/>
        <v>1</v>
      </c>
      <c r="AE151" s="31">
        <f t="shared" si="296"/>
        <v>8</v>
      </c>
      <c r="AF151" s="31" t="str">
        <f t="shared" si="297"/>
        <v/>
      </c>
      <c r="AG151" s="31" t="str">
        <f t="shared" si="298"/>
        <v/>
      </c>
      <c r="AH151" s="31" t="str">
        <f t="shared" si="299"/>
        <v/>
      </c>
      <c r="AI151" s="31" t="str">
        <f t="shared" si="300"/>
        <v/>
      </c>
      <c r="AJ151" s="25">
        <v>9</v>
      </c>
      <c r="AK151" s="25">
        <v>0</v>
      </c>
      <c r="AL151" s="25">
        <v>0</v>
      </c>
      <c r="AM151" s="23" t="s">
        <v>206</v>
      </c>
      <c r="AN151" s="23" t="s">
        <v>92</v>
      </c>
      <c r="AO151" s="25">
        <v>260</v>
      </c>
      <c r="AR151" s="32" t="str">
        <f t="shared" si="301"/>
        <v>2 doors</v>
      </c>
      <c r="AS151" s="23" t="s">
        <v>234</v>
      </c>
      <c r="AT151" s="23" t="s">
        <v>270</v>
      </c>
      <c r="AU151" s="23" t="str">
        <f t="shared" si="302"/>
        <v>Hungary</v>
      </c>
      <c r="AV151" s="34">
        <f t="shared" si="303"/>
        <v>1430.07</v>
      </c>
      <c r="AW151" s="23">
        <v>14</v>
      </c>
      <c r="AX151" s="23">
        <v>30</v>
      </c>
      <c r="AY151" s="23">
        <v>7</v>
      </c>
    </row>
    <row r="152" spans="1:51">
      <c r="A152" s="25">
        <v>260</v>
      </c>
      <c r="B152" s="23" t="s">
        <v>89</v>
      </c>
      <c r="C152" s="23" t="s">
        <v>126</v>
      </c>
      <c r="D152" s="23">
        <v>3</v>
      </c>
      <c r="E152" s="25" t="s">
        <v>30</v>
      </c>
      <c r="F152" s="25" t="s">
        <v>295</v>
      </c>
      <c r="G152" s="23" t="s">
        <v>27</v>
      </c>
      <c r="H152" s="23" t="s">
        <v>160</v>
      </c>
      <c r="I152" s="25">
        <v>1997</v>
      </c>
      <c r="J152" s="35">
        <v>30</v>
      </c>
      <c r="K152" s="35">
        <v>40</v>
      </c>
      <c r="L152" s="35">
        <v>20</v>
      </c>
      <c r="M152" s="25">
        <v>10</v>
      </c>
      <c r="N152" s="25">
        <v>10</v>
      </c>
      <c r="O152" s="25">
        <v>14</v>
      </c>
      <c r="R152" s="30">
        <f t="shared" si="151"/>
        <v>34</v>
      </c>
      <c r="S152" s="37">
        <v>1</v>
      </c>
      <c r="T152" s="30">
        <f t="shared" si="122"/>
        <v>20.848571428571429</v>
      </c>
      <c r="U152" s="37">
        <v>1</v>
      </c>
      <c r="V152" s="30">
        <f t="shared" si="106"/>
        <v>30.0352380952381</v>
      </c>
      <c r="W152" s="25">
        <v>72</v>
      </c>
      <c r="X152" s="31">
        <f t="shared" si="152"/>
        <v>258.40000000000003</v>
      </c>
      <c r="Y152" s="25">
        <v>190</v>
      </c>
      <c r="Z152" s="25">
        <v>11</v>
      </c>
      <c r="AA152" s="25">
        <v>100</v>
      </c>
      <c r="AB152" s="37">
        <v>1</v>
      </c>
      <c r="AC152" s="30">
        <f t="shared" si="70"/>
        <v>200</v>
      </c>
      <c r="AD152" s="31">
        <f t="shared" si="153"/>
        <v>1</v>
      </c>
      <c r="AE152" s="31">
        <f t="shared" si="154"/>
        <v>8</v>
      </c>
      <c r="AF152" s="31" t="str">
        <f t="shared" si="155"/>
        <v/>
      </c>
      <c r="AG152" s="31" t="str">
        <f t="shared" si="156"/>
        <v/>
      </c>
      <c r="AH152" s="31" t="str">
        <f t="shared" si="157"/>
        <v/>
      </c>
      <c r="AI152" s="31" t="str">
        <f t="shared" si="158"/>
        <v/>
      </c>
      <c r="AJ152" s="25">
        <v>9</v>
      </c>
      <c r="AK152" s="25">
        <v>0</v>
      </c>
      <c r="AL152" s="25">
        <v>0</v>
      </c>
      <c r="AM152" s="23" t="s">
        <v>206</v>
      </c>
      <c r="AN152" s="23" t="s">
        <v>92</v>
      </c>
      <c r="AO152" s="25">
        <v>260</v>
      </c>
      <c r="AR152" s="32" t="str">
        <f t="shared" si="159"/>
        <v>3 doors</v>
      </c>
      <c r="AS152" s="23" t="s">
        <v>321</v>
      </c>
      <c r="AT152" s="23" t="s">
        <v>32</v>
      </c>
      <c r="AU152" s="23" t="str">
        <f t="shared" si="107"/>
        <v>CC</v>
      </c>
      <c r="AV152" s="34">
        <f t="shared" si="160"/>
        <v>1440</v>
      </c>
      <c r="AW152" s="23">
        <v>14</v>
      </c>
      <c r="AX152" s="23">
        <v>40</v>
      </c>
      <c r="AY152" s="23">
        <v>0</v>
      </c>
    </row>
    <row r="153" spans="1:51">
      <c r="A153" s="25">
        <v>260</v>
      </c>
      <c r="B153" s="23" t="s">
        <v>89</v>
      </c>
      <c r="C153" s="23" t="s">
        <v>126</v>
      </c>
      <c r="D153" s="23">
        <v>3</v>
      </c>
      <c r="E153" s="25" t="s">
        <v>85</v>
      </c>
      <c r="F153" s="25" t="s">
        <v>85</v>
      </c>
      <c r="G153" s="23" t="s">
        <v>27</v>
      </c>
      <c r="H153" s="23" t="s">
        <v>160</v>
      </c>
      <c r="I153" s="25">
        <v>1997</v>
      </c>
      <c r="J153" s="35">
        <v>30</v>
      </c>
      <c r="K153" s="35">
        <v>40</v>
      </c>
      <c r="L153" s="35">
        <v>20</v>
      </c>
      <c r="M153" s="25">
        <v>10</v>
      </c>
      <c r="N153" s="25">
        <v>10</v>
      </c>
      <c r="O153" s="25">
        <v>14</v>
      </c>
      <c r="R153" s="30">
        <f t="shared" ref="R153" si="304">SUM(M153:Q153)</f>
        <v>34</v>
      </c>
      <c r="S153" s="37">
        <v>1</v>
      </c>
      <c r="T153" s="30">
        <f t="shared" si="122"/>
        <v>20.848571428571429</v>
      </c>
      <c r="U153" s="37">
        <v>1</v>
      </c>
      <c r="V153" s="30">
        <f t="shared" si="106"/>
        <v>30.0352380952381</v>
      </c>
      <c r="W153" s="25">
        <v>72</v>
      </c>
      <c r="X153" s="31">
        <f t="shared" ref="X153" si="305">Y153*1.36</f>
        <v>258.40000000000003</v>
      </c>
      <c r="Y153" s="25">
        <v>190</v>
      </c>
      <c r="Z153" s="25">
        <v>11</v>
      </c>
      <c r="AA153" s="25">
        <v>100</v>
      </c>
      <c r="AB153" s="37">
        <v>1</v>
      </c>
      <c r="AC153" s="30">
        <f t="shared" si="70"/>
        <v>200</v>
      </c>
      <c r="AD153" s="31">
        <f t="shared" ref="AD153" si="306">IF(AJ153&gt;8, AJ153-8, AJ153)</f>
        <v>1</v>
      </c>
      <c r="AE153" s="31">
        <f t="shared" ref="AE153" si="307">IF(AJ153&gt;8, 8, "")</f>
        <v>8</v>
      </c>
      <c r="AF153" s="31" t="str">
        <f t="shared" ref="AF153" si="308">IF(AK153&gt;8, AK153-8, IF(AK153=0, "", AK153))</f>
        <v/>
      </c>
      <c r="AG153" s="31" t="str">
        <f t="shared" ref="AG153" si="309">IF(AK153&gt;8, 8, "")</f>
        <v/>
      </c>
      <c r="AH153" s="31" t="str">
        <f t="shared" ref="AH153" si="310">IF(AL153&gt;8, AL153-8, IF(AL153=0, "", AL153))</f>
        <v/>
      </c>
      <c r="AI153" s="31" t="str">
        <f t="shared" ref="AI153" si="311">IF(AL153&gt;8, 8, "")</f>
        <v/>
      </c>
      <c r="AJ153" s="25">
        <v>9</v>
      </c>
      <c r="AK153" s="25">
        <v>0</v>
      </c>
      <c r="AL153" s="25">
        <v>0</v>
      </c>
      <c r="AM153" s="23" t="s">
        <v>206</v>
      </c>
      <c r="AN153" s="23" t="s">
        <v>92</v>
      </c>
      <c r="AO153" s="25">
        <v>260</v>
      </c>
      <c r="AR153" s="32" t="str">
        <f t="shared" ref="AR153" si="312">IF(Q153&gt;0, "5 doors", IF(P153&gt;0, "4 doors", IF(O153&gt;0, "3 doors", IF(N153&gt;0, "2 doors", "1 door"))))</f>
        <v>3 doors</v>
      </c>
      <c r="AS153" s="23" t="s">
        <v>321</v>
      </c>
      <c r="AT153" s="23" t="s">
        <v>32</v>
      </c>
      <c r="AU153" s="23" t="str">
        <f t="shared" ref="AU153" si="313">IF(ISNUMBER(SEARCH("CC", E153)), "CC", "Hungary")</f>
        <v>Hungary</v>
      </c>
      <c r="AV153" s="34">
        <f t="shared" ref="AV153" si="314">(AW153*100)+AX153+(AY153/100)</f>
        <v>1440.01</v>
      </c>
      <c r="AW153" s="23">
        <v>14</v>
      </c>
      <c r="AX153" s="23">
        <v>40</v>
      </c>
      <c r="AY153" s="23">
        <v>1</v>
      </c>
    </row>
    <row r="154" spans="1:51">
      <c r="A154" s="25">
        <v>260</v>
      </c>
      <c r="C154" s="23" t="s">
        <v>28</v>
      </c>
      <c r="D154" s="23">
        <v>3</v>
      </c>
      <c r="E154" s="25" t="s">
        <v>30</v>
      </c>
      <c r="F154" s="25" t="s">
        <v>297</v>
      </c>
      <c r="G154" s="23" t="s">
        <v>28</v>
      </c>
      <c r="H154" s="23" t="s">
        <v>155</v>
      </c>
      <c r="I154" s="25">
        <v>1999</v>
      </c>
      <c r="J154" s="35">
        <v>30</v>
      </c>
      <c r="K154" s="35">
        <v>40</v>
      </c>
      <c r="L154" s="35">
        <v>20</v>
      </c>
      <c r="M154" s="25">
        <v>10</v>
      </c>
      <c r="N154" s="25">
        <v>10</v>
      </c>
      <c r="O154" s="25">
        <v>10</v>
      </c>
      <c r="R154" s="30">
        <f t="shared" si="151"/>
        <v>30</v>
      </c>
      <c r="S154" s="37">
        <v>1</v>
      </c>
      <c r="T154" s="30">
        <f t="shared" si="122"/>
        <v>24.246857142857145</v>
      </c>
      <c r="U154" s="37">
        <v>1</v>
      </c>
      <c r="V154" s="30">
        <f t="shared" si="106"/>
        <v>24.217523809523815</v>
      </c>
      <c r="W154" s="25">
        <v>66</v>
      </c>
      <c r="X154" s="31">
        <f t="shared" si="152"/>
        <v>258.40000000000003</v>
      </c>
      <c r="Y154" s="25">
        <v>190</v>
      </c>
      <c r="Z154" s="25">
        <v>11</v>
      </c>
      <c r="AA154" s="25">
        <v>98</v>
      </c>
      <c r="AB154" s="37">
        <v>1</v>
      </c>
      <c r="AC154" s="30">
        <f t="shared" si="70"/>
        <v>200</v>
      </c>
      <c r="AD154" s="31">
        <f t="shared" si="153"/>
        <v>1</v>
      </c>
      <c r="AE154" s="31">
        <f t="shared" si="154"/>
        <v>8</v>
      </c>
      <c r="AF154" s="31" t="str">
        <f t="shared" si="155"/>
        <v/>
      </c>
      <c r="AG154" s="31" t="str">
        <f t="shared" si="156"/>
        <v/>
      </c>
      <c r="AH154" s="31" t="str">
        <f t="shared" si="157"/>
        <v/>
      </c>
      <c r="AI154" s="31" t="str">
        <f t="shared" si="158"/>
        <v/>
      </c>
      <c r="AJ154" s="25">
        <v>9</v>
      </c>
      <c r="AK154" s="25">
        <v>0</v>
      </c>
      <c r="AL154" s="25">
        <v>0</v>
      </c>
      <c r="AM154" s="23" t="s">
        <v>206</v>
      </c>
      <c r="AN154" s="23" t="s">
        <v>92</v>
      </c>
      <c r="AO154" s="25">
        <v>260</v>
      </c>
      <c r="AR154" s="32" t="str">
        <f t="shared" si="159"/>
        <v>3 doors</v>
      </c>
      <c r="AT154" s="23" t="s">
        <v>32</v>
      </c>
      <c r="AU154" s="23" t="str">
        <f t="shared" si="107"/>
        <v>CC</v>
      </c>
      <c r="AV154" s="34">
        <f t="shared" si="160"/>
        <v>1445</v>
      </c>
      <c r="AW154" s="23">
        <v>14</v>
      </c>
      <c r="AX154" s="23">
        <v>45</v>
      </c>
      <c r="AY154" s="23">
        <v>0</v>
      </c>
    </row>
    <row r="155" spans="1:51">
      <c r="A155" s="25" t="s">
        <v>267</v>
      </c>
      <c r="D155" s="23">
        <v>3</v>
      </c>
      <c r="E155" s="25" t="s">
        <v>30</v>
      </c>
      <c r="F155" s="25" t="s">
        <v>295</v>
      </c>
      <c r="G155" s="23" t="s">
        <v>27</v>
      </c>
      <c r="H155" s="23" t="s">
        <v>268</v>
      </c>
      <c r="I155" s="25">
        <v>1998</v>
      </c>
      <c r="J155" s="35">
        <v>30</v>
      </c>
      <c r="K155" s="35">
        <v>40</v>
      </c>
      <c r="L155" s="35">
        <v>20</v>
      </c>
      <c r="M155" s="25">
        <v>10</v>
      </c>
      <c r="N155" s="25">
        <v>10</v>
      </c>
      <c r="O155" s="25">
        <v>10</v>
      </c>
      <c r="R155" s="30">
        <f t="shared" si="151"/>
        <v>30</v>
      </c>
      <c r="S155" s="37">
        <v>1</v>
      </c>
      <c r="T155" s="30">
        <f t="shared" si="122"/>
        <v>18.522857142857145</v>
      </c>
      <c r="U155" s="37">
        <v>1</v>
      </c>
      <c r="V155" s="30">
        <f t="shared" si="106"/>
        <v>25.656190476190478</v>
      </c>
      <c r="W155" s="25">
        <v>90</v>
      </c>
      <c r="X155" s="31">
        <f t="shared" si="152"/>
        <v>217.60000000000002</v>
      </c>
      <c r="Y155" s="25">
        <v>160</v>
      </c>
      <c r="Z155" s="25">
        <v>11</v>
      </c>
      <c r="AA155" s="25">
        <v>98</v>
      </c>
      <c r="AB155" s="37">
        <v>1</v>
      </c>
      <c r="AC155" s="30">
        <f t="shared" si="70"/>
        <v>200</v>
      </c>
      <c r="AD155" s="31">
        <f t="shared" si="153"/>
        <v>1</v>
      </c>
      <c r="AE155" s="31">
        <f t="shared" si="154"/>
        <v>8</v>
      </c>
      <c r="AF155" s="31" t="str">
        <f t="shared" si="155"/>
        <v/>
      </c>
      <c r="AG155" s="31" t="str">
        <f t="shared" si="156"/>
        <v/>
      </c>
      <c r="AH155" s="31" t="str">
        <f t="shared" si="157"/>
        <v/>
      </c>
      <c r="AI155" s="31" t="str">
        <f t="shared" si="158"/>
        <v/>
      </c>
      <c r="AJ155" s="25">
        <v>9</v>
      </c>
      <c r="AK155" s="25">
        <v>0</v>
      </c>
      <c r="AL155" s="25">
        <v>0</v>
      </c>
      <c r="AM155" s="23" t="s">
        <v>206</v>
      </c>
      <c r="AN155" s="23" t="s">
        <v>92</v>
      </c>
      <c r="AO155" s="26" t="s">
        <v>267</v>
      </c>
      <c r="AR155" s="32" t="str">
        <f t="shared" si="159"/>
        <v>3 doors</v>
      </c>
      <c r="AS155" s="23" t="s">
        <v>269</v>
      </c>
      <c r="AT155" s="23" t="s">
        <v>32</v>
      </c>
      <c r="AU155" s="23" t="str">
        <f t="shared" si="107"/>
        <v>CC</v>
      </c>
      <c r="AV155" s="34">
        <f t="shared" si="160"/>
        <v>1448</v>
      </c>
      <c r="AW155" s="23">
        <v>14</v>
      </c>
      <c r="AX155" s="23">
        <v>48</v>
      </c>
      <c r="AY155" s="23">
        <v>0</v>
      </c>
    </row>
    <row r="156" spans="1:51">
      <c r="A156" s="25" t="s">
        <v>267</v>
      </c>
      <c r="D156" s="23">
        <v>3</v>
      </c>
      <c r="E156" s="25" t="s">
        <v>42</v>
      </c>
      <c r="F156" s="25" t="s">
        <v>296</v>
      </c>
      <c r="G156" s="23" t="s">
        <v>27</v>
      </c>
      <c r="H156" s="23" t="s">
        <v>268</v>
      </c>
      <c r="I156" s="25">
        <v>1998</v>
      </c>
      <c r="J156" s="35">
        <v>30</v>
      </c>
      <c r="K156" s="35">
        <v>40</v>
      </c>
      <c r="L156" s="35">
        <v>20</v>
      </c>
      <c r="M156" s="25">
        <v>10</v>
      </c>
      <c r="N156" s="25">
        <v>10</v>
      </c>
      <c r="O156" s="25">
        <v>10</v>
      </c>
      <c r="R156" s="30">
        <f t="shared" ref="R156:R161" si="315">SUM(M156:Q156)</f>
        <v>30</v>
      </c>
      <c r="S156" s="37">
        <v>1</v>
      </c>
      <c r="T156" s="30">
        <f t="shared" si="122"/>
        <v>18.522857142857145</v>
      </c>
      <c r="U156" s="37">
        <v>1</v>
      </c>
      <c r="V156" s="30">
        <f t="shared" si="106"/>
        <v>25.656190476190478</v>
      </c>
      <c r="W156" s="25">
        <v>90</v>
      </c>
      <c r="X156" s="31">
        <f t="shared" ref="X156:X161" si="316">Y156*1.36</f>
        <v>217.60000000000002</v>
      </c>
      <c r="Y156" s="25">
        <v>160</v>
      </c>
      <c r="Z156" s="25">
        <v>11</v>
      </c>
      <c r="AA156" s="25">
        <v>98</v>
      </c>
      <c r="AB156" s="37">
        <v>1</v>
      </c>
      <c r="AC156" s="30">
        <f t="shared" si="70"/>
        <v>200</v>
      </c>
      <c r="AD156" s="31">
        <f t="shared" ref="AD156:AD161" si="317">IF(AJ156&gt;8, AJ156-8, AJ156)</f>
        <v>1</v>
      </c>
      <c r="AE156" s="31">
        <f t="shared" ref="AE156:AE161" si="318">IF(AJ156&gt;8, 8, "")</f>
        <v>8</v>
      </c>
      <c r="AF156" s="31" t="str">
        <f t="shared" ref="AF156:AF161" si="319">IF(AK156&gt;8, AK156-8, IF(AK156=0, "", AK156))</f>
        <v/>
      </c>
      <c r="AG156" s="31" t="str">
        <f t="shared" ref="AG156:AG161" si="320">IF(AK156&gt;8, 8, "")</f>
        <v/>
      </c>
      <c r="AH156" s="31" t="str">
        <f t="shared" ref="AH156:AH161" si="321">IF(AL156&gt;8, AL156-8, IF(AL156=0, "", AL156))</f>
        <v/>
      </c>
      <c r="AI156" s="31" t="str">
        <f t="shared" ref="AI156:AI161" si="322">IF(AL156&gt;8, 8, "")</f>
        <v/>
      </c>
      <c r="AJ156" s="25">
        <v>9</v>
      </c>
      <c r="AK156" s="25">
        <v>0</v>
      </c>
      <c r="AL156" s="25">
        <v>0</v>
      </c>
      <c r="AM156" s="23" t="s">
        <v>206</v>
      </c>
      <c r="AN156" s="23" t="s">
        <v>92</v>
      </c>
      <c r="AO156" s="26" t="s">
        <v>267</v>
      </c>
      <c r="AR156" s="32" t="str">
        <f t="shared" ref="AR156:AR161" si="323">IF(Q156&gt;0, "5 doors", IF(P156&gt;0, "4 doors", IF(O156&gt;0, "3 doors", IF(N156&gt;0, "2 doors", "1 door"))))</f>
        <v>3 doors</v>
      </c>
      <c r="AS156" s="23" t="s">
        <v>269</v>
      </c>
      <c r="AT156" s="23" t="s">
        <v>32</v>
      </c>
      <c r="AU156" s="23" t="str">
        <f t="shared" ref="AU156:AU161" si="324">IF(ISNUMBER(SEARCH("CC", E156)), "CC", "Hungary")</f>
        <v>CC</v>
      </c>
      <c r="AV156" s="34">
        <f t="shared" ref="AV156:AV161" si="325">(AW156*100)+AX156+(AY156/100)</f>
        <v>1448.01</v>
      </c>
      <c r="AW156" s="23">
        <v>14</v>
      </c>
      <c r="AX156" s="23">
        <v>48</v>
      </c>
      <c r="AY156" s="23">
        <v>1</v>
      </c>
    </row>
    <row r="157" spans="1:51">
      <c r="A157" s="25" t="s">
        <v>267</v>
      </c>
      <c r="D157" s="23">
        <v>3</v>
      </c>
      <c r="E157" s="25" t="s">
        <v>43</v>
      </c>
      <c r="F157" s="25" t="s">
        <v>297</v>
      </c>
      <c r="G157" s="23" t="s">
        <v>27</v>
      </c>
      <c r="H157" s="23" t="s">
        <v>268</v>
      </c>
      <c r="I157" s="25">
        <v>1998</v>
      </c>
      <c r="J157" s="35">
        <v>30</v>
      </c>
      <c r="K157" s="35">
        <v>40</v>
      </c>
      <c r="L157" s="35">
        <v>20</v>
      </c>
      <c r="M157" s="25">
        <v>10</v>
      </c>
      <c r="N157" s="25">
        <v>10</v>
      </c>
      <c r="O157" s="25">
        <v>10</v>
      </c>
      <c r="R157" s="30">
        <f t="shared" si="315"/>
        <v>30</v>
      </c>
      <c r="S157" s="37">
        <v>1</v>
      </c>
      <c r="T157" s="30">
        <f t="shared" si="122"/>
        <v>18.522857142857145</v>
      </c>
      <c r="U157" s="37">
        <v>1</v>
      </c>
      <c r="V157" s="30">
        <f t="shared" si="106"/>
        <v>25.656190476190478</v>
      </c>
      <c r="W157" s="25">
        <v>90</v>
      </c>
      <c r="X157" s="31">
        <f t="shared" si="316"/>
        <v>217.60000000000002</v>
      </c>
      <c r="Y157" s="25">
        <v>160</v>
      </c>
      <c r="Z157" s="25">
        <v>11</v>
      </c>
      <c r="AA157" s="25">
        <v>98</v>
      </c>
      <c r="AB157" s="37">
        <v>1</v>
      </c>
      <c r="AC157" s="30">
        <f t="shared" si="70"/>
        <v>200</v>
      </c>
      <c r="AD157" s="31">
        <f t="shared" si="317"/>
        <v>1</v>
      </c>
      <c r="AE157" s="31">
        <f t="shared" si="318"/>
        <v>8</v>
      </c>
      <c r="AF157" s="31" t="str">
        <f t="shared" si="319"/>
        <v/>
      </c>
      <c r="AG157" s="31" t="str">
        <f t="shared" si="320"/>
        <v/>
      </c>
      <c r="AH157" s="31" t="str">
        <f t="shared" si="321"/>
        <v/>
      </c>
      <c r="AI157" s="31" t="str">
        <f t="shared" si="322"/>
        <v/>
      </c>
      <c r="AJ157" s="25">
        <v>9</v>
      </c>
      <c r="AK157" s="25">
        <v>0</v>
      </c>
      <c r="AL157" s="25">
        <v>0</v>
      </c>
      <c r="AM157" s="23" t="s">
        <v>206</v>
      </c>
      <c r="AN157" s="23" t="s">
        <v>92</v>
      </c>
      <c r="AO157" s="26" t="s">
        <v>267</v>
      </c>
      <c r="AR157" s="32" t="str">
        <f t="shared" si="323"/>
        <v>3 doors</v>
      </c>
      <c r="AS157" s="23" t="s">
        <v>269</v>
      </c>
      <c r="AT157" s="23" t="s">
        <v>32</v>
      </c>
      <c r="AU157" s="23" t="str">
        <f t="shared" si="324"/>
        <v>CC</v>
      </c>
      <c r="AV157" s="34">
        <f t="shared" si="325"/>
        <v>1448.02</v>
      </c>
      <c r="AW157" s="23">
        <v>14</v>
      </c>
      <c r="AX157" s="23">
        <v>48</v>
      </c>
      <c r="AY157" s="23">
        <v>2</v>
      </c>
    </row>
    <row r="158" spans="1:51">
      <c r="A158" s="25" t="s">
        <v>267</v>
      </c>
      <c r="D158" s="23">
        <v>3</v>
      </c>
      <c r="E158" s="25" t="s">
        <v>284</v>
      </c>
      <c r="F158" s="25" t="s">
        <v>298</v>
      </c>
      <c r="G158" s="23" t="s">
        <v>27</v>
      </c>
      <c r="H158" s="23" t="s">
        <v>268</v>
      </c>
      <c r="I158" s="25">
        <v>1998</v>
      </c>
      <c r="J158" s="35">
        <v>30</v>
      </c>
      <c r="K158" s="35">
        <v>40</v>
      </c>
      <c r="L158" s="35">
        <v>20</v>
      </c>
      <c r="M158" s="25">
        <v>10</v>
      </c>
      <c r="N158" s="25">
        <v>10</v>
      </c>
      <c r="O158" s="25">
        <v>10</v>
      </c>
      <c r="R158" s="30">
        <f t="shared" si="315"/>
        <v>30</v>
      </c>
      <c r="S158" s="37">
        <v>1</v>
      </c>
      <c r="T158" s="30">
        <f t="shared" si="122"/>
        <v>18.522857142857145</v>
      </c>
      <c r="U158" s="37">
        <v>1</v>
      </c>
      <c r="V158" s="30">
        <f t="shared" si="106"/>
        <v>25.656190476190478</v>
      </c>
      <c r="W158" s="25">
        <v>90</v>
      </c>
      <c r="X158" s="31">
        <f t="shared" si="316"/>
        <v>217.60000000000002</v>
      </c>
      <c r="Y158" s="25">
        <v>160</v>
      </c>
      <c r="Z158" s="25">
        <v>11</v>
      </c>
      <c r="AA158" s="25">
        <v>98</v>
      </c>
      <c r="AB158" s="37">
        <v>1</v>
      </c>
      <c r="AC158" s="30">
        <f t="shared" si="70"/>
        <v>200</v>
      </c>
      <c r="AD158" s="31">
        <f t="shared" si="317"/>
        <v>1</v>
      </c>
      <c r="AE158" s="31">
        <f t="shared" si="318"/>
        <v>8</v>
      </c>
      <c r="AF158" s="31" t="str">
        <f t="shared" si="319"/>
        <v/>
      </c>
      <c r="AG158" s="31" t="str">
        <f t="shared" si="320"/>
        <v/>
      </c>
      <c r="AH158" s="31" t="str">
        <f t="shared" si="321"/>
        <v/>
      </c>
      <c r="AI158" s="31" t="str">
        <f t="shared" si="322"/>
        <v/>
      </c>
      <c r="AJ158" s="25">
        <v>9</v>
      </c>
      <c r="AK158" s="25">
        <v>0</v>
      </c>
      <c r="AL158" s="25">
        <v>0</v>
      </c>
      <c r="AM158" s="23" t="s">
        <v>206</v>
      </c>
      <c r="AN158" s="23" t="s">
        <v>92</v>
      </c>
      <c r="AO158" s="26" t="s">
        <v>267</v>
      </c>
      <c r="AR158" s="32" t="str">
        <f t="shared" si="323"/>
        <v>3 doors</v>
      </c>
      <c r="AS158" s="23" t="s">
        <v>269</v>
      </c>
      <c r="AT158" s="23" t="s">
        <v>32</v>
      </c>
      <c r="AU158" s="23" t="str">
        <f t="shared" si="324"/>
        <v>CC</v>
      </c>
      <c r="AV158" s="34">
        <f t="shared" si="325"/>
        <v>1448.03</v>
      </c>
      <c r="AW158" s="23">
        <v>14</v>
      </c>
      <c r="AX158" s="23">
        <v>48</v>
      </c>
      <c r="AY158" s="23">
        <v>3</v>
      </c>
    </row>
    <row r="159" spans="1:51">
      <c r="A159" s="25" t="s">
        <v>267</v>
      </c>
      <c r="D159" s="23">
        <v>3</v>
      </c>
      <c r="E159" s="25" t="s">
        <v>285</v>
      </c>
      <c r="F159" s="25" t="s">
        <v>301</v>
      </c>
      <c r="G159" s="23" t="s">
        <v>27</v>
      </c>
      <c r="H159" s="23" t="s">
        <v>268</v>
      </c>
      <c r="I159" s="25">
        <v>1998</v>
      </c>
      <c r="J159" s="35">
        <v>30</v>
      </c>
      <c r="K159" s="35">
        <v>40</v>
      </c>
      <c r="L159" s="35">
        <v>20</v>
      </c>
      <c r="M159" s="25">
        <v>10</v>
      </c>
      <c r="N159" s="25">
        <v>10</v>
      </c>
      <c r="O159" s="25">
        <v>10</v>
      </c>
      <c r="R159" s="30">
        <f t="shared" si="315"/>
        <v>30</v>
      </c>
      <c r="S159" s="37">
        <v>1</v>
      </c>
      <c r="T159" s="30">
        <f t="shared" si="122"/>
        <v>18.522857142857145</v>
      </c>
      <c r="U159" s="37">
        <v>1</v>
      </c>
      <c r="V159" s="30">
        <f t="shared" si="106"/>
        <v>25.656190476190478</v>
      </c>
      <c r="W159" s="25">
        <v>90</v>
      </c>
      <c r="X159" s="31">
        <f t="shared" si="316"/>
        <v>217.60000000000002</v>
      </c>
      <c r="Y159" s="25">
        <v>160</v>
      </c>
      <c r="Z159" s="25">
        <v>11</v>
      </c>
      <c r="AA159" s="25">
        <v>98</v>
      </c>
      <c r="AB159" s="37">
        <v>1</v>
      </c>
      <c r="AC159" s="30">
        <f t="shared" si="70"/>
        <v>200</v>
      </c>
      <c r="AD159" s="31">
        <f t="shared" si="317"/>
        <v>1</v>
      </c>
      <c r="AE159" s="31">
        <f t="shared" si="318"/>
        <v>8</v>
      </c>
      <c r="AF159" s="31" t="str">
        <f t="shared" si="319"/>
        <v/>
      </c>
      <c r="AG159" s="31" t="str">
        <f t="shared" si="320"/>
        <v/>
      </c>
      <c r="AH159" s="31" t="str">
        <f t="shared" si="321"/>
        <v/>
      </c>
      <c r="AI159" s="31" t="str">
        <f t="shared" si="322"/>
        <v/>
      </c>
      <c r="AJ159" s="25">
        <v>9</v>
      </c>
      <c r="AK159" s="25">
        <v>0</v>
      </c>
      <c r="AL159" s="25">
        <v>0</v>
      </c>
      <c r="AM159" s="23" t="s">
        <v>206</v>
      </c>
      <c r="AN159" s="23" t="s">
        <v>92</v>
      </c>
      <c r="AO159" s="26" t="s">
        <v>267</v>
      </c>
      <c r="AR159" s="32" t="str">
        <f t="shared" si="323"/>
        <v>3 doors</v>
      </c>
      <c r="AS159" s="23" t="s">
        <v>269</v>
      </c>
      <c r="AT159" s="23" t="s">
        <v>32</v>
      </c>
      <c r="AU159" s="23" t="str">
        <f t="shared" si="324"/>
        <v>CC</v>
      </c>
      <c r="AV159" s="34">
        <f t="shared" si="325"/>
        <v>1448.04</v>
      </c>
      <c r="AW159" s="23">
        <v>14</v>
      </c>
      <c r="AX159" s="23">
        <v>48</v>
      </c>
      <c r="AY159" s="23">
        <v>4</v>
      </c>
    </row>
    <row r="160" spans="1:51">
      <c r="A160" s="25" t="s">
        <v>267</v>
      </c>
      <c r="D160" s="23">
        <v>3</v>
      </c>
      <c r="E160" s="25" t="s">
        <v>286</v>
      </c>
      <c r="F160" s="25" t="s">
        <v>300</v>
      </c>
      <c r="G160" s="23" t="s">
        <v>27</v>
      </c>
      <c r="H160" s="23" t="s">
        <v>268</v>
      </c>
      <c r="I160" s="25">
        <v>1998</v>
      </c>
      <c r="J160" s="35">
        <v>30</v>
      </c>
      <c r="K160" s="35">
        <v>40</v>
      </c>
      <c r="L160" s="35">
        <v>20</v>
      </c>
      <c r="M160" s="25">
        <v>10</v>
      </c>
      <c r="N160" s="25">
        <v>10</v>
      </c>
      <c r="O160" s="25">
        <v>10</v>
      </c>
      <c r="R160" s="30">
        <f t="shared" si="315"/>
        <v>30</v>
      </c>
      <c r="S160" s="37">
        <v>1</v>
      </c>
      <c r="T160" s="30">
        <f t="shared" si="122"/>
        <v>18.522857142857145</v>
      </c>
      <c r="U160" s="37">
        <v>1</v>
      </c>
      <c r="V160" s="30">
        <f t="shared" si="106"/>
        <v>25.656190476190478</v>
      </c>
      <c r="W160" s="25">
        <v>90</v>
      </c>
      <c r="X160" s="31">
        <f t="shared" si="316"/>
        <v>217.60000000000002</v>
      </c>
      <c r="Y160" s="25">
        <v>160</v>
      </c>
      <c r="Z160" s="25">
        <v>11</v>
      </c>
      <c r="AA160" s="25">
        <v>98</v>
      </c>
      <c r="AB160" s="37">
        <v>1</v>
      </c>
      <c r="AC160" s="30">
        <f t="shared" ref="AC160:AC223" si="326">AB160*IF(AT160="Regional", 185, IF(AT160="Intercity", 150, IF(AT160="Tourist", 100, 200)))</f>
        <v>200</v>
      </c>
      <c r="AD160" s="31">
        <f t="shared" si="317"/>
        <v>1</v>
      </c>
      <c r="AE160" s="31">
        <f t="shared" si="318"/>
        <v>8</v>
      </c>
      <c r="AF160" s="31" t="str">
        <f t="shared" si="319"/>
        <v/>
      </c>
      <c r="AG160" s="31" t="str">
        <f t="shared" si="320"/>
        <v/>
      </c>
      <c r="AH160" s="31" t="str">
        <f t="shared" si="321"/>
        <v/>
      </c>
      <c r="AI160" s="31" t="str">
        <f t="shared" si="322"/>
        <v/>
      </c>
      <c r="AJ160" s="25">
        <v>9</v>
      </c>
      <c r="AK160" s="25">
        <v>0</v>
      </c>
      <c r="AL160" s="25">
        <v>0</v>
      </c>
      <c r="AM160" s="23" t="s">
        <v>206</v>
      </c>
      <c r="AN160" s="23" t="s">
        <v>92</v>
      </c>
      <c r="AO160" s="26" t="s">
        <v>267</v>
      </c>
      <c r="AR160" s="32" t="str">
        <f t="shared" si="323"/>
        <v>3 doors</v>
      </c>
      <c r="AS160" s="23" t="s">
        <v>269</v>
      </c>
      <c r="AT160" s="23" t="s">
        <v>32</v>
      </c>
      <c r="AU160" s="23" t="str">
        <f t="shared" si="324"/>
        <v>CC</v>
      </c>
      <c r="AV160" s="34">
        <f t="shared" si="325"/>
        <v>1448.05</v>
      </c>
      <c r="AW160" s="23">
        <v>14</v>
      </c>
      <c r="AX160" s="23">
        <v>48</v>
      </c>
      <c r="AY160" s="23">
        <v>5</v>
      </c>
    </row>
    <row r="161" spans="1:51">
      <c r="A161" s="25" t="s">
        <v>267</v>
      </c>
      <c r="D161" s="23">
        <v>3</v>
      </c>
      <c r="E161" s="25" t="s">
        <v>287</v>
      </c>
      <c r="F161" s="25" t="s">
        <v>315</v>
      </c>
      <c r="G161" s="23" t="s">
        <v>27</v>
      </c>
      <c r="H161" s="23" t="s">
        <v>268</v>
      </c>
      <c r="I161" s="25">
        <v>1998</v>
      </c>
      <c r="J161" s="35">
        <v>30</v>
      </c>
      <c r="K161" s="35">
        <v>40</v>
      </c>
      <c r="L161" s="35">
        <v>20</v>
      </c>
      <c r="M161" s="25">
        <v>10</v>
      </c>
      <c r="N161" s="25">
        <v>10</v>
      </c>
      <c r="O161" s="25">
        <v>10</v>
      </c>
      <c r="R161" s="30">
        <f t="shared" si="315"/>
        <v>30</v>
      </c>
      <c r="S161" s="37">
        <v>1</v>
      </c>
      <c r="T161" s="30">
        <f t="shared" si="122"/>
        <v>18.522857142857145</v>
      </c>
      <c r="U161" s="37">
        <v>1</v>
      </c>
      <c r="V161" s="30">
        <f t="shared" si="106"/>
        <v>25.656190476190478</v>
      </c>
      <c r="W161" s="25">
        <v>90</v>
      </c>
      <c r="X161" s="31">
        <f t="shared" si="316"/>
        <v>217.60000000000002</v>
      </c>
      <c r="Y161" s="25">
        <v>160</v>
      </c>
      <c r="Z161" s="25">
        <v>11</v>
      </c>
      <c r="AA161" s="25">
        <v>98</v>
      </c>
      <c r="AB161" s="37">
        <v>1</v>
      </c>
      <c r="AC161" s="30">
        <f t="shared" si="326"/>
        <v>200</v>
      </c>
      <c r="AD161" s="31">
        <f t="shared" si="317"/>
        <v>1</v>
      </c>
      <c r="AE161" s="31">
        <f t="shared" si="318"/>
        <v>8</v>
      </c>
      <c r="AF161" s="31" t="str">
        <f t="shared" si="319"/>
        <v/>
      </c>
      <c r="AG161" s="31" t="str">
        <f t="shared" si="320"/>
        <v/>
      </c>
      <c r="AH161" s="31" t="str">
        <f t="shared" si="321"/>
        <v/>
      </c>
      <c r="AI161" s="31" t="str">
        <f t="shared" si="322"/>
        <v/>
      </c>
      <c r="AJ161" s="25">
        <v>9</v>
      </c>
      <c r="AK161" s="25">
        <v>0</v>
      </c>
      <c r="AL161" s="25">
        <v>0</v>
      </c>
      <c r="AM161" s="23" t="s">
        <v>206</v>
      </c>
      <c r="AN161" s="23" t="s">
        <v>92</v>
      </c>
      <c r="AO161" s="26" t="s">
        <v>267</v>
      </c>
      <c r="AR161" s="32" t="str">
        <f t="shared" si="323"/>
        <v>3 doors</v>
      </c>
      <c r="AS161" s="23" t="s">
        <v>269</v>
      </c>
      <c r="AT161" s="23" t="s">
        <v>32</v>
      </c>
      <c r="AU161" s="23" t="str">
        <f t="shared" si="324"/>
        <v>CC</v>
      </c>
      <c r="AV161" s="34">
        <f t="shared" si="325"/>
        <v>1448.06</v>
      </c>
      <c r="AW161" s="23">
        <v>14</v>
      </c>
      <c r="AX161" s="23">
        <v>48</v>
      </c>
      <c r="AY161" s="23">
        <v>6</v>
      </c>
    </row>
    <row r="162" spans="1:51">
      <c r="A162" s="25">
        <v>263</v>
      </c>
      <c r="D162" s="23">
        <v>2</v>
      </c>
      <c r="E162" s="25" t="s">
        <v>30</v>
      </c>
      <c r="F162" s="25" t="s">
        <v>295</v>
      </c>
      <c r="G162" s="23" t="s">
        <v>27</v>
      </c>
      <c r="H162" s="23" t="s">
        <v>161</v>
      </c>
      <c r="I162" s="25">
        <v>1989</v>
      </c>
      <c r="J162" s="35">
        <v>30</v>
      </c>
      <c r="K162" s="35">
        <v>40</v>
      </c>
      <c r="L162" s="35">
        <v>20</v>
      </c>
      <c r="M162" s="25">
        <v>10</v>
      </c>
      <c r="N162" s="25">
        <v>10</v>
      </c>
      <c r="R162" s="30">
        <f t="shared" si="151"/>
        <v>20</v>
      </c>
      <c r="S162" s="37">
        <v>1</v>
      </c>
      <c r="T162" s="30">
        <f t="shared" si="122"/>
        <v>17.016571428571428</v>
      </c>
      <c r="U162" s="37">
        <v>1</v>
      </c>
      <c r="V162" s="30">
        <f t="shared" si="106"/>
        <v>22.497904761904763</v>
      </c>
      <c r="W162" s="25">
        <v>78</v>
      </c>
      <c r="X162" s="31">
        <f t="shared" si="152"/>
        <v>191.76000000000002</v>
      </c>
      <c r="Y162" s="25">
        <v>141</v>
      </c>
      <c r="Z162" s="25">
        <v>12</v>
      </c>
      <c r="AA162" s="25">
        <v>104</v>
      </c>
      <c r="AB162" s="37">
        <v>1</v>
      </c>
      <c r="AC162" s="30">
        <f t="shared" si="326"/>
        <v>200</v>
      </c>
      <c r="AD162" s="31">
        <f t="shared" si="153"/>
        <v>3</v>
      </c>
      <c r="AE162" s="31">
        <f t="shared" si="154"/>
        <v>8</v>
      </c>
      <c r="AF162" s="31" t="str">
        <f t="shared" si="155"/>
        <v/>
      </c>
      <c r="AG162" s="31" t="str">
        <f t="shared" si="156"/>
        <v/>
      </c>
      <c r="AH162" s="31" t="str">
        <f t="shared" si="157"/>
        <v/>
      </c>
      <c r="AI162" s="31" t="str">
        <f t="shared" si="158"/>
        <v/>
      </c>
      <c r="AJ162" s="25">
        <v>11</v>
      </c>
      <c r="AK162" s="25">
        <v>0</v>
      </c>
      <c r="AL162" s="25">
        <v>0</v>
      </c>
      <c r="AM162" s="23" t="s">
        <v>206</v>
      </c>
      <c r="AN162" s="23" t="s">
        <v>92</v>
      </c>
      <c r="AO162" s="25">
        <v>263</v>
      </c>
      <c r="AR162" s="32" t="str">
        <f t="shared" si="159"/>
        <v>2 doors</v>
      </c>
      <c r="AS162" s="23" t="s">
        <v>237</v>
      </c>
      <c r="AT162" s="23" t="s">
        <v>270</v>
      </c>
      <c r="AU162" s="23" t="str">
        <f t="shared" si="107"/>
        <v>CC</v>
      </c>
      <c r="AV162" s="34">
        <f t="shared" si="160"/>
        <v>1450</v>
      </c>
      <c r="AW162" s="23">
        <v>14</v>
      </c>
      <c r="AX162" s="23">
        <v>50</v>
      </c>
      <c r="AY162" s="23">
        <v>0</v>
      </c>
    </row>
    <row r="163" spans="1:51">
      <c r="A163" s="25">
        <v>263</v>
      </c>
      <c r="D163" s="23">
        <v>3</v>
      </c>
      <c r="E163" s="25" t="s">
        <v>30</v>
      </c>
      <c r="F163" s="25" t="s">
        <v>295</v>
      </c>
      <c r="G163" s="23" t="s">
        <v>27</v>
      </c>
      <c r="H163" s="23" t="s">
        <v>216</v>
      </c>
      <c r="I163" s="25">
        <v>1997</v>
      </c>
      <c r="J163" s="35">
        <v>30</v>
      </c>
      <c r="K163" s="35">
        <v>40</v>
      </c>
      <c r="L163" s="35">
        <v>20</v>
      </c>
      <c r="M163" s="25">
        <v>10</v>
      </c>
      <c r="N163" s="25">
        <v>10</v>
      </c>
      <c r="O163" s="25">
        <v>10</v>
      </c>
      <c r="R163" s="30">
        <f t="shared" si="151"/>
        <v>30</v>
      </c>
      <c r="S163" s="37">
        <v>1</v>
      </c>
      <c r="T163" s="30">
        <f t="shared" si="122"/>
        <v>17.730857142857143</v>
      </c>
      <c r="U163" s="37">
        <v>1</v>
      </c>
      <c r="V163" s="30">
        <f t="shared" si="106"/>
        <v>23.318857142857144</v>
      </c>
      <c r="W163" s="25">
        <v>78</v>
      </c>
      <c r="X163" s="31">
        <f t="shared" si="152"/>
        <v>191.76000000000002</v>
      </c>
      <c r="Y163" s="25">
        <v>141</v>
      </c>
      <c r="Z163" s="25">
        <v>12</v>
      </c>
      <c r="AA163" s="25">
        <v>120</v>
      </c>
      <c r="AB163" s="37">
        <v>1</v>
      </c>
      <c r="AC163" s="30">
        <f t="shared" si="326"/>
        <v>200</v>
      </c>
      <c r="AD163" s="31">
        <f t="shared" si="153"/>
        <v>3</v>
      </c>
      <c r="AE163" s="31">
        <f t="shared" si="154"/>
        <v>8</v>
      </c>
      <c r="AF163" s="31" t="str">
        <f t="shared" si="155"/>
        <v/>
      </c>
      <c r="AG163" s="31" t="str">
        <f t="shared" si="156"/>
        <v/>
      </c>
      <c r="AH163" s="31" t="str">
        <f t="shared" si="157"/>
        <v/>
      </c>
      <c r="AI163" s="31" t="str">
        <f t="shared" si="158"/>
        <v/>
      </c>
      <c r="AJ163" s="25">
        <v>11</v>
      </c>
      <c r="AK163" s="25">
        <v>0</v>
      </c>
      <c r="AL163" s="25">
        <v>0</v>
      </c>
      <c r="AM163" s="23" t="s">
        <v>206</v>
      </c>
      <c r="AN163" s="23" t="s">
        <v>92</v>
      </c>
      <c r="AO163" s="25">
        <v>263</v>
      </c>
      <c r="AR163" s="32" t="str">
        <f t="shared" si="159"/>
        <v>3 doors</v>
      </c>
      <c r="AS163" s="23" t="s">
        <v>236</v>
      </c>
      <c r="AT163" s="23" t="s">
        <v>32</v>
      </c>
      <c r="AU163" s="23" t="str">
        <f t="shared" si="107"/>
        <v>CC</v>
      </c>
      <c r="AV163" s="34">
        <f t="shared" si="160"/>
        <v>1451</v>
      </c>
      <c r="AW163" s="23">
        <v>14</v>
      </c>
      <c r="AX163" s="23">
        <v>51</v>
      </c>
      <c r="AY163" s="23">
        <v>0</v>
      </c>
    </row>
    <row r="164" spans="1:51">
      <c r="A164" s="25">
        <v>263</v>
      </c>
      <c r="D164" s="23">
        <v>3</v>
      </c>
      <c r="E164" s="25" t="s">
        <v>42</v>
      </c>
      <c r="F164" s="25" t="s">
        <v>296</v>
      </c>
      <c r="G164" s="23" t="s">
        <v>27</v>
      </c>
      <c r="H164" s="23" t="s">
        <v>216</v>
      </c>
      <c r="I164" s="25">
        <v>1997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O164" s="25">
        <v>10</v>
      </c>
      <c r="R164" s="30">
        <f t="shared" si="151"/>
        <v>30</v>
      </c>
      <c r="S164" s="37">
        <v>1</v>
      </c>
      <c r="T164" s="30">
        <f t="shared" si="122"/>
        <v>17.730857142857143</v>
      </c>
      <c r="U164" s="37">
        <v>1</v>
      </c>
      <c r="V164" s="30">
        <f t="shared" si="106"/>
        <v>23.318857142857144</v>
      </c>
      <c r="W164" s="25">
        <v>78</v>
      </c>
      <c r="X164" s="31">
        <f t="shared" si="152"/>
        <v>191.76000000000002</v>
      </c>
      <c r="Y164" s="25">
        <v>141</v>
      </c>
      <c r="Z164" s="25">
        <v>12</v>
      </c>
      <c r="AA164" s="25">
        <v>120</v>
      </c>
      <c r="AB164" s="37">
        <v>1</v>
      </c>
      <c r="AC164" s="30">
        <f t="shared" si="326"/>
        <v>200</v>
      </c>
      <c r="AD164" s="31">
        <f t="shared" si="153"/>
        <v>3</v>
      </c>
      <c r="AE164" s="31">
        <f t="shared" si="154"/>
        <v>8</v>
      </c>
      <c r="AF164" s="31" t="str">
        <f t="shared" si="155"/>
        <v/>
      </c>
      <c r="AG164" s="31" t="str">
        <f t="shared" si="156"/>
        <v/>
      </c>
      <c r="AH164" s="31" t="str">
        <f t="shared" si="157"/>
        <v/>
      </c>
      <c r="AI164" s="31" t="str">
        <f t="shared" si="158"/>
        <v/>
      </c>
      <c r="AJ164" s="25">
        <v>11</v>
      </c>
      <c r="AK164" s="25">
        <v>0</v>
      </c>
      <c r="AL164" s="25">
        <v>0</v>
      </c>
      <c r="AM164" s="23" t="s">
        <v>206</v>
      </c>
      <c r="AN164" s="23" t="s">
        <v>92</v>
      </c>
      <c r="AO164" s="25">
        <v>263</v>
      </c>
      <c r="AR164" s="32" t="str">
        <f t="shared" si="159"/>
        <v>3 doors</v>
      </c>
      <c r="AS164" s="23" t="s">
        <v>236</v>
      </c>
      <c r="AT164" s="23" t="s">
        <v>32</v>
      </c>
      <c r="AU164" s="23" t="str">
        <f t="shared" si="107"/>
        <v>CC</v>
      </c>
      <c r="AV164" s="34">
        <f t="shared" si="160"/>
        <v>1451.01</v>
      </c>
      <c r="AW164" s="23">
        <v>14</v>
      </c>
      <c r="AX164" s="23">
        <v>51</v>
      </c>
      <c r="AY164" s="23">
        <v>1</v>
      </c>
    </row>
    <row r="165" spans="1:51">
      <c r="A165" s="25">
        <v>263</v>
      </c>
      <c r="D165" s="23">
        <v>3</v>
      </c>
      <c r="E165" s="25" t="s">
        <v>43</v>
      </c>
      <c r="F165" s="25" t="s">
        <v>297</v>
      </c>
      <c r="G165" s="23" t="s">
        <v>27</v>
      </c>
      <c r="H165" s="23" t="s">
        <v>216</v>
      </c>
      <c r="I165" s="25">
        <v>1997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O165" s="25">
        <v>10</v>
      </c>
      <c r="R165" s="30">
        <f t="shared" si="151"/>
        <v>30</v>
      </c>
      <c r="S165" s="37">
        <v>1</v>
      </c>
      <c r="T165" s="30">
        <f t="shared" si="122"/>
        <v>17.730857142857143</v>
      </c>
      <c r="U165" s="37">
        <v>1</v>
      </c>
      <c r="V165" s="30">
        <f t="shared" si="106"/>
        <v>23.318857142857144</v>
      </c>
      <c r="W165" s="25">
        <v>78</v>
      </c>
      <c r="X165" s="31">
        <f t="shared" si="152"/>
        <v>191.76000000000002</v>
      </c>
      <c r="Y165" s="25">
        <v>141</v>
      </c>
      <c r="Z165" s="25">
        <v>12</v>
      </c>
      <c r="AA165" s="25">
        <v>120</v>
      </c>
      <c r="AB165" s="37">
        <v>1</v>
      </c>
      <c r="AC165" s="30">
        <f t="shared" si="326"/>
        <v>200</v>
      </c>
      <c r="AD165" s="31">
        <f t="shared" si="153"/>
        <v>3</v>
      </c>
      <c r="AE165" s="31">
        <f t="shared" si="154"/>
        <v>8</v>
      </c>
      <c r="AF165" s="31" t="str">
        <f t="shared" si="155"/>
        <v/>
      </c>
      <c r="AG165" s="31" t="str">
        <f t="shared" si="156"/>
        <v/>
      </c>
      <c r="AH165" s="31" t="str">
        <f t="shared" si="157"/>
        <v/>
      </c>
      <c r="AI165" s="31" t="str">
        <f t="shared" si="158"/>
        <v/>
      </c>
      <c r="AJ165" s="25">
        <v>11</v>
      </c>
      <c r="AK165" s="25">
        <v>0</v>
      </c>
      <c r="AL165" s="25">
        <v>0</v>
      </c>
      <c r="AM165" s="23" t="s">
        <v>206</v>
      </c>
      <c r="AN165" s="23" t="s">
        <v>92</v>
      </c>
      <c r="AO165" s="25">
        <v>263</v>
      </c>
      <c r="AR165" s="32" t="str">
        <f t="shared" si="159"/>
        <v>3 doors</v>
      </c>
      <c r="AS165" s="23" t="s">
        <v>236</v>
      </c>
      <c r="AT165" s="23" t="s">
        <v>32</v>
      </c>
      <c r="AU165" s="23" t="str">
        <f t="shared" si="107"/>
        <v>CC</v>
      </c>
      <c r="AV165" s="34">
        <f t="shared" si="160"/>
        <v>1451.02</v>
      </c>
      <c r="AW165" s="23">
        <v>14</v>
      </c>
      <c r="AX165" s="23">
        <v>51</v>
      </c>
      <c r="AY165" s="23">
        <v>2</v>
      </c>
    </row>
    <row r="166" spans="1:51">
      <c r="A166" s="25">
        <v>263</v>
      </c>
      <c r="D166" s="23">
        <v>3</v>
      </c>
      <c r="E166" s="25" t="s">
        <v>284</v>
      </c>
      <c r="F166" s="25" t="s">
        <v>298</v>
      </c>
      <c r="G166" s="23" t="s">
        <v>27</v>
      </c>
      <c r="H166" s="23" t="s">
        <v>216</v>
      </c>
      <c r="I166" s="25">
        <v>1997</v>
      </c>
      <c r="J166" s="35">
        <v>30</v>
      </c>
      <c r="K166" s="35">
        <v>40</v>
      </c>
      <c r="L166" s="35">
        <v>20</v>
      </c>
      <c r="M166" s="25">
        <v>10</v>
      </c>
      <c r="N166" s="25">
        <v>10</v>
      </c>
      <c r="O166" s="25">
        <v>10</v>
      </c>
      <c r="R166" s="30">
        <f t="shared" ref="R166:R170" si="327">SUM(M166:Q166)</f>
        <v>30</v>
      </c>
      <c r="S166" s="37">
        <v>1</v>
      </c>
      <c r="T166" s="30">
        <f t="shared" si="122"/>
        <v>17.730857142857143</v>
      </c>
      <c r="U166" s="37">
        <v>1</v>
      </c>
      <c r="V166" s="30">
        <f t="shared" si="106"/>
        <v>23.318857142857144</v>
      </c>
      <c r="W166" s="25">
        <v>78</v>
      </c>
      <c r="X166" s="31">
        <f t="shared" ref="X166:X170" si="328">Y166*1.36</f>
        <v>191.76000000000002</v>
      </c>
      <c r="Y166" s="25">
        <v>141</v>
      </c>
      <c r="Z166" s="25">
        <v>12</v>
      </c>
      <c r="AA166" s="25">
        <v>120</v>
      </c>
      <c r="AB166" s="37">
        <v>1</v>
      </c>
      <c r="AC166" s="30">
        <f t="shared" si="326"/>
        <v>200</v>
      </c>
      <c r="AD166" s="31">
        <f t="shared" ref="AD166:AD170" si="329">IF(AJ166&gt;8, AJ166-8, AJ166)</f>
        <v>3</v>
      </c>
      <c r="AE166" s="31">
        <f t="shared" ref="AE166:AE170" si="330">IF(AJ166&gt;8, 8, "")</f>
        <v>8</v>
      </c>
      <c r="AF166" s="31" t="str">
        <f t="shared" ref="AF166:AF170" si="331">IF(AK166&gt;8, AK166-8, IF(AK166=0, "", AK166))</f>
        <v/>
      </c>
      <c r="AG166" s="31" t="str">
        <f t="shared" ref="AG166:AG170" si="332">IF(AK166&gt;8, 8, "")</f>
        <v/>
      </c>
      <c r="AH166" s="31" t="str">
        <f t="shared" ref="AH166:AH170" si="333">IF(AL166&gt;8, AL166-8, IF(AL166=0, "", AL166))</f>
        <v/>
      </c>
      <c r="AI166" s="31" t="str">
        <f t="shared" ref="AI166:AI170" si="334">IF(AL166&gt;8, 8, "")</f>
        <v/>
      </c>
      <c r="AJ166" s="25">
        <v>11</v>
      </c>
      <c r="AK166" s="25">
        <v>0</v>
      </c>
      <c r="AL166" s="25">
        <v>0</v>
      </c>
      <c r="AM166" s="23" t="s">
        <v>206</v>
      </c>
      <c r="AN166" s="23" t="s">
        <v>92</v>
      </c>
      <c r="AO166" s="25">
        <v>263</v>
      </c>
      <c r="AR166" s="32" t="str">
        <f t="shared" ref="AR166:AR170" si="335">IF(Q166&gt;0, "5 doors", IF(P166&gt;0, "4 doors", IF(O166&gt;0, "3 doors", IF(N166&gt;0, "2 doors", "1 door"))))</f>
        <v>3 doors</v>
      </c>
      <c r="AS166" s="23" t="s">
        <v>236</v>
      </c>
      <c r="AT166" s="23" t="s">
        <v>32</v>
      </c>
      <c r="AU166" s="23" t="str">
        <f t="shared" ref="AU166:AU170" si="336">IF(ISNUMBER(SEARCH("CC", E166)), "CC", "Hungary")</f>
        <v>CC</v>
      </c>
      <c r="AV166" s="34">
        <f t="shared" ref="AV166:AV170" si="337">(AW166*100)+AX166+(AY166/100)</f>
        <v>1451.03</v>
      </c>
      <c r="AW166" s="23">
        <v>14</v>
      </c>
      <c r="AX166" s="23">
        <v>51</v>
      </c>
      <c r="AY166" s="23">
        <v>3</v>
      </c>
    </row>
    <row r="167" spans="1:51">
      <c r="A167" s="25">
        <v>263</v>
      </c>
      <c r="D167" s="23">
        <v>3</v>
      </c>
      <c r="E167" s="25" t="s">
        <v>285</v>
      </c>
      <c r="F167" s="25" t="s">
        <v>301</v>
      </c>
      <c r="G167" s="23" t="s">
        <v>27</v>
      </c>
      <c r="H167" s="23" t="s">
        <v>216</v>
      </c>
      <c r="I167" s="25">
        <v>1997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R167" s="30">
        <f t="shared" si="327"/>
        <v>30</v>
      </c>
      <c r="S167" s="37">
        <v>1</v>
      </c>
      <c r="T167" s="30">
        <f t="shared" si="122"/>
        <v>17.730857142857143</v>
      </c>
      <c r="U167" s="37">
        <v>1</v>
      </c>
      <c r="V167" s="30">
        <f t="shared" si="106"/>
        <v>23.318857142857144</v>
      </c>
      <c r="W167" s="25">
        <v>78</v>
      </c>
      <c r="X167" s="31">
        <f t="shared" si="328"/>
        <v>191.76000000000002</v>
      </c>
      <c r="Y167" s="25">
        <v>141</v>
      </c>
      <c r="Z167" s="25">
        <v>12</v>
      </c>
      <c r="AA167" s="25">
        <v>120</v>
      </c>
      <c r="AB167" s="37">
        <v>1</v>
      </c>
      <c r="AC167" s="30">
        <f t="shared" si="326"/>
        <v>200</v>
      </c>
      <c r="AD167" s="31">
        <f t="shared" si="329"/>
        <v>3</v>
      </c>
      <c r="AE167" s="31">
        <f t="shared" si="330"/>
        <v>8</v>
      </c>
      <c r="AF167" s="31" t="str">
        <f t="shared" si="331"/>
        <v/>
      </c>
      <c r="AG167" s="31" t="str">
        <f t="shared" si="332"/>
        <v/>
      </c>
      <c r="AH167" s="31" t="str">
        <f t="shared" si="333"/>
        <v/>
      </c>
      <c r="AI167" s="31" t="str">
        <f t="shared" si="334"/>
        <v/>
      </c>
      <c r="AJ167" s="25">
        <v>11</v>
      </c>
      <c r="AK167" s="25">
        <v>0</v>
      </c>
      <c r="AL167" s="25">
        <v>0</v>
      </c>
      <c r="AM167" s="23" t="s">
        <v>206</v>
      </c>
      <c r="AN167" s="23" t="s">
        <v>92</v>
      </c>
      <c r="AO167" s="25">
        <v>263</v>
      </c>
      <c r="AR167" s="32" t="str">
        <f t="shared" si="335"/>
        <v>3 doors</v>
      </c>
      <c r="AS167" s="23" t="s">
        <v>236</v>
      </c>
      <c r="AT167" s="23" t="s">
        <v>32</v>
      </c>
      <c r="AU167" s="23" t="str">
        <f t="shared" si="336"/>
        <v>CC</v>
      </c>
      <c r="AV167" s="34">
        <f t="shared" si="337"/>
        <v>1451.04</v>
      </c>
      <c r="AW167" s="23">
        <v>14</v>
      </c>
      <c r="AX167" s="23">
        <v>51</v>
      </c>
      <c r="AY167" s="23">
        <v>4</v>
      </c>
    </row>
    <row r="168" spans="1:51">
      <c r="A168" s="25">
        <v>263</v>
      </c>
      <c r="D168" s="23">
        <v>3</v>
      </c>
      <c r="E168" s="25" t="s">
        <v>286</v>
      </c>
      <c r="F168" s="25" t="s">
        <v>300</v>
      </c>
      <c r="G168" s="23" t="s">
        <v>27</v>
      </c>
      <c r="H168" s="23" t="s">
        <v>216</v>
      </c>
      <c r="I168" s="25">
        <v>1997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R168" s="30">
        <f t="shared" si="327"/>
        <v>30</v>
      </c>
      <c r="S168" s="37">
        <v>1</v>
      </c>
      <c r="T168" s="30">
        <f t="shared" si="122"/>
        <v>17.730857142857143</v>
      </c>
      <c r="U168" s="37">
        <v>1</v>
      </c>
      <c r="V168" s="30">
        <f t="shared" si="106"/>
        <v>23.318857142857144</v>
      </c>
      <c r="W168" s="25">
        <v>78</v>
      </c>
      <c r="X168" s="31">
        <f t="shared" si="328"/>
        <v>191.76000000000002</v>
      </c>
      <c r="Y168" s="25">
        <v>141</v>
      </c>
      <c r="Z168" s="25">
        <v>12</v>
      </c>
      <c r="AA168" s="25">
        <v>120</v>
      </c>
      <c r="AB168" s="37">
        <v>1</v>
      </c>
      <c r="AC168" s="30">
        <f t="shared" si="326"/>
        <v>200</v>
      </c>
      <c r="AD168" s="31">
        <f t="shared" si="329"/>
        <v>3</v>
      </c>
      <c r="AE168" s="31">
        <f t="shared" si="330"/>
        <v>8</v>
      </c>
      <c r="AF168" s="31" t="str">
        <f t="shared" si="331"/>
        <v/>
      </c>
      <c r="AG168" s="31" t="str">
        <f t="shared" si="332"/>
        <v/>
      </c>
      <c r="AH168" s="31" t="str">
        <f t="shared" si="333"/>
        <v/>
      </c>
      <c r="AI168" s="31" t="str">
        <f t="shared" si="334"/>
        <v/>
      </c>
      <c r="AJ168" s="25">
        <v>11</v>
      </c>
      <c r="AK168" s="25">
        <v>0</v>
      </c>
      <c r="AL168" s="25">
        <v>0</v>
      </c>
      <c r="AM168" s="23" t="s">
        <v>206</v>
      </c>
      <c r="AN168" s="23" t="s">
        <v>92</v>
      </c>
      <c r="AO168" s="25">
        <v>263</v>
      </c>
      <c r="AR168" s="32" t="str">
        <f t="shared" si="335"/>
        <v>3 doors</v>
      </c>
      <c r="AS168" s="23" t="s">
        <v>236</v>
      </c>
      <c r="AT168" s="23" t="s">
        <v>32</v>
      </c>
      <c r="AU168" s="23" t="str">
        <f t="shared" si="336"/>
        <v>CC</v>
      </c>
      <c r="AV168" s="34">
        <f t="shared" si="337"/>
        <v>1451.05</v>
      </c>
      <c r="AW168" s="23">
        <v>14</v>
      </c>
      <c r="AX168" s="23">
        <v>51</v>
      </c>
      <c r="AY168" s="23">
        <v>5</v>
      </c>
    </row>
    <row r="169" spans="1:51">
      <c r="A169" s="25">
        <v>263</v>
      </c>
      <c r="D169" s="23">
        <v>3</v>
      </c>
      <c r="E169" s="25" t="s">
        <v>287</v>
      </c>
      <c r="F169" s="25" t="s">
        <v>315</v>
      </c>
      <c r="G169" s="23" t="s">
        <v>27</v>
      </c>
      <c r="H169" s="23" t="s">
        <v>216</v>
      </c>
      <c r="I169" s="25">
        <v>1997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si="327"/>
        <v>30</v>
      </c>
      <c r="S169" s="37">
        <v>1</v>
      </c>
      <c r="T169" s="30">
        <f t="shared" si="122"/>
        <v>17.730857142857143</v>
      </c>
      <c r="U169" s="37">
        <v>1</v>
      </c>
      <c r="V169" s="30">
        <f t="shared" si="106"/>
        <v>23.318857142857144</v>
      </c>
      <c r="W169" s="25">
        <v>78</v>
      </c>
      <c r="X169" s="31">
        <f t="shared" si="328"/>
        <v>191.76000000000002</v>
      </c>
      <c r="Y169" s="25">
        <v>141</v>
      </c>
      <c r="Z169" s="25">
        <v>12</v>
      </c>
      <c r="AA169" s="25">
        <v>120</v>
      </c>
      <c r="AB169" s="37">
        <v>1</v>
      </c>
      <c r="AC169" s="30">
        <f t="shared" si="326"/>
        <v>200</v>
      </c>
      <c r="AD169" s="31">
        <f t="shared" si="329"/>
        <v>3</v>
      </c>
      <c r="AE169" s="31">
        <f t="shared" si="330"/>
        <v>8</v>
      </c>
      <c r="AF169" s="31" t="str">
        <f t="shared" si="331"/>
        <v/>
      </c>
      <c r="AG169" s="31" t="str">
        <f t="shared" si="332"/>
        <v/>
      </c>
      <c r="AH169" s="31" t="str">
        <f t="shared" si="333"/>
        <v/>
      </c>
      <c r="AI169" s="31" t="str">
        <f t="shared" si="334"/>
        <v/>
      </c>
      <c r="AJ169" s="25">
        <v>11</v>
      </c>
      <c r="AK169" s="25">
        <v>0</v>
      </c>
      <c r="AL169" s="25">
        <v>0</v>
      </c>
      <c r="AM169" s="23" t="s">
        <v>206</v>
      </c>
      <c r="AN169" s="23" t="s">
        <v>92</v>
      </c>
      <c r="AO169" s="25">
        <v>263</v>
      </c>
      <c r="AR169" s="32" t="str">
        <f t="shared" si="335"/>
        <v>3 doors</v>
      </c>
      <c r="AS169" s="23" t="s">
        <v>236</v>
      </c>
      <c r="AT169" s="23" t="s">
        <v>32</v>
      </c>
      <c r="AU169" s="23" t="str">
        <f t="shared" si="336"/>
        <v>CC</v>
      </c>
      <c r="AV169" s="34">
        <f t="shared" si="337"/>
        <v>1451.06</v>
      </c>
      <c r="AW169" s="23">
        <v>14</v>
      </c>
      <c r="AX169" s="23">
        <v>51</v>
      </c>
      <c r="AY169" s="23">
        <v>6</v>
      </c>
    </row>
    <row r="170" spans="1:51">
      <c r="A170" s="25">
        <v>263</v>
      </c>
      <c r="D170" s="23">
        <v>3</v>
      </c>
      <c r="E170" s="25" t="s">
        <v>85</v>
      </c>
      <c r="F170" s="25" t="s">
        <v>85</v>
      </c>
      <c r="G170" s="23" t="s">
        <v>27</v>
      </c>
      <c r="H170" s="23" t="s">
        <v>216</v>
      </c>
      <c r="I170" s="25">
        <v>1997</v>
      </c>
      <c r="J170" s="35">
        <v>30</v>
      </c>
      <c r="K170" s="35">
        <v>40</v>
      </c>
      <c r="L170" s="35">
        <v>20</v>
      </c>
      <c r="M170" s="25">
        <v>10</v>
      </c>
      <c r="N170" s="25">
        <v>10</v>
      </c>
      <c r="O170" s="25">
        <v>10</v>
      </c>
      <c r="R170" s="30">
        <f t="shared" si="327"/>
        <v>30</v>
      </c>
      <c r="S170" s="37">
        <v>1</v>
      </c>
      <c r="T170" s="30">
        <f t="shared" si="122"/>
        <v>17.730857142857143</v>
      </c>
      <c r="U170" s="37">
        <v>1</v>
      </c>
      <c r="V170" s="30">
        <f t="shared" si="106"/>
        <v>23.318857142857144</v>
      </c>
      <c r="W170" s="25">
        <v>78</v>
      </c>
      <c r="X170" s="31">
        <f t="shared" si="328"/>
        <v>191.76000000000002</v>
      </c>
      <c r="Y170" s="25">
        <v>141</v>
      </c>
      <c r="Z170" s="25">
        <v>12</v>
      </c>
      <c r="AA170" s="25">
        <v>120</v>
      </c>
      <c r="AB170" s="37">
        <v>1</v>
      </c>
      <c r="AC170" s="30">
        <f t="shared" si="326"/>
        <v>200</v>
      </c>
      <c r="AD170" s="31">
        <f t="shared" si="329"/>
        <v>3</v>
      </c>
      <c r="AE170" s="31">
        <f t="shared" si="330"/>
        <v>8</v>
      </c>
      <c r="AF170" s="31" t="str">
        <f t="shared" si="331"/>
        <v/>
      </c>
      <c r="AG170" s="31" t="str">
        <f t="shared" si="332"/>
        <v/>
      </c>
      <c r="AH170" s="31" t="str">
        <f t="shared" si="333"/>
        <v/>
      </c>
      <c r="AI170" s="31" t="str">
        <f t="shared" si="334"/>
        <v/>
      </c>
      <c r="AJ170" s="25">
        <v>11</v>
      </c>
      <c r="AK170" s="25">
        <v>0</v>
      </c>
      <c r="AL170" s="25">
        <v>0</v>
      </c>
      <c r="AM170" s="23" t="s">
        <v>206</v>
      </c>
      <c r="AN170" s="23" t="s">
        <v>92</v>
      </c>
      <c r="AO170" s="25">
        <v>263</v>
      </c>
      <c r="AR170" s="32" t="str">
        <f t="shared" si="335"/>
        <v>3 doors</v>
      </c>
      <c r="AS170" s="23" t="s">
        <v>236</v>
      </c>
      <c r="AT170" s="23" t="s">
        <v>32</v>
      </c>
      <c r="AU170" s="23" t="str">
        <f t="shared" si="336"/>
        <v>Hungary</v>
      </c>
      <c r="AV170" s="34">
        <f t="shared" si="337"/>
        <v>1451.07</v>
      </c>
      <c r="AW170" s="23">
        <v>14</v>
      </c>
      <c r="AX170" s="23">
        <v>51</v>
      </c>
      <c r="AY170" s="23">
        <v>7</v>
      </c>
    </row>
    <row r="171" spans="1:51">
      <c r="A171" s="25">
        <v>263</v>
      </c>
      <c r="D171" s="23">
        <v>2</v>
      </c>
      <c r="E171" s="25" t="s">
        <v>30</v>
      </c>
      <c r="F171" s="25" t="s">
        <v>295</v>
      </c>
      <c r="G171" s="23" t="s">
        <v>27</v>
      </c>
      <c r="H171" s="23" t="s">
        <v>217</v>
      </c>
      <c r="I171" s="25">
        <v>1991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R171" s="30">
        <f t="shared" si="151"/>
        <v>20</v>
      </c>
      <c r="S171" s="37">
        <v>1</v>
      </c>
      <c r="T171" s="30">
        <f t="shared" si="122"/>
        <v>17.016571428571428</v>
      </c>
      <c r="U171" s="37">
        <v>1</v>
      </c>
      <c r="V171" s="30">
        <f t="shared" ref="V171:V234" si="338">U171*IF(G171="petrol", ((Z171+(AA171/15)+X171)/10*1.5)+(R171/14), IF(G171="diesel", ((Z171+(AA171/15)+X171)/10)+(R171/14), IF(OR(G171="cng", G171="hybrid"), ((Z171+(AA171/15)+X171)/10*0.8)+(R171/14), IF(OR(G171="hydrogen", G171="electric"), ((Z171+(AA171/15)+X171)/10*0.5)+(R171/14), 0))))</f>
        <v>22.537904761904763</v>
      </c>
      <c r="W171" s="25">
        <v>78</v>
      </c>
      <c r="X171" s="31">
        <f t="shared" si="152"/>
        <v>191.76000000000002</v>
      </c>
      <c r="Y171" s="25">
        <v>141</v>
      </c>
      <c r="Z171" s="25">
        <v>12</v>
      </c>
      <c r="AA171" s="25">
        <v>110</v>
      </c>
      <c r="AB171" s="37">
        <v>1</v>
      </c>
      <c r="AC171" s="30">
        <f t="shared" si="326"/>
        <v>200</v>
      </c>
      <c r="AD171" s="31">
        <f t="shared" si="153"/>
        <v>3</v>
      </c>
      <c r="AE171" s="31">
        <f t="shared" si="154"/>
        <v>8</v>
      </c>
      <c r="AF171" s="31" t="str">
        <f t="shared" si="155"/>
        <v/>
      </c>
      <c r="AG171" s="31" t="str">
        <f t="shared" si="156"/>
        <v/>
      </c>
      <c r="AH171" s="31" t="str">
        <f t="shared" si="157"/>
        <v/>
      </c>
      <c r="AI171" s="31" t="str">
        <f t="shared" si="158"/>
        <v/>
      </c>
      <c r="AJ171" s="25">
        <v>11</v>
      </c>
      <c r="AK171" s="25">
        <v>0</v>
      </c>
      <c r="AL171" s="25">
        <v>0</v>
      </c>
      <c r="AM171" s="23" t="s">
        <v>206</v>
      </c>
      <c r="AN171" s="23" t="s">
        <v>92</v>
      </c>
      <c r="AO171" s="25">
        <v>263</v>
      </c>
      <c r="AR171" s="32" t="str">
        <f t="shared" si="159"/>
        <v>2 doors</v>
      </c>
      <c r="AS171" s="23" t="s">
        <v>238</v>
      </c>
      <c r="AT171" s="23" t="s">
        <v>270</v>
      </c>
      <c r="AU171" s="23" t="str">
        <f t="shared" si="107"/>
        <v>CC</v>
      </c>
      <c r="AV171" s="34">
        <f t="shared" si="160"/>
        <v>1452</v>
      </c>
      <c r="AW171" s="23">
        <v>14</v>
      </c>
      <c r="AX171" s="23">
        <v>52</v>
      </c>
      <c r="AY171" s="23">
        <v>0</v>
      </c>
    </row>
    <row r="172" spans="1:51">
      <c r="A172" s="25">
        <v>263</v>
      </c>
      <c r="B172" s="23" t="s">
        <v>218</v>
      </c>
      <c r="D172" s="23">
        <v>1</v>
      </c>
      <c r="E172" s="25" t="s">
        <v>30</v>
      </c>
      <c r="F172" s="25" t="s">
        <v>296</v>
      </c>
      <c r="G172" s="23" t="s">
        <v>27</v>
      </c>
      <c r="H172" s="23" t="s">
        <v>241</v>
      </c>
      <c r="I172" s="25">
        <v>1990</v>
      </c>
      <c r="J172" s="35">
        <v>30</v>
      </c>
      <c r="K172" s="35">
        <v>40</v>
      </c>
      <c r="L172" s="35">
        <v>20</v>
      </c>
      <c r="M172" s="25">
        <v>10</v>
      </c>
      <c r="R172" s="30">
        <f t="shared" si="151"/>
        <v>10</v>
      </c>
      <c r="S172" s="37">
        <v>1</v>
      </c>
      <c r="T172" s="30">
        <f t="shared" ref="T172:T235" si="339">S172*IF(OR(G172="diesel", G172="petrol"), ((Z172+(X172/10))/2)+(R172/14), IF(OR(G172="cng", G172="hybrid"), ((Z172+(X172/10))/2*1.2)+(R172/14), IF(OR(G172="hydrogen", G172="electric"), ((Z172+(X172/10))/2*1.5)+(R172/14), 0)))</f>
        <v>16.302285714285716</v>
      </c>
      <c r="U172" s="37">
        <v>1</v>
      </c>
      <c r="V172" s="30">
        <f t="shared" si="338"/>
        <v>21.623619047619052</v>
      </c>
      <c r="W172" s="25">
        <v>78</v>
      </c>
      <c r="X172" s="31">
        <f t="shared" si="152"/>
        <v>191.76000000000002</v>
      </c>
      <c r="Y172" s="25">
        <v>141</v>
      </c>
      <c r="Z172" s="25">
        <v>12</v>
      </c>
      <c r="AA172" s="25">
        <v>80</v>
      </c>
      <c r="AB172" s="37">
        <v>1</v>
      </c>
      <c r="AC172" s="30">
        <f t="shared" si="326"/>
        <v>200</v>
      </c>
      <c r="AD172" s="31">
        <f t="shared" si="153"/>
        <v>3</v>
      </c>
      <c r="AE172" s="31">
        <f t="shared" si="154"/>
        <v>8</v>
      </c>
      <c r="AF172" s="31" t="str">
        <f t="shared" si="155"/>
        <v/>
      </c>
      <c r="AG172" s="31" t="str">
        <f t="shared" si="156"/>
        <v/>
      </c>
      <c r="AH172" s="31" t="str">
        <f t="shared" si="157"/>
        <v/>
      </c>
      <c r="AI172" s="31" t="str">
        <f t="shared" si="158"/>
        <v/>
      </c>
      <c r="AJ172" s="25">
        <v>11</v>
      </c>
      <c r="AK172" s="25">
        <v>0</v>
      </c>
      <c r="AL172" s="25">
        <v>0</v>
      </c>
      <c r="AM172" s="23" t="s">
        <v>206</v>
      </c>
      <c r="AN172" s="23" t="s">
        <v>92</v>
      </c>
      <c r="AO172" s="25">
        <v>263</v>
      </c>
      <c r="AR172" s="32" t="str">
        <f t="shared" si="159"/>
        <v>1 door</v>
      </c>
      <c r="AS172" s="23" t="s">
        <v>239</v>
      </c>
      <c r="AT172" s="23" t="s">
        <v>270</v>
      </c>
      <c r="AU172" s="23" t="str">
        <f t="shared" si="107"/>
        <v>CC</v>
      </c>
      <c r="AV172" s="34">
        <f t="shared" si="160"/>
        <v>1453</v>
      </c>
      <c r="AW172" s="23">
        <v>14</v>
      </c>
      <c r="AX172" s="23">
        <v>53</v>
      </c>
      <c r="AY172" s="23">
        <v>0</v>
      </c>
    </row>
    <row r="173" spans="1:51">
      <c r="A173" s="25">
        <v>280</v>
      </c>
      <c r="B173" s="23" t="s">
        <v>89</v>
      </c>
      <c r="C173" s="23" t="s">
        <v>124</v>
      </c>
      <c r="D173" s="23">
        <v>4</v>
      </c>
      <c r="E173" s="25" t="s">
        <v>30</v>
      </c>
      <c r="F173" s="25" t="s">
        <v>295</v>
      </c>
      <c r="G173" s="23" t="s">
        <v>27</v>
      </c>
      <c r="H173" s="23" t="s">
        <v>164</v>
      </c>
      <c r="I173" s="25">
        <v>1971</v>
      </c>
      <c r="J173" s="35">
        <v>30</v>
      </c>
      <c r="K173" s="35">
        <v>40</v>
      </c>
      <c r="L173" s="35">
        <v>20</v>
      </c>
      <c r="M173" s="25">
        <v>10</v>
      </c>
      <c r="N173" s="25">
        <v>10</v>
      </c>
      <c r="O173" s="25">
        <v>10</v>
      </c>
      <c r="P173" s="25">
        <v>10</v>
      </c>
      <c r="R173" s="30">
        <f t="shared" si="151"/>
        <v>40</v>
      </c>
      <c r="S173" s="37">
        <v>1</v>
      </c>
      <c r="T173" s="30">
        <f t="shared" si="339"/>
        <v>19.445142857142859</v>
      </c>
      <c r="U173" s="37">
        <v>1</v>
      </c>
      <c r="V173" s="30">
        <f t="shared" si="338"/>
        <v>24.373142857142859</v>
      </c>
      <c r="W173" s="25">
        <v>62</v>
      </c>
      <c r="X173" s="31">
        <f t="shared" si="152"/>
        <v>191.76000000000002</v>
      </c>
      <c r="Y173" s="25">
        <v>141</v>
      </c>
      <c r="Z173" s="25">
        <v>14</v>
      </c>
      <c r="AA173" s="25">
        <v>141</v>
      </c>
      <c r="AB173" s="37">
        <v>1</v>
      </c>
      <c r="AC173" s="30">
        <f t="shared" si="326"/>
        <v>200</v>
      </c>
      <c r="AD173" s="31">
        <f t="shared" si="153"/>
        <v>8</v>
      </c>
      <c r="AE173" s="31" t="str">
        <f t="shared" si="154"/>
        <v/>
      </c>
      <c r="AF173" s="31">
        <f t="shared" si="155"/>
        <v>7</v>
      </c>
      <c r="AG173" s="31" t="str">
        <f t="shared" si="156"/>
        <v/>
      </c>
      <c r="AH173" s="31" t="str">
        <f t="shared" si="157"/>
        <v/>
      </c>
      <c r="AI173" s="31" t="str">
        <f t="shared" si="158"/>
        <v/>
      </c>
      <c r="AJ173" s="25">
        <v>8</v>
      </c>
      <c r="AK173" s="25">
        <v>7</v>
      </c>
      <c r="AL173" s="25">
        <v>0</v>
      </c>
      <c r="AM173" s="23" t="s">
        <v>206</v>
      </c>
      <c r="AN173" s="23" t="s">
        <v>92</v>
      </c>
      <c r="AO173" s="25">
        <v>280</v>
      </c>
      <c r="AR173" s="32" t="str">
        <f t="shared" si="159"/>
        <v>4 doors</v>
      </c>
      <c r="AS173" s="23" t="s">
        <v>229</v>
      </c>
      <c r="AT173" s="23" t="s">
        <v>32</v>
      </c>
      <c r="AU173" s="23" t="str">
        <f t="shared" si="107"/>
        <v>CC</v>
      </c>
      <c r="AV173" s="34">
        <f t="shared" si="160"/>
        <v>1500</v>
      </c>
      <c r="AW173" s="23">
        <v>15</v>
      </c>
      <c r="AX173" s="23">
        <v>0</v>
      </c>
      <c r="AY173" s="23">
        <v>0</v>
      </c>
    </row>
    <row r="174" spans="1:51">
      <c r="A174" s="25">
        <v>280</v>
      </c>
      <c r="B174" s="23" t="s">
        <v>89</v>
      </c>
      <c r="C174" s="23" t="s">
        <v>124</v>
      </c>
      <c r="D174" s="23">
        <v>4</v>
      </c>
      <c r="E174" s="25" t="s">
        <v>42</v>
      </c>
      <c r="F174" s="25" t="s">
        <v>296</v>
      </c>
      <c r="G174" s="23" t="s">
        <v>27</v>
      </c>
      <c r="H174" s="23" t="s">
        <v>164</v>
      </c>
      <c r="I174" s="25">
        <v>1971</v>
      </c>
      <c r="J174" s="35">
        <v>30</v>
      </c>
      <c r="K174" s="35">
        <v>40</v>
      </c>
      <c r="L174" s="35">
        <v>20</v>
      </c>
      <c r="M174" s="25">
        <v>10</v>
      </c>
      <c r="N174" s="25">
        <v>10</v>
      </c>
      <c r="O174" s="25">
        <v>10</v>
      </c>
      <c r="P174" s="25">
        <v>10</v>
      </c>
      <c r="R174" s="30">
        <f t="shared" ref="R174:R179" si="340">SUM(M174:Q174)</f>
        <v>40</v>
      </c>
      <c r="S174" s="37">
        <v>1</v>
      </c>
      <c r="T174" s="30">
        <f t="shared" si="339"/>
        <v>19.445142857142859</v>
      </c>
      <c r="U174" s="37">
        <v>1</v>
      </c>
      <c r="V174" s="30">
        <f t="shared" si="338"/>
        <v>24.373142857142859</v>
      </c>
      <c r="W174" s="25">
        <v>62</v>
      </c>
      <c r="X174" s="31">
        <f t="shared" ref="X174:X179" si="341">Y174*1.36</f>
        <v>191.76000000000002</v>
      </c>
      <c r="Y174" s="25">
        <v>141</v>
      </c>
      <c r="Z174" s="25">
        <v>14</v>
      </c>
      <c r="AA174" s="25">
        <v>141</v>
      </c>
      <c r="AB174" s="37">
        <v>1</v>
      </c>
      <c r="AC174" s="30">
        <f t="shared" si="326"/>
        <v>200</v>
      </c>
      <c r="AD174" s="31">
        <f t="shared" ref="AD174:AD179" si="342">IF(AJ174&gt;8, AJ174-8, AJ174)</f>
        <v>8</v>
      </c>
      <c r="AE174" s="31" t="str">
        <f t="shared" ref="AE174:AE179" si="343">IF(AJ174&gt;8, 8, "")</f>
        <v/>
      </c>
      <c r="AF174" s="31">
        <f t="shared" ref="AF174:AF179" si="344">IF(AK174&gt;8, AK174-8, IF(AK174=0, "", AK174))</f>
        <v>7</v>
      </c>
      <c r="AG174" s="31" t="str">
        <f t="shared" ref="AG174:AG179" si="345">IF(AK174&gt;8, 8, "")</f>
        <v/>
      </c>
      <c r="AH174" s="31" t="str">
        <f t="shared" ref="AH174:AH179" si="346">IF(AL174&gt;8, AL174-8, IF(AL174=0, "", AL174))</f>
        <v/>
      </c>
      <c r="AI174" s="31" t="str">
        <f t="shared" ref="AI174:AI179" si="347">IF(AL174&gt;8, 8, "")</f>
        <v/>
      </c>
      <c r="AJ174" s="25">
        <v>8</v>
      </c>
      <c r="AK174" s="25">
        <v>7</v>
      </c>
      <c r="AL174" s="25">
        <v>0</v>
      </c>
      <c r="AM174" s="23" t="s">
        <v>206</v>
      </c>
      <c r="AN174" s="23" t="s">
        <v>92</v>
      </c>
      <c r="AO174" s="25">
        <v>280</v>
      </c>
      <c r="AR174" s="32" t="str">
        <f t="shared" ref="AR174:AR179" si="348">IF(Q174&gt;0, "5 doors", IF(P174&gt;0, "4 doors", IF(O174&gt;0, "3 doors", IF(N174&gt;0, "2 doors", "1 door"))))</f>
        <v>4 doors</v>
      </c>
      <c r="AS174" s="23" t="s">
        <v>229</v>
      </c>
      <c r="AT174" s="23" t="s">
        <v>32</v>
      </c>
      <c r="AU174" s="23" t="str">
        <f t="shared" si="107"/>
        <v>CC</v>
      </c>
      <c r="AV174" s="34">
        <f t="shared" ref="AV174:AV179" si="349">(AW174*100)+AX174+(AY174/100)</f>
        <v>1500.01</v>
      </c>
      <c r="AW174" s="23">
        <v>15</v>
      </c>
      <c r="AX174" s="23">
        <v>0</v>
      </c>
      <c r="AY174" s="23">
        <v>1</v>
      </c>
    </row>
    <row r="175" spans="1:51">
      <c r="A175" s="25">
        <v>280</v>
      </c>
      <c r="B175" s="23" t="s">
        <v>89</v>
      </c>
      <c r="C175" s="23" t="s">
        <v>124</v>
      </c>
      <c r="D175" s="23">
        <v>4</v>
      </c>
      <c r="E175" s="25" t="s">
        <v>43</v>
      </c>
      <c r="F175" s="25" t="s">
        <v>297</v>
      </c>
      <c r="G175" s="23" t="s">
        <v>27</v>
      </c>
      <c r="H175" s="23" t="s">
        <v>164</v>
      </c>
      <c r="I175" s="25">
        <v>1971</v>
      </c>
      <c r="J175" s="35">
        <v>30</v>
      </c>
      <c r="K175" s="35">
        <v>40</v>
      </c>
      <c r="L175" s="35">
        <v>20</v>
      </c>
      <c r="M175" s="25">
        <v>10</v>
      </c>
      <c r="N175" s="25">
        <v>10</v>
      </c>
      <c r="O175" s="25">
        <v>10</v>
      </c>
      <c r="P175" s="25">
        <v>10</v>
      </c>
      <c r="R175" s="30">
        <f t="shared" si="340"/>
        <v>40</v>
      </c>
      <c r="S175" s="37">
        <v>1</v>
      </c>
      <c r="T175" s="30">
        <f t="shared" si="339"/>
        <v>19.445142857142859</v>
      </c>
      <c r="U175" s="37">
        <v>1</v>
      </c>
      <c r="V175" s="30">
        <f t="shared" si="338"/>
        <v>24.373142857142859</v>
      </c>
      <c r="W175" s="25">
        <v>62</v>
      </c>
      <c r="X175" s="31">
        <f t="shared" si="341"/>
        <v>191.76000000000002</v>
      </c>
      <c r="Y175" s="25">
        <v>141</v>
      </c>
      <c r="Z175" s="25">
        <v>14</v>
      </c>
      <c r="AA175" s="25">
        <v>141</v>
      </c>
      <c r="AB175" s="37">
        <v>1</v>
      </c>
      <c r="AC175" s="30">
        <f t="shared" si="326"/>
        <v>200</v>
      </c>
      <c r="AD175" s="31">
        <f t="shared" si="342"/>
        <v>8</v>
      </c>
      <c r="AE175" s="31" t="str">
        <f t="shared" si="343"/>
        <v/>
      </c>
      <c r="AF175" s="31">
        <f t="shared" si="344"/>
        <v>7</v>
      </c>
      <c r="AG175" s="31" t="str">
        <f t="shared" si="345"/>
        <v/>
      </c>
      <c r="AH175" s="31" t="str">
        <f t="shared" si="346"/>
        <v/>
      </c>
      <c r="AI175" s="31" t="str">
        <f t="shared" si="347"/>
        <v/>
      </c>
      <c r="AJ175" s="25">
        <v>8</v>
      </c>
      <c r="AK175" s="25">
        <v>7</v>
      </c>
      <c r="AL175" s="25">
        <v>0</v>
      </c>
      <c r="AM175" s="23" t="s">
        <v>206</v>
      </c>
      <c r="AN175" s="23" t="s">
        <v>92</v>
      </c>
      <c r="AO175" s="25">
        <v>280</v>
      </c>
      <c r="AR175" s="32" t="str">
        <f t="shared" si="348"/>
        <v>4 doors</v>
      </c>
      <c r="AS175" s="23" t="s">
        <v>229</v>
      </c>
      <c r="AT175" s="23" t="s">
        <v>32</v>
      </c>
      <c r="AU175" s="23" t="str">
        <f t="shared" si="107"/>
        <v>CC</v>
      </c>
      <c r="AV175" s="34">
        <f t="shared" si="349"/>
        <v>1500.02</v>
      </c>
      <c r="AW175" s="23">
        <v>15</v>
      </c>
      <c r="AX175" s="23">
        <v>0</v>
      </c>
      <c r="AY175" s="23">
        <v>2</v>
      </c>
    </row>
    <row r="176" spans="1:51">
      <c r="A176" s="25">
        <v>280</v>
      </c>
      <c r="B176" s="23" t="s">
        <v>89</v>
      </c>
      <c r="C176" s="23" t="s">
        <v>124</v>
      </c>
      <c r="D176" s="23">
        <v>4</v>
      </c>
      <c r="E176" s="25" t="s">
        <v>284</v>
      </c>
      <c r="F176" s="25" t="s">
        <v>298</v>
      </c>
      <c r="G176" s="23" t="s">
        <v>27</v>
      </c>
      <c r="H176" s="23" t="s">
        <v>164</v>
      </c>
      <c r="I176" s="25">
        <v>1971</v>
      </c>
      <c r="J176" s="35">
        <v>30</v>
      </c>
      <c r="K176" s="35">
        <v>40</v>
      </c>
      <c r="L176" s="35">
        <v>20</v>
      </c>
      <c r="M176" s="25">
        <v>10</v>
      </c>
      <c r="N176" s="25">
        <v>10</v>
      </c>
      <c r="O176" s="25">
        <v>10</v>
      </c>
      <c r="P176" s="25">
        <v>10</v>
      </c>
      <c r="R176" s="30">
        <f t="shared" si="340"/>
        <v>40</v>
      </c>
      <c r="S176" s="37">
        <v>1</v>
      </c>
      <c r="T176" s="30">
        <f t="shared" si="339"/>
        <v>19.445142857142859</v>
      </c>
      <c r="U176" s="37">
        <v>1</v>
      </c>
      <c r="V176" s="30">
        <f t="shared" si="338"/>
        <v>24.373142857142859</v>
      </c>
      <c r="W176" s="25">
        <v>62</v>
      </c>
      <c r="X176" s="31">
        <f t="shared" si="341"/>
        <v>191.76000000000002</v>
      </c>
      <c r="Y176" s="25">
        <v>141</v>
      </c>
      <c r="Z176" s="25">
        <v>14</v>
      </c>
      <c r="AA176" s="25">
        <v>141</v>
      </c>
      <c r="AB176" s="37">
        <v>1</v>
      </c>
      <c r="AC176" s="30">
        <f t="shared" si="326"/>
        <v>200</v>
      </c>
      <c r="AD176" s="31">
        <f t="shared" si="342"/>
        <v>8</v>
      </c>
      <c r="AE176" s="31" t="str">
        <f t="shared" si="343"/>
        <v/>
      </c>
      <c r="AF176" s="31">
        <f t="shared" si="344"/>
        <v>7</v>
      </c>
      <c r="AG176" s="31" t="str">
        <f t="shared" si="345"/>
        <v/>
      </c>
      <c r="AH176" s="31" t="str">
        <f t="shared" si="346"/>
        <v/>
      </c>
      <c r="AI176" s="31" t="str">
        <f t="shared" si="347"/>
        <v/>
      </c>
      <c r="AJ176" s="25">
        <v>8</v>
      </c>
      <c r="AK176" s="25">
        <v>7</v>
      </c>
      <c r="AL176" s="25">
        <v>0</v>
      </c>
      <c r="AM176" s="23" t="s">
        <v>206</v>
      </c>
      <c r="AN176" s="23" t="s">
        <v>92</v>
      </c>
      <c r="AO176" s="25">
        <v>280</v>
      </c>
      <c r="AR176" s="32" t="str">
        <f t="shared" si="348"/>
        <v>4 doors</v>
      </c>
      <c r="AS176" s="23" t="s">
        <v>229</v>
      </c>
      <c r="AT176" s="23" t="s">
        <v>32</v>
      </c>
      <c r="AU176" s="23" t="str">
        <f t="shared" si="107"/>
        <v>CC</v>
      </c>
      <c r="AV176" s="34">
        <f t="shared" si="349"/>
        <v>1500.03</v>
      </c>
      <c r="AW176" s="23">
        <v>15</v>
      </c>
      <c r="AX176" s="23">
        <v>0</v>
      </c>
      <c r="AY176" s="23">
        <v>3</v>
      </c>
    </row>
    <row r="177" spans="1:51">
      <c r="A177" s="25">
        <v>280</v>
      </c>
      <c r="B177" s="23" t="s">
        <v>89</v>
      </c>
      <c r="C177" s="23" t="s">
        <v>124</v>
      </c>
      <c r="D177" s="23">
        <v>4</v>
      </c>
      <c r="E177" s="25" t="s">
        <v>285</v>
      </c>
      <c r="F177" s="25" t="s">
        <v>299</v>
      </c>
      <c r="G177" s="23" t="s">
        <v>27</v>
      </c>
      <c r="H177" s="23" t="s">
        <v>164</v>
      </c>
      <c r="I177" s="25">
        <v>1971</v>
      </c>
      <c r="J177" s="35">
        <v>30</v>
      </c>
      <c r="K177" s="35">
        <v>40</v>
      </c>
      <c r="L177" s="35">
        <v>20</v>
      </c>
      <c r="M177" s="25">
        <v>10</v>
      </c>
      <c r="N177" s="25">
        <v>10</v>
      </c>
      <c r="O177" s="25">
        <v>10</v>
      </c>
      <c r="P177" s="25">
        <v>10</v>
      </c>
      <c r="R177" s="30">
        <f t="shared" si="340"/>
        <v>40</v>
      </c>
      <c r="S177" s="37">
        <v>1</v>
      </c>
      <c r="T177" s="30">
        <f t="shared" si="339"/>
        <v>19.445142857142859</v>
      </c>
      <c r="U177" s="37">
        <v>1</v>
      </c>
      <c r="V177" s="30">
        <f t="shared" si="338"/>
        <v>24.373142857142859</v>
      </c>
      <c r="W177" s="25">
        <v>62</v>
      </c>
      <c r="X177" s="31">
        <f t="shared" si="341"/>
        <v>191.76000000000002</v>
      </c>
      <c r="Y177" s="25">
        <v>141</v>
      </c>
      <c r="Z177" s="25">
        <v>14</v>
      </c>
      <c r="AA177" s="25">
        <v>141</v>
      </c>
      <c r="AB177" s="37">
        <v>1</v>
      </c>
      <c r="AC177" s="30">
        <f t="shared" si="326"/>
        <v>200</v>
      </c>
      <c r="AD177" s="31">
        <f t="shared" si="342"/>
        <v>8</v>
      </c>
      <c r="AE177" s="31" t="str">
        <f t="shared" si="343"/>
        <v/>
      </c>
      <c r="AF177" s="31">
        <f t="shared" si="344"/>
        <v>7</v>
      </c>
      <c r="AG177" s="31" t="str">
        <f t="shared" si="345"/>
        <v/>
      </c>
      <c r="AH177" s="31" t="str">
        <f t="shared" si="346"/>
        <v/>
      </c>
      <c r="AI177" s="31" t="str">
        <f t="shared" si="347"/>
        <v/>
      </c>
      <c r="AJ177" s="25">
        <v>8</v>
      </c>
      <c r="AK177" s="25">
        <v>7</v>
      </c>
      <c r="AL177" s="25">
        <v>0</v>
      </c>
      <c r="AM177" s="23" t="s">
        <v>206</v>
      </c>
      <c r="AN177" s="23" t="s">
        <v>92</v>
      </c>
      <c r="AO177" s="25">
        <v>280</v>
      </c>
      <c r="AR177" s="32" t="str">
        <f t="shared" si="348"/>
        <v>4 doors</v>
      </c>
      <c r="AS177" s="23" t="s">
        <v>229</v>
      </c>
      <c r="AT177" s="23" t="s">
        <v>32</v>
      </c>
      <c r="AU177" s="23" t="str">
        <f t="shared" si="107"/>
        <v>CC</v>
      </c>
      <c r="AV177" s="34">
        <f t="shared" si="349"/>
        <v>1500.04</v>
      </c>
      <c r="AW177" s="23">
        <v>15</v>
      </c>
      <c r="AX177" s="23">
        <v>0</v>
      </c>
      <c r="AY177" s="23">
        <v>4</v>
      </c>
    </row>
    <row r="178" spans="1:51">
      <c r="A178" s="25">
        <v>280</v>
      </c>
      <c r="B178" s="23" t="s">
        <v>89</v>
      </c>
      <c r="C178" s="23" t="s">
        <v>124</v>
      </c>
      <c r="D178" s="23">
        <v>4</v>
      </c>
      <c r="E178" s="25" t="s">
        <v>286</v>
      </c>
      <c r="F178" s="25" t="s">
        <v>301</v>
      </c>
      <c r="G178" s="23" t="s">
        <v>27</v>
      </c>
      <c r="H178" s="23" t="s">
        <v>164</v>
      </c>
      <c r="I178" s="25">
        <v>1971</v>
      </c>
      <c r="J178" s="35">
        <v>30</v>
      </c>
      <c r="K178" s="35">
        <v>40</v>
      </c>
      <c r="L178" s="35">
        <v>20</v>
      </c>
      <c r="M178" s="25">
        <v>10</v>
      </c>
      <c r="N178" s="25">
        <v>10</v>
      </c>
      <c r="O178" s="25">
        <v>10</v>
      </c>
      <c r="P178" s="25">
        <v>10</v>
      </c>
      <c r="R178" s="30">
        <f t="shared" si="340"/>
        <v>40</v>
      </c>
      <c r="S178" s="37">
        <v>1</v>
      </c>
      <c r="T178" s="30">
        <f t="shared" si="339"/>
        <v>19.445142857142859</v>
      </c>
      <c r="U178" s="37">
        <v>1</v>
      </c>
      <c r="V178" s="30">
        <f t="shared" si="338"/>
        <v>24.373142857142859</v>
      </c>
      <c r="W178" s="25">
        <v>62</v>
      </c>
      <c r="X178" s="31">
        <f t="shared" si="341"/>
        <v>191.76000000000002</v>
      </c>
      <c r="Y178" s="25">
        <v>141</v>
      </c>
      <c r="Z178" s="25">
        <v>14</v>
      </c>
      <c r="AA178" s="25">
        <v>141</v>
      </c>
      <c r="AB178" s="37">
        <v>1</v>
      </c>
      <c r="AC178" s="30">
        <f t="shared" si="326"/>
        <v>200</v>
      </c>
      <c r="AD178" s="31">
        <f t="shared" si="342"/>
        <v>8</v>
      </c>
      <c r="AE178" s="31" t="str">
        <f t="shared" si="343"/>
        <v/>
      </c>
      <c r="AF178" s="31">
        <f t="shared" si="344"/>
        <v>7</v>
      </c>
      <c r="AG178" s="31" t="str">
        <f t="shared" si="345"/>
        <v/>
      </c>
      <c r="AH178" s="31" t="str">
        <f t="shared" si="346"/>
        <v/>
      </c>
      <c r="AI178" s="31" t="str">
        <f t="shared" si="347"/>
        <v/>
      </c>
      <c r="AJ178" s="25">
        <v>8</v>
      </c>
      <c r="AK178" s="25">
        <v>7</v>
      </c>
      <c r="AL178" s="25">
        <v>0</v>
      </c>
      <c r="AM178" s="23" t="s">
        <v>206</v>
      </c>
      <c r="AN178" s="23" t="s">
        <v>92</v>
      </c>
      <c r="AO178" s="25">
        <v>280</v>
      </c>
      <c r="AR178" s="32" t="str">
        <f t="shared" si="348"/>
        <v>4 doors</v>
      </c>
      <c r="AS178" s="23" t="s">
        <v>229</v>
      </c>
      <c r="AT178" s="23" t="s">
        <v>32</v>
      </c>
      <c r="AU178" s="23" t="str">
        <f t="shared" si="107"/>
        <v>CC</v>
      </c>
      <c r="AV178" s="34">
        <f t="shared" si="349"/>
        <v>1500.05</v>
      </c>
      <c r="AW178" s="23">
        <v>15</v>
      </c>
      <c r="AX178" s="23">
        <v>0</v>
      </c>
      <c r="AY178" s="23">
        <v>5</v>
      </c>
    </row>
    <row r="179" spans="1:51">
      <c r="A179" s="25">
        <v>280</v>
      </c>
      <c r="B179" s="23" t="s">
        <v>89</v>
      </c>
      <c r="C179" s="23" t="s">
        <v>124</v>
      </c>
      <c r="D179" s="23">
        <v>4</v>
      </c>
      <c r="E179" s="25" t="s">
        <v>287</v>
      </c>
      <c r="F179" s="25" t="s">
        <v>300</v>
      </c>
      <c r="G179" s="23" t="s">
        <v>27</v>
      </c>
      <c r="H179" s="23" t="s">
        <v>164</v>
      </c>
      <c r="I179" s="25">
        <v>1971</v>
      </c>
      <c r="J179" s="35">
        <v>30</v>
      </c>
      <c r="K179" s="35">
        <v>40</v>
      </c>
      <c r="L179" s="35">
        <v>20</v>
      </c>
      <c r="M179" s="25">
        <v>10</v>
      </c>
      <c r="N179" s="25">
        <v>10</v>
      </c>
      <c r="O179" s="25">
        <v>10</v>
      </c>
      <c r="P179" s="25">
        <v>10</v>
      </c>
      <c r="R179" s="30">
        <f t="shared" si="340"/>
        <v>40</v>
      </c>
      <c r="S179" s="37">
        <v>1</v>
      </c>
      <c r="T179" s="30">
        <f t="shared" si="339"/>
        <v>19.445142857142859</v>
      </c>
      <c r="U179" s="37">
        <v>1</v>
      </c>
      <c r="V179" s="30">
        <f t="shared" si="338"/>
        <v>24.373142857142859</v>
      </c>
      <c r="W179" s="25">
        <v>62</v>
      </c>
      <c r="X179" s="31">
        <f t="shared" si="341"/>
        <v>191.76000000000002</v>
      </c>
      <c r="Y179" s="25">
        <v>141</v>
      </c>
      <c r="Z179" s="25">
        <v>14</v>
      </c>
      <c r="AA179" s="25">
        <v>141</v>
      </c>
      <c r="AB179" s="37">
        <v>1</v>
      </c>
      <c r="AC179" s="30">
        <f t="shared" si="326"/>
        <v>200</v>
      </c>
      <c r="AD179" s="31">
        <f t="shared" si="342"/>
        <v>8</v>
      </c>
      <c r="AE179" s="31" t="str">
        <f t="shared" si="343"/>
        <v/>
      </c>
      <c r="AF179" s="31">
        <f t="shared" si="344"/>
        <v>7</v>
      </c>
      <c r="AG179" s="31" t="str">
        <f t="shared" si="345"/>
        <v/>
      </c>
      <c r="AH179" s="31" t="str">
        <f t="shared" si="346"/>
        <v/>
      </c>
      <c r="AI179" s="31" t="str">
        <f t="shared" si="347"/>
        <v/>
      </c>
      <c r="AJ179" s="25">
        <v>8</v>
      </c>
      <c r="AK179" s="25">
        <v>7</v>
      </c>
      <c r="AL179" s="25">
        <v>0</v>
      </c>
      <c r="AM179" s="23" t="s">
        <v>206</v>
      </c>
      <c r="AN179" s="23" t="s">
        <v>92</v>
      </c>
      <c r="AO179" s="25">
        <v>280</v>
      </c>
      <c r="AR179" s="32" t="str">
        <f t="shared" si="348"/>
        <v>4 doors</v>
      </c>
      <c r="AS179" s="23" t="s">
        <v>229</v>
      </c>
      <c r="AT179" s="23" t="s">
        <v>32</v>
      </c>
      <c r="AU179" s="23" t="str">
        <f t="shared" si="107"/>
        <v>CC</v>
      </c>
      <c r="AV179" s="34">
        <f t="shared" si="349"/>
        <v>1500.06</v>
      </c>
      <c r="AW179" s="23">
        <v>15</v>
      </c>
      <c r="AX179" s="23">
        <v>0</v>
      </c>
      <c r="AY179" s="23">
        <v>6</v>
      </c>
    </row>
    <row r="180" spans="1:51">
      <c r="A180" s="25">
        <v>280</v>
      </c>
      <c r="B180" s="23" t="s">
        <v>89</v>
      </c>
      <c r="C180" s="23" t="s">
        <v>124</v>
      </c>
      <c r="D180" s="23">
        <v>4</v>
      </c>
      <c r="E180" s="25" t="s">
        <v>85</v>
      </c>
      <c r="F180" s="25" t="s">
        <v>85</v>
      </c>
      <c r="G180" s="23" t="s">
        <v>27</v>
      </c>
      <c r="H180" s="23" t="s">
        <v>164</v>
      </c>
      <c r="I180" s="25">
        <v>1971</v>
      </c>
      <c r="J180" s="35">
        <v>30</v>
      </c>
      <c r="K180" s="35">
        <v>40</v>
      </c>
      <c r="L180" s="35">
        <v>20</v>
      </c>
      <c r="M180" s="25">
        <v>10</v>
      </c>
      <c r="N180" s="25">
        <v>10</v>
      </c>
      <c r="O180" s="25">
        <v>10</v>
      </c>
      <c r="P180" s="25">
        <v>10</v>
      </c>
      <c r="R180" s="30">
        <f t="shared" ref="R180" si="350">SUM(M180:Q180)</f>
        <v>40</v>
      </c>
      <c r="S180" s="37">
        <v>1</v>
      </c>
      <c r="T180" s="30">
        <f t="shared" si="339"/>
        <v>19.445142857142859</v>
      </c>
      <c r="U180" s="37">
        <v>1</v>
      </c>
      <c r="V180" s="30">
        <f t="shared" si="338"/>
        <v>24.373142857142859</v>
      </c>
      <c r="W180" s="25">
        <v>62</v>
      </c>
      <c r="X180" s="31">
        <f t="shared" ref="X180" si="351">Y180*1.36</f>
        <v>191.76000000000002</v>
      </c>
      <c r="Y180" s="25">
        <v>141</v>
      </c>
      <c r="Z180" s="25">
        <v>14</v>
      </c>
      <c r="AA180" s="25">
        <v>141</v>
      </c>
      <c r="AB180" s="37">
        <v>1</v>
      </c>
      <c r="AC180" s="30">
        <f t="shared" si="326"/>
        <v>200</v>
      </c>
      <c r="AD180" s="31">
        <f t="shared" ref="AD180" si="352">IF(AJ180&gt;8, AJ180-8, AJ180)</f>
        <v>8</v>
      </c>
      <c r="AE180" s="31" t="str">
        <f t="shared" ref="AE180" si="353">IF(AJ180&gt;8, 8, "")</f>
        <v/>
      </c>
      <c r="AF180" s="31">
        <f t="shared" ref="AF180" si="354">IF(AK180&gt;8, AK180-8, IF(AK180=0, "", AK180))</f>
        <v>7</v>
      </c>
      <c r="AG180" s="31" t="str">
        <f t="shared" ref="AG180" si="355">IF(AK180&gt;8, 8, "")</f>
        <v/>
      </c>
      <c r="AH180" s="31" t="str">
        <f t="shared" ref="AH180" si="356">IF(AL180&gt;8, AL180-8, IF(AL180=0, "", AL180))</f>
        <v/>
      </c>
      <c r="AI180" s="31" t="str">
        <f t="shared" ref="AI180" si="357">IF(AL180&gt;8, 8, "")</f>
        <v/>
      </c>
      <c r="AJ180" s="25">
        <v>8</v>
      </c>
      <c r="AK180" s="25">
        <v>7</v>
      </c>
      <c r="AL180" s="25">
        <v>0</v>
      </c>
      <c r="AM180" s="23" t="s">
        <v>206</v>
      </c>
      <c r="AN180" s="23" t="s">
        <v>92</v>
      </c>
      <c r="AO180" s="25">
        <v>280</v>
      </c>
      <c r="AR180" s="32" t="str">
        <f t="shared" ref="AR180" si="358">IF(Q180&gt;0, "5 doors", IF(P180&gt;0, "4 doors", IF(O180&gt;0, "3 doors", IF(N180&gt;0, "2 doors", "1 door"))))</f>
        <v>4 doors</v>
      </c>
      <c r="AS180" s="23" t="s">
        <v>229</v>
      </c>
      <c r="AT180" s="23" t="s">
        <v>32</v>
      </c>
      <c r="AU180" s="23" t="str">
        <f t="shared" ref="AU180" si="359">IF(ISNUMBER(SEARCH("CC", E180)), "CC", "Hungary")</f>
        <v>Hungary</v>
      </c>
      <c r="AV180" s="34">
        <f t="shared" ref="AV180" si="360">(AW180*100)+AX180+(AY180/100)</f>
        <v>1500.07</v>
      </c>
      <c r="AW180" s="23">
        <v>15</v>
      </c>
      <c r="AX180" s="23">
        <v>0</v>
      </c>
      <c r="AY180" s="23">
        <v>7</v>
      </c>
    </row>
    <row r="181" spans="1:51">
      <c r="A181" s="25">
        <v>280</v>
      </c>
      <c r="B181" s="23" t="s">
        <v>125</v>
      </c>
      <c r="C181" s="23" t="s">
        <v>124</v>
      </c>
      <c r="D181" s="23">
        <v>3</v>
      </c>
      <c r="E181" s="25" t="s">
        <v>30</v>
      </c>
      <c r="F181" s="25" t="s">
        <v>302</v>
      </c>
      <c r="G181" s="23" t="s">
        <v>27</v>
      </c>
      <c r="H181" s="23" t="s">
        <v>165</v>
      </c>
      <c r="I181" s="25">
        <v>1971</v>
      </c>
      <c r="J181" s="35">
        <v>30</v>
      </c>
      <c r="K181" s="35">
        <v>40</v>
      </c>
      <c r="L181" s="35">
        <v>20</v>
      </c>
      <c r="M181" s="25">
        <v>10</v>
      </c>
      <c r="N181" s="25">
        <v>10</v>
      </c>
      <c r="O181" s="25">
        <v>10</v>
      </c>
      <c r="R181" s="30">
        <f t="shared" si="151"/>
        <v>30</v>
      </c>
      <c r="S181" s="37">
        <v>1</v>
      </c>
      <c r="T181" s="30">
        <f t="shared" si="339"/>
        <v>18.730857142857143</v>
      </c>
      <c r="U181" s="37">
        <v>1</v>
      </c>
      <c r="V181" s="30">
        <f t="shared" si="338"/>
        <v>23.492190476190476</v>
      </c>
      <c r="W181" s="25">
        <v>78</v>
      </c>
      <c r="X181" s="31">
        <f t="shared" si="152"/>
        <v>191.76000000000002</v>
      </c>
      <c r="Y181" s="25">
        <v>141</v>
      </c>
      <c r="Z181" s="25">
        <v>14</v>
      </c>
      <c r="AA181" s="25">
        <v>116</v>
      </c>
      <c r="AB181" s="37">
        <v>1</v>
      </c>
      <c r="AC181" s="30">
        <f t="shared" si="326"/>
        <v>200</v>
      </c>
      <c r="AD181" s="31">
        <f t="shared" si="153"/>
        <v>8</v>
      </c>
      <c r="AE181" s="31" t="str">
        <f t="shared" si="154"/>
        <v/>
      </c>
      <c r="AF181" s="31">
        <f t="shared" si="155"/>
        <v>7</v>
      </c>
      <c r="AG181" s="31" t="str">
        <f t="shared" si="156"/>
        <v/>
      </c>
      <c r="AH181" s="31" t="str">
        <f t="shared" si="157"/>
        <v/>
      </c>
      <c r="AI181" s="31" t="str">
        <f t="shared" si="158"/>
        <v/>
      </c>
      <c r="AJ181" s="25">
        <v>8</v>
      </c>
      <c r="AK181" s="25">
        <v>7</v>
      </c>
      <c r="AL181" s="25">
        <v>0</v>
      </c>
      <c r="AM181" s="23" t="s">
        <v>206</v>
      </c>
      <c r="AN181" s="23" t="s">
        <v>92</v>
      </c>
      <c r="AO181" s="25">
        <v>280</v>
      </c>
      <c r="AR181" s="32" t="str">
        <f t="shared" si="159"/>
        <v>3 doors</v>
      </c>
      <c r="AT181" s="23" t="s">
        <v>270</v>
      </c>
      <c r="AU181" s="23" t="str">
        <f t="shared" si="107"/>
        <v>CC</v>
      </c>
      <c r="AV181" s="34">
        <f t="shared" si="160"/>
        <v>1510</v>
      </c>
      <c r="AW181" s="23">
        <v>15</v>
      </c>
      <c r="AX181" s="23">
        <v>10</v>
      </c>
      <c r="AY181" s="23">
        <v>0</v>
      </c>
    </row>
    <row r="182" spans="1:51">
      <c r="A182" s="25">
        <v>280</v>
      </c>
      <c r="B182" s="23" t="s">
        <v>125</v>
      </c>
      <c r="C182" s="23" t="s">
        <v>124</v>
      </c>
      <c r="D182" s="23">
        <v>3</v>
      </c>
      <c r="E182" s="25" t="s">
        <v>42</v>
      </c>
      <c r="F182" s="25" t="s">
        <v>303</v>
      </c>
      <c r="G182" s="23" t="s">
        <v>27</v>
      </c>
      <c r="H182" s="23" t="s">
        <v>165</v>
      </c>
      <c r="I182" s="25">
        <v>1971</v>
      </c>
      <c r="J182" s="35">
        <v>30</v>
      </c>
      <c r="K182" s="35">
        <v>40</v>
      </c>
      <c r="L182" s="35">
        <v>20</v>
      </c>
      <c r="M182" s="25">
        <v>10</v>
      </c>
      <c r="N182" s="25">
        <v>10</v>
      </c>
      <c r="O182" s="25">
        <v>10</v>
      </c>
      <c r="R182" s="30">
        <f t="shared" ref="R182:R186" si="361">SUM(M182:Q182)</f>
        <v>30</v>
      </c>
      <c r="S182" s="37">
        <v>1</v>
      </c>
      <c r="T182" s="30">
        <f t="shared" si="339"/>
        <v>18.730857142857143</v>
      </c>
      <c r="U182" s="37">
        <v>1</v>
      </c>
      <c r="V182" s="30">
        <f t="shared" si="338"/>
        <v>23.492190476190476</v>
      </c>
      <c r="W182" s="25">
        <v>78</v>
      </c>
      <c r="X182" s="31">
        <f t="shared" ref="X182:X186" si="362">Y182*1.36</f>
        <v>191.76000000000002</v>
      </c>
      <c r="Y182" s="25">
        <v>141</v>
      </c>
      <c r="Z182" s="25">
        <v>14</v>
      </c>
      <c r="AA182" s="25">
        <v>116</v>
      </c>
      <c r="AB182" s="37">
        <v>1</v>
      </c>
      <c r="AC182" s="30">
        <f t="shared" si="326"/>
        <v>200</v>
      </c>
      <c r="AD182" s="31">
        <f t="shared" ref="AD182:AD186" si="363">IF(AJ182&gt;8, AJ182-8, AJ182)</f>
        <v>8</v>
      </c>
      <c r="AE182" s="31" t="str">
        <f t="shared" ref="AE182:AE186" si="364">IF(AJ182&gt;8, 8, "")</f>
        <v/>
      </c>
      <c r="AF182" s="31">
        <f t="shared" ref="AF182:AF186" si="365">IF(AK182&gt;8, AK182-8, IF(AK182=0, "", AK182))</f>
        <v>7</v>
      </c>
      <c r="AG182" s="31" t="str">
        <f t="shared" ref="AG182:AG186" si="366">IF(AK182&gt;8, 8, "")</f>
        <v/>
      </c>
      <c r="AH182" s="31" t="str">
        <f t="shared" ref="AH182:AH186" si="367">IF(AL182&gt;8, AL182-8, IF(AL182=0, "", AL182))</f>
        <v/>
      </c>
      <c r="AI182" s="31" t="str">
        <f t="shared" ref="AI182:AI186" si="368">IF(AL182&gt;8, 8, "")</f>
        <v/>
      </c>
      <c r="AJ182" s="25">
        <v>8</v>
      </c>
      <c r="AK182" s="25">
        <v>7</v>
      </c>
      <c r="AL182" s="25">
        <v>0</v>
      </c>
      <c r="AM182" s="23" t="s">
        <v>206</v>
      </c>
      <c r="AN182" s="23" t="s">
        <v>92</v>
      </c>
      <c r="AO182" s="25">
        <v>280</v>
      </c>
      <c r="AR182" s="32" t="str">
        <f t="shared" ref="AR182:AR186" si="369">IF(Q182&gt;0, "5 doors", IF(P182&gt;0, "4 doors", IF(O182&gt;0, "3 doors", IF(N182&gt;0, "2 doors", "1 door"))))</f>
        <v>3 doors</v>
      </c>
      <c r="AT182" s="23" t="s">
        <v>270</v>
      </c>
      <c r="AU182" s="23" t="str">
        <f t="shared" ref="AU182:AU186" si="370">IF(ISNUMBER(SEARCH("CC", E182)), "CC", "Hungary")</f>
        <v>CC</v>
      </c>
      <c r="AV182" s="34">
        <f t="shared" ref="AV182:AV186" si="371">(AW182*100)+AX182+(AY182/100)</f>
        <v>1510.01</v>
      </c>
      <c r="AW182" s="23">
        <v>15</v>
      </c>
      <c r="AX182" s="23">
        <v>10</v>
      </c>
      <c r="AY182" s="23">
        <v>1</v>
      </c>
    </row>
    <row r="183" spans="1:51">
      <c r="A183" s="25">
        <v>280</v>
      </c>
      <c r="B183" s="23" t="s">
        <v>125</v>
      </c>
      <c r="C183" s="23" t="s">
        <v>124</v>
      </c>
      <c r="D183" s="23">
        <v>3</v>
      </c>
      <c r="E183" s="25" t="s">
        <v>43</v>
      </c>
      <c r="F183" s="25" t="s">
        <v>304</v>
      </c>
      <c r="G183" s="23" t="s">
        <v>27</v>
      </c>
      <c r="H183" s="23" t="s">
        <v>165</v>
      </c>
      <c r="I183" s="25">
        <v>1971</v>
      </c>
      <c r="J183" s="35">
        <v>30</v>
      </c>
      <c r="K183" s="35">
        <v>40</v>
      </c>
      <c r="L183" s="35">
        <v>20</v>
      </c>
      <c r="M183" s="25">
        <v>10</v>
      </c>
      <c r="N183" s="25">
        <v>10</v>
      </c>
      <c r="O183" s="25">
        <v>10</v>
      </c>
      <c r="R183" s="30">
        <f t="shared" si="361"/>
        <v>30</v>
      </c>
      <c r="S183" s="37">
        <v>1</v>
      </c>
      <c r="T183" s="30">
        <f t="shared" si="339"/>
        <v>18.730857142857143</v>
      </c>
      <c r="U183" s="37">
        <v>1</v>
      </c>
      <c r="V183" s="30">
        <f t="shared" si="338"/>
        <v>23.492190476190476</v>
      </c>
      <c r="W183" s="25">
        <v>78</v>
      </c>
      <c r="X183" s="31">
        <f t="shared" si="362"/>
        <v>191.76000000000002</v>
      </c>
      <c r="Y183" s="25">
        <v>141</v>
      </c>
      <c r="Z183" s="25">
        <v>14</v>
      </c>
      <c r="AA183" s="25">
        <v>116</v>
      </c>
      <c r="AB183" s="37">
        <v>1</v>
      </c>
      <c r="AC183" s="30">
        <f t="shared" si="326"/>
        <v>200</v>
      </c>
      <c r="AD183" s="31">
        <f t="shared" si="363"/>
        <v>8</v>
      </c>
      <c r="AE183" s="31" t="str">
        <f t="shared" si="364"/>
        <v/>
      </c>
      <c r="AF183" s="31">
        <f t="shared" si="365"/>
        <v>7</v>
      </c>
      <c r="AG183" s="31" t="str">
        <f t="shared" si="366"/>
        <v/>
      </c>
      <c r="AH183" s="31" t="str">
        <f t="shared" si="367"/>
        <v/>
      </c>
      <c r="AI183" s="31" t="str">
        <f t="shared" si="368"/>
        <v/>
      </c>
      <c r="AJ183" s="25">
        <v>8</v>
      </c>
      <c r="AK183" s="25">
        <v>7</v>
      </c>
      <c r="AL183" s="25">
        <v>0</v>
      </c>
      <c r="AM183" s="23" t="s">
        <v>206</v>
      </c>
      <c r="AN183" s="23" t="s">
        <v>92</v>
      </c>
      <c r="AO183" s="25">
        <v>280</v>
      </c>
      <c r="AR183" s="32" t="str">
        <f t="shared" si="369"/>
        <v>3 doors</v>
      </c>
      <c r="AT183" s="23" t="s">
        <v>270</v>
      </c>
      <c r="AU183" s="23" t="str">
        <f t="shared" si="370"/>
        <v>CC</v>
      </c>
      <c r="AV183" s="34">
        <f t="shared" si="371"/>
        <v>1510.02</v>
      </c>
      <c r="AW183" s="23">
        <v>15</v>
      </c>
      <c r="AX183" s="23">
        <v>10</v>
      </c>
      <c r="AY183" s="23">
        <v>2</v>
      </c>
    </row>
    <row r="184" spans="1:51">
      <c r="A184" s="25">
        <v>280</v>
      </c>
      <c r="B184" s="23" t="s">
        <v>125</v>
      </c>
      <c r="C184" s="23" t="s">
        <v>124</v>
      </c>
      <c r="D184" s="23">
        <v>3</v>
      </c>
      <c r="E184" s="25" t="s">
        <v>284</v>
      </c>
      <c r="F184" s="25" t="s">
        <v>305</v>
      </c>
      <c r="G184" s="23" t="s">
        <v>27</v>
      </c>
      <c r="H184" s="23" t="s">
        <v>165</v>
      </c>
      <c r="I184" s="25">
        <v>1971</v>
      </c>
      <c r="J184" s="35">
        <v>30</v>
      </c>
      <c r="K184" s="35">
        <v>40</v>
      </c>
      <c r="L184" s="35">
        <v>20</v>
      </c>
      <c r="M184" s="25">
        <v>10</v>
      </c>
      <c r="N184" s="25">
        <v>10</v>
      </c>
      <c r="O184" s="25">
        <v>10</v>
      </c>
      <c r="R184" s="30">
        <f t="shared" si="361"/>
        <v>30</v>
      </c>
      <c r="S184" s="37">
        <v>1</v>
      </c>
      <c r="T184" s="30">
        <f t="shared" si="339"/>
        <v>18.730857142857143</v>
      </c>
      <c r="U184" s="37">
        <v>1</v>
      </c>
      <c r="V184" s="30">
        <f t="shared" si="338"/>
        <v>23.492190476190476</v>
      </c>
      <c r="W184" s="25">
        <v>78</v>
      </c>
      <c r="X184" s="31">
        <f t="shared" si="362"/>
        <v>191.76000000000002</v>
      </c>
      <c r="Y184" s="25">
        <v>141</v>
      </c>
      <c r="Z184" s="25">
        <v>14</v>
      </c>
      <c r="AA184" s="25">
        <v>116</v>
      </c>
      <c r="AB184" s="37">
        <v>1</v>
      </c>
      <c r="AC184" s="30">
        <f t="shared" si="326"/>
        <v>200</v>
      </c>
      <c r="AD184" s="31">
        <f t="shared" si="363"/>
        <v>8</v>
      </c>
      <c r="AE184" s="31" t="str">
        <f t="shared" si="364"/>
        <v/>
      </c>
      <c r="AF184" s="31">
        <f t="shared" si="365"/>
        <v>7</v>
      </c>
      <c r="AG184" s="31" t="str">
        <f t="shared" si="366"/>
        <v/>
      </c>
      <c r="AH184" s="31" t="str">
        <f t="shared" si="367"/>
        <v/>
      </c>
      <c r="AI184" s="31" t="str">
        <f t="shared" si="368"/>
        <v/>
      </c>
      <c r="AJ184" s="25">
        <v>8</v>
      </c>
      <c r="AK184" s="25">
        <v>7</v>
      </c>
      <c r="AL184" s="25">
        <v>0</v>
      </c>
      <c r="AM184" s="23" t="s">
        <v>206</v>
      </c>
      <c r="AN184" s="23" t="s">
        <v>92</v>
      </c>
      <c r="AO184" s="25">
        <v>280</v>
      </c>
      <c r="AR184" s="32" t="str">
        <f t="shared" si="369"/>
        <v>3 doors</v>
      </c>
      <c r="AT184" s="23" t="s">
        <v>270</v>
      </c>
      <c r="AU184" s="23" t="str">
        <f t="shared" si="370"/>
        <v>CC</v>
      </c>
      <c r="AV184" s="34">
        <f t="shared" si="371"/>
        <v>1510.03</v>
      </c>
      <c r="AW184" s="23">
        <v>15</v>
      </c>
      <c r="AX184" s="23">
        <v>10</v>
      </c>
      <c r="AY184" s="23">
        <v>3</v>
      </c>
    </row>
    <row r="185" spans="1:51">
      <c r="A185" s="25">
        <v>280</v>
      </c>
      <c r="B185" s="23" t="s">
        <v>125</v>
      </c>
      <c r="C185" s="23" t="s">
        <v>124</v>
      </c>
      <c r="D185" s="23">
        <v>3</v>
      </c>
      <c r="E185" s="25" t="s">
        <v>285</v>
      </c>
      <c r="F185" s="25" t="s">
        <v>306</v>
      </c>
      <c r="G185" s="23" t="s">
        <v>27</v>
      </c>
      <c r="H185" s="23" t="s">
        <v>165</v>
      </c>
      <c r="I185" s="25">
        <v>1971</v>
      </c>
      <c r="J185" s="35">
        <v>30</v>
      </c>
      <c r="K185" s="35">
        <v>40</v>
      </c>
      <c r="L185" s="35">
        <v>20</v>
      </c>
      <c r="M185" s="25">
        <v>10</v>
      </c>
      <c r="N185" s="25">
        <v>10</v>
      </c>
      <c r="O185" s="25">
        <v>10</v>
      </c>
      <c r="R185" s="30">
        <f t="shared" si="361"/>
        <v>30</v>
      </c>
      <c r="S185" s="37">
        <v>1</v>
      </c>
      <c r="T185" s="30">
        <f t="shared" si="339"/>
        <v>18.730857142857143</v>
      </c>
      <c r="U185" s="37">
        <v>1</v>
      </c>
      <c r="V185" s="30">
        <f t="shared" si="338"/>
        <v>23.492190476190476</v>
      </c>
      <c r="W185" s="25">
        <v>78</v>
      </c>
      <c r="X185" s="31">
        <f t="shared" si="362"/>
        <v>191.76000000000002</v>
      </c>
      <c r="Y185" s="25">
        <v>141</v>
      </c>
      <c r="Z185" s="25">
        <v>14</v>
      </c>
      <c r="AA185" s="25">
        <v>116</v>
      </c>
      <c r="AB185" s="37">
        <v>1</v>
      </c>
      <c r="AC185" s="30">
        <f t="shared" si="326"/>
        <v>200</v>
      </c>
      <c r="AD185" s="31">
        <f t="shared" si="363"/>
        <v>8</v>
      </c>
      <c r="AE185" s="31" t="str">
        <f t="shared" si="364"/>
        <v/>
      </c>
      <c r="AF185" s="31">
        <f t="shared" si="365"/>
        <v>7</v>
      </c>
      <c r="AG185" s="31" t="str">
        <f t="shared" si="366"/>
        <v/>
      </c>
      <c r="AH185" s="31" t="str">
        <f t="shared" si="367"/>
        <v/>
      </c>
      <c r="AI185" s="31" t="str">
        <f t="shared" si="368"/>
        <v/>
      </c>
      <c r="AJ185" s="25">
        <v>8</v>
      </c>
      <c r="AK185" s="25">
        <v>7</v>
      </c>
      <c r="AL185" s="25">
        <v>0</v>
      </c>
      <c r="AM185" s="23" t="s">
        <v>206</v>
      </c>
      <c r="AN185" s="23" t="s">
        <v>92</v>
      </c>
      <c r="AO185" s="25">
        <v>280</v>
      </c>
      <c r="AR185" s="32" t="str">
        <f t="shared" si="369"/>
        <v>3 doors</v>
      </c>
      <c r="AT185" s="23" t="s">
        <v>270</v>
      </c>
      <c r="AU185" s="23" t="str">
        <f t="shared" si="370"/>
        <v>CC</v>
      </c>
      <c r="AV185" s="34">
        <f t="shared" si="371"/>
        <v>1510.04</v>
      </c>
      <c r="AW185" s="23">
        <v>15</v>
      </c>
      <c r="AX185" s="23">
        <v>10</v>
      </c>
      <c r="AY185" s="23">
        <v>4</v>
      </c>
    </row>
    <row r="186" spans="1:51">
      <c r="A186" s="25">
        <v>280</v>
      </c>
      <c r="B186" s="23" t="s">
        <v>125</v>
      </c>
      <c r="C186" s="23" t="s">
        <v>124</v>
      </c>
      <c r="D186" s="23">
        <v>3</v>
      </c>
      <c r="E186" s="25" t="s">
        <v>286</v>
      </c>
      <c r="F186" s="25" t="s">
        <v>307</v>
      </c>
      <c r="G186" s="23" t="s">
        <v>27</v>
      </c>
      <c r="H186" s="23" t="s">
        <v>165</v>
      </c>
      <c r="I186" s="25">
        <v>1971</v>
      </c>
      <c r="J186" s="35">
        <v>30</v>
      </c>
      <c r="K186" s="35">
        <v>40</v>
      </c>
      <c r="L186" s="35">
        <v>20</v>
      </c>
      <c r="M186" s="25">
        <v>10</v>
      </c>
      <c r="N186" s="25">
        <v>10</v>
      </c>
      <c r="O186" s="25">
        <v>10</v>
      </c>
      <c r="R186" s="30">
        <f t="shared" si="361"/>
        <v>30</v>
      </c>
      <c r="S186" s="37">
        <v>1</v>
      </c>
      <c r="T186" s="30">
        <f t="shared" si="339"/>
        <v>18.730857142857143</v>
      </c>
      <c r="U186" s="37">
        <v>1</v>
      </c>
      <c r="V186" s="30">
        <f t="shared" si="338"/>
        <v>23.492190476190476</v>
      </c>
      <c r="W186" s="25">
        <v>78</v>
      </c>
      <c r="X186" s="31">
        <f t="shared" si="362"/>
        <v>191.76000000000002</v>
      </c>
      <c r="Y186" s="25">
        <v>141</v>
      </c>
      <c r="Z186" s="25">
        <v>14</v>
      </c>
      <c r="AA186" s="25">
        <v>116</v>
      </c>
      <c r="AB186" s="37">
        <v>1</v>
      </c>
      <c r="AC186" s="30">
        <f t="shared" si="326"/>
        <v>200</v>
      </c>
      <c r="AD186" s="31">
        <f t="shared" si="363"/>
        <v>8</v>
      </c>
      <c r="AE186" s="31" t="str">
        <f t="shared" si="364"/>
        <v/>
      </c>
      <c r="AF186" s="31">
        <f t="shared" si="365"/>
        <v>7</v>
      </c>
      <c r="AG186" s="31" t="str">
        <f t="shared" si="366"/>
        <v/>
      </c>
      <c r="AH186" s="31" t="str">
        <f t="shared" si="367"/>
        <v/>
      </c>
      <c r="AI186" s="31" t="str">
        <f t="shared" si="368"/>
        <v/>
      </c>
      <c r="AJ186" s="25">
        <v>8</v>
      </c>
      <c r="AK186" s="25">
        <v>7</v>
      </c>
      <c r="AL186" s="25">
        <v>0</v>
      </c>
      <c r="AM186" s="23" t="s">
        <v>206</v>
      </c>
      <c r="AN186" s="23" t="s">
        <v>92</v>
      </c>
      <c r="AO186" s="25">
        <v>280</v>
      </c>
      <c r="AR186" s="32" t="str">
        <f t="shared" si="369"/>
        <v>3 doors</v>
      </c>
      <c r="AT186" s="23" t="s">
        <v>270</v>
      </c>
      <c r="AU186" s="23" t="str">
        <f t="shared" si="370"/>
        <v>CC</v>
      </c>
      <c r="AV186" s="34">
        <f t="shared" si="371"/>
        <v>1510.05</v>
      </c>
      <c r="AW186" s="23">
        <v>15</v>
      </c>
      <c r="AX186" s="23">
        <v>10</v>
      </c>
      <c r="AY186" s="23">
        <v>5</v>
      </c>
    </row>
    <row r="187" spans="1:51">
      <c r="A187" s="25">
        <v>280</v>
      </c>
      <c r="B187" s="23" t="s">
        <v>125</v>
      </c>
      <c r="C187" s="23" t="s">
        <v>290</v>
      </c>
      <c r="D187" s="23">
        <v>2</v>
      </c>
      <c r="E187" s="25" t="s">
        <v>30</v>
      </c>
      <c r="F187" s="25" t="s">
        <v>302</v>
      </c>
      <c r="G187" s="23" t="s">
        <v>27</v>
      </c>
      <c r="H187" s="23" t="s">
        <v>291</v>
      </c>
      <c r="I187" s="25">
        <v>1971</v>
      </c>
      <c r="J187" s="35">
        <v>30</v>
      </c>
      <c r="K187" s="35">
        <v>40</v>
      </c>
      <c r="L187" s="35">
        <v>20</v>
      </c>
      <c r="M187" s="25">
        <v>10</v>
      </c>
      <c r="N187" s="25">
        <v>10</v>
      </c>
      <c r="R187" s="30">
        <f t="shared" ref="R187" si="372">SUM(M187:Q187)</f>
        <v>20</v>
      </c>
      <c r="S187" s="37">
        <v>1</v>
      </c>
      <c r="T187" s="30">
        <f t="shared" si="339"/>
        <v>18.016571428571428</v>
      </c>
      <c r="U187" s="37">
        <v>1</v>
      </c>
      <c r="V187" s="30">
        <f t="shared" si="338"/>
        <v>22.777904761904761</v>
      </c>
      <c r="W187" s="25">
        <v>78</v>
      </c>
      <c r="X187" s="31">
        <f t="shared" ref="X187" si="373">Y187*1.36</f>
        <v>191.76000000000002</v>
      </c>
      <c r="Y187" s="25">
        <v>141</v>
      </c>
      <c r="Z187" s="25">
        <v>14</v>
      </c>
      <c r="AA187" s="25">
        <v>116</v>
      </c>
      <c r="AB187" s="37">
        <v>1</v>
      </c>
      <c r="AC187" s="30">
        <f t="shared" si="326"/>
        <v>200</v>
      </c>
      <c r="AD187" s="31">
        <f t="shared" ref="AD187" si="374">IF(AJ187&gt;8, AJ187-8, AJ187)</f>
        <v>8</v>
      </c>
      <c r="AE187" s="31" t="str">
        <f t="shared" ref="AE187" si="375">IF(AJ187&gt;8, 8, "")</f>
        <v/>
      </c>
      <c r="AF187" s="31">
        <f t="shared" ref="AF187" si="376">IF(AK187&gt;8, AK187-8, IF(AK187=0, "", AK187))</f>
        <v>7</v>
      </c>
      <c r="AG187" s="31" t="str">
        <f t="shared" ref="AG187" si="377">IF(AK187&gt;8, 8, "")</f>
        <v/>
      </c>
      <c r="AH187" s="31" t="str">
        <f t="shared" ref="AH187" si="378">IF(AL187&gt;8, AL187-8, IF(AL187=0, "", AL187))</f>
        <v/>
      </c>
      <c r="AI187" s="31" t="str">
        <f t="shared" ref="AI187" si="379">IF(AL187&gt;8, 8, "")</f>
        <v/>
      </c>
      <c r="AJ187" s="25">
        <v>8</v>
      </c>
      <c r="AK187" s="25">
        <v>7</v>
      </c>
      <c r="AL187" s="25">
        <v>0</v>
      </c>
      <c r="AM187" s="23" t="s">
        <v>206</v>
      </c>
      <c r="AN187" s="23" t="s">
        <v>92</v>
      </c>
      <c r="AO187" s="25">
        <v>280</v>
      </c>
      <c r="AR187" s="32" t="str">
        <f t="shared" ref="AR187" si="380">IF(Q187&gt;0, "5 doors", IF(P187&gt;0, "4 doors", IF(O187&gt;0, "3 doors", IF(N187&gt;0, "2 doors", "1 door"))))</f>
        <v>2 doors</v>
      </c>
      <c r="AS187" s="23" t="s">
        <v>290</v>
      </c>
      <c r="AT187" s="23" t="s">
        <v>270</v>
      </c>
      <c r="AU187" s="23" t="str">
        <f t="shared" ref="AU187" si="381">IF(ISNUMBER(SEARCH("CC", E187)), "CC", "Hungary")</f>
        <v>CC</v>
      </c>
      <c r="AV187" s="34">
        <f t="shared" ref="AV187" si="382">(AW187*100)+AX187+(AY187/100)</f>
        <v>1511</v>
      </c>
      <c r="AW187" s="23">
        <v>15</v>
      </c>
      <c r="AX187" s="23">
        <v>11</v>
      </c>
      <c r="AY187" s="23">
        <v>0</v>
      </c>
    </row>
    <row r="188" spans="1:51">
      <c r="A188" s="25">
        <v>280</v>
      </c>
      <c r="B188" s="23" t="s">
        <v>125</v>
      </c>
      <c r="C188" s="23" t="s">
        <v>290</v>
      </c>
      <c r="D188" s="23">
        <v>2</v>
      </c>
      <c r="E188" s="25" t="s">
        <v>42</v>
      </c>
      <c r="F188" s="25" t="s">
        <v>303</v>
      </c>
      <c r="G188" s="23" t="s">
        <v>27</v>
      </c>
      <c r="H188" s="23" t="s">
        <v>291</v>
      </c>
      <c r="I188" s="25">
        <v>1971</v>
      </c>
      <c r="J188" s="35">
        <v>30</v>
      </c>
      <c r="K188" s="35">
        <v>40</v>
      </c>
      <c r="L188" s="35">
        <v>20</v>
      </c>
      <c r="M188" s="25">
        <v>10</v>
      </c>
      <c r="N188" s="25">
        <v>10</v>
      </c>
      <c r="R188" s="30">
        <f t="shared" ref="R188:R193" si="383">SUM(M188:Q188)</f>
        <v>20</v>
      </c>
      <c r="S188" s="37">
        <v>1</v>
      </c>
      <c r="T188" s="30">
        <f t="shared" si="339"/>
        <v>18.016571428571428</v>
      </c>
      <c r="U188" s="37">
        <v>1</v>
      </c>
      <c r="V188" s="30">
        <f t="shared" si="338"/>
        <v>22.777904761904761</v>
      </c>
      <c r="W188" s="25">
        <v>78</v>
      </c>
      <c r="X188" s="31">
        <f t="shared" ref="X188:X193" si="384">Y188*1.36</f>
        <v>191.76000000000002</v>
      </c>
      <c r="Y188" s="25">
        <v>141</v>
      </c>
      <c r="Z188" s="25">
        <v>14</v>
      </c>
      <c r="AA188" s="25">
        <v>116</v>
      </c>
      <c r="AB188" s="37">
        <v>1</v>
      </c>
      <c r="AC188" s="30">
        <f t="shared" si="326"/>
        <v>200</v>
      </c>
      <c r="AD188" s="31">
        <f t="shared" ref="AD188:AD193" si="385">IF(AJ188&gt;8, AJ188-8, AJ188)</f>
        <v>8</v>
      </c>
      <c r="AE188" s="31" t="str">
        <f t="shared" ref="AE188:AE193" si="386">IF(AJ188&gt;8, 8, "")</f>
        <v/>
      </c>
      <c r="AF188" s="31">
        <f t="shared" ref="AF188:AF193" si="387">IF(AK188&gt;8, AK188-8, IF(AK188=0, "", AK188))</f>
        <v>7</v>
      </c>
      <c r="AG188" s="31" t="str">
        <f t="shared" ref="AG188:AG193" si="388">IF(AK188&gt;8, 8, "")</f>
        <v/>
      </c>
      <c r="AH188" s="31" t="str">
        <f t="shared" ref="AH188:AH193" si="389">IF(AL188&gt;8, AL188-8, IF(AL188=0, "", AL188))</f>
        <v/>
      </c>
      <c r="AI188" s="31" t="str">
        <f t="shared" ref="AI188:AI193" si="390">IF(AL188&gt;8, 8, "")</f>
        <v/>
      </c>
      <c r="AJ188" s="25">
        <v>8</v>
      </c>
      <c r="AK188" s="25">
        <v>7</v>
      </c>
      <c r="AL188" s="25">
        <v>0</v>
      </c>
      <c r="AM188" s="23" t="s">
        <v>206</v>
      </c>
      <c r="AN188" s="23" t="s">
        <v>92</v>
      </c>
      <c r="AO188" s="25">
        <v>280</v>
      </c>
      <c r="AR188" s="32" t="str">
        <f t="shared" ref="AR188:AR193" si="391">IF(Q188&gt;0, "5 doors", IF(P188&gt;0, "4 doors", IF(O188&gt;0, "3 doors", IF(N188&gt;0, "2 doors", "1 door"))))</f>
        <v>2 doors</v>
      </c>
      <c r="AS188" s="23" t="s">
        <v>290</v>
      </c>
      <c r="AT188" s="23" t="s">
        <v>270</v>
      </c>
      <c r="AU188" s="23" t="str">
        <f t="shared" ref="AU188:AU193" si="392">IF(ISNUMBER(SEARCH("CC", E188)), "CC", "Hungary")</f>
        <v>CC</v>
      </c>
      <c r="AV188" s="34">
        <f t="shared" ref="AV188:AV193" si="393">(AW188*100)+AX188+(AY188/100)</f>
        <v>1511.01</v>
      </c>
      <c r="AW188" s="23">
        <v>15</v>
      </c>
      <c r="AX188" s="23">
        <v>11</v>
      </c>
      <c r="AY188" s="23">
        <v>1</v>
      </c>
    </row>
    <row r="189" spans="1:51">
      <c r="A189" s="25">
        <v>280</v>
      </c>
      <c r="B189" s="23" t="s">
        <v>125</v>
      </c>
      <c r="C189" s="23" t="s">
        <v>290</v>
      </c>
      <c r="D189" s="23">
        <v>2</v>
      </c>
      <c r="E189" s="25" t="s">
        <v>43</v>
      </c>
      <c r="F189" s="25" t="s">
        <v>304</v>
      </c>
      <c r="G189" s="23" t="s">
        <v>27</v>
      </c>
      <c r="H189" s="23" t="s">
        <v>291</v>
      </c>
      <c r="I189" s="25">
        <v>1971</v>
      </c>
      <c r="J189" s="35">
        <v>30</v>
      </c>
      <c r="K189" s="35">
        <v>40</v>
      </c>
      <c r="L189" s="35">
        <v>20</v>
      </c>
      <c r="M189" s="25">
        <v>10</v>
      </c>
      <c r="N189" s="25">
        <v>10</v>
      </c>
      <c r="R189" s="30">
        <f t="shared" si="383"/>
        <v>20</v>
      </c>
      <c r="S189" s="37">
        <v>1</v>
      </c>
      <c r="T189" s="30">
        <f t="shared" si="339"/>
        <v>18.016571428571428</v>
      </c>
      <c r="U189" s="37">
        <v>1</v>
      </c>
      <c r="V189" s="30">
        <f t="shared" si="338"/>
        <v>22.777904761904761</v>
      </c>
      <c r="W189" s="25">
        <v>78</v>
      </c>
      <c r="X189" s="31">
        <f t="shared" si="384"/>
        <v>191.76000000000002</v>
      </c>
      <c r="Y189" s="25">
        <v>141</v>
      </c>
      <c r="Z189" s="25">
        <v>14</v>
      </c>
      <c r="AA189" s="25">
        <v>116</v>
      </c>
      <c r="AB189" s="37">
        <v>1</v>
      </c>
      <c r="AC189" s="30">
        <f t="shared" si="326"/>
        <v>200</v>
      </c>
      <c r="AD189" s="31">
        <f t="shared" si="385"/>
        <v>8</v>
      </c>
      <c r="AE189" s="31" t="str">
        <f t="shared" si="386"/>
        <v/>
      </c>
      <c r="AF189" s="31">
        <f t="shared" si="387"/>
        <v>7</v>
      </c>
      <c r="AG189" s="31" t="str">
        <f t="shared" si="388"/>
        <v/>
      </c>
      <c r="AH189" s="31" t="str">
        <f t="shared" si="389"/>
        <v/>
      </c>
      <c r="AI189" s="31" t="str">
        <f t="shared" si="390"/>
        <v/>
      </c>
      <c r="AJ189" s="25">
        <v>8</v>
      </c>
      <c r="AK189" s="25">
        <v>7</v>
      </c>
      <c r="AL189" s="25">
        <v>0</v>
      </c>
      <c r="AM189" s="23" t="s">
        <v>206</v>
      </c>
      <c r="AN189" s="23" t="s">
        <v>92</v>
      </c>
      <c r="AO189" s="25">
        <v>280</v>
      </c>
      <c r="AR189" s="32" t="str">
        <f t="shared" si="391"/>
        <v>2 doors</v>
      </c>
      <c r="AS189" s="23" t="s">
        <v>290</v>
      </c>
      <c r="AT189" s="23" t="s">
        <v>270</v>
      </c>
      <c r="AU189" s="23" t="str">
        <f t="shared" si="392"/>
        <v>CC</v>
      </c>
      <c r="AV189" s="34">
        <f t="shared" si="393"/>
        <v>1511.02</v>
      </c>
      <c r="AW189" s="23">
        <v>15</v>
      </c>
      <c r="AX189" s="23">
        <v>11</v>
      </c>
      <c r="AY189" s="23">
        <v>2</v>
      </c>
    </row>
    <row r="190" spans="1:51">
      <c r="A190" s="25">
        <v>280</v>
      </c>
      <c r="B190" s="23" t="s">
        <v>125</v>
      </c>
      <c r="C190" s="23" t="s">
        <v>290</v>
      </c>
      <c r="D190" s="23">
        <v>2</v>
      </c>
      <c r="E190" s="25" t="s">
        <v>284</v>
      </c>
      <c r="F190" s="25" t="s">
        <v>305</v>
      </c>
      <c r="G190" s="23" t="s">
        <v>27</v>
      </c>
      <c r="H190" s="23" t="s">
        <v>291</v>
      </c>
      <c r="I190" s="25">
        <v>1971</v>
      </c>
      <c r="J190" s="35">
        <v>30</v>
      </c>
      <c r="K190" s="35">
        <v>40</v>
      </c>
      <c r="L190" s="35">
        <v>20</v>
      </c>
      <c r="M190" s="25">
        <v>10</v>
      </c>
      <c r="N190" s="25">
        <v>10</v>
      </c>
      <c r="R190" s="30">
        <f t="shared" si="383"/>
        <v>20</v>
      </c>
      <c r="S190" s="37">
        <v>1</v>
      </c>
      <c r="T190" s="30">
        <f t="shared" si="339"/>
        <v>18.016571428571428</v>
      </c>
      <c r="U190" s="37">
        <v>1</v>
      </c>
      <c r="V190" s="30">
        <f t="shared" si="338"/>
        <v>22.777904761904761</v>
      </c>
      <c r="W190" s="25">
        <v>78</v>
      </c>
      <c r="X190" s="31">
        <f t="shared" si="384"/>
        <v>191.76000000000002</v>
      </c>
      <c r="Y190" s="25">
        <v>141</v>
      </c>
      <c r="Z190" s="25">
        <v>14</v>
      </c>
      <c r="AA190" s="25">
        <v>116</v>
      </c>
      <c r="AB190" s="37">
        <v>1</v>
      </c>
      <c r="AC190" s="30">
        <f t="shared" si="326"/>
        <v>200</v>
      </c>
      <c r="AD190" s="31">
        <f t="shared" si="385"/>
        <v>8</v>
      </c>
      <c r="AE190" s="31" t="str">
        <f t="shared" si="386"/>
        <v/>
      </c>
      <c r="AF190" s="31">
        <f t="shared" si="387"/>
        <v>7</v>
      </c>
      <c r="AG190" s="31" t="str">
        <f t="shared" si="388"/>
        <v/>
      </c>
      <c r="AH190" s="31" t="str">
        <f t="shared" si="389"/>
        <v/>
      </c>
      <c r="AI190" s="31" t="str">
        <f t="shared" si="390"/>
        <v/>
      </c>
      <c r="AJ190" s="25">
        <v>8</v>
      </c>
      <c r="AK190" s="25">
        <v>7</v>
      </c>
      <c r="AL190" s="25">
        <v>0</v>
      </c>
      <c r="AM190" s="23" t="s">
        <v>206</v>
      </c>
      <c r="AN190" s="23" t="s">
        <v>92</v>
      </c>
      <c r="AO190" s="25">
        <v>280</v>
      </c>
      <c r="AR190" s="32" t="str">
        <f t="shared" si="391"/>
        <v>2 doors</v>
      </c>
      <c r="AS190" s="23" t="s">
        <v>290</v>
      </c>
      <c r="AT190" s="23" t="s">
        <v>270</v>
      </c>
      <c r="AU190" s="23" t="str">
        <f t="shared" si="392"/>
        <v>CC</v>
      </c>
      <c r="AV190" s="34">
        <f t="shared" si="393"/>
        <v>1511.03</v>
      </c>
      <c r="AW190" s="23">
        <v>15</v>
      </c>
      <c r="AX190" s="23">
        <v>11</v>
      </c>
      <c r="AY190" s="23">
        <v>3</v>
      </c>
    </row>
    <row r="191" spans="1:51">
      <c r="A191" s="25">
        <v>280</v>
      </c>
      <c r="B191" s="23" t="s">
        <v>125</v>
      </c>
      <c r="C191" s="23" t="s">
        <v>290</v>
      </c>
      <c r="D191" s="23">
        <v>2</v>
      </c>
      <c r="E191" s="25" t="s">
        <v>285</v>
      </c>
      <c r="F191" s="25" t="s">
        <v>309</v>
      </c>
      <c r="G191" s="23" t="s">
        <v>27</v>
      </c>
      <c r="H191" s="23" t="s">
        <v>291</v>
      </c>
      <c r="I191" s="25">
        <v>1971</v>
      </c>
      <c r="J191" s="35">
        <v>30</v>
      </c>
      <c r="K191" s="35">
        <v>40</v>
      </c>
      <c r="L191" s="35">
        <v>20</v>
      </c>
      <c r="M191" s="25">
        <v>10</v>
      </c>
      <c r="N191" s="25">
        <v>10</v>
      </c>
      <c r="R191" s="30">
        <f t="shared" si="383"/>
        <v>20</v>
      </c>
      <c r="S191" s="37">
        <v>1</v>
      </c>
      <c r="T191" s="30">
        <f t="shared" si="339"/>
        <v>18.016571428571428</v>
      </c>
      <c r="U191" s="37">
        <v>1</v>
      </c>
      <c r="V191" s="30">
        <f t="shared" si="338"/>
        <v>22.777904761904761</v>
      </c>
      <c r="W191" s="25">
        <v>78</v>
      </c>
      <c r="X191" s="31">
        <f t="shared" si="384"/>
        <v>191.76000000000002</v>
      </c>
      <c r="Y191" s="25">
        <v>141</v>
      </c>
      <c r="Z191" s="25">
        <v>14</v>
      </c>
      <c r="AA191" s="25">
        <v>116</v>
      </c>
      <c r="AB191" s="37">
        <v>1</v>
      </c>
      <c r="AC191" s="30">
        <f t="shared" si="326"/>
        <v>200</v>
      </c>
      <c r="AD191" s="31">
        <f t="shared" si="385"/>
        <v>8</v>
      </c>
      <c r="AE191" s="31" t="str">
        <f t="shared" si="386"/>
        <v/>
      </c>
      <c r="AF191" s="31">
        <f t="shared" si="387"/>
        <v>7</v>
      </c>
      <c r="AG191" s="31" t="str">
        <f t="shared" si="388"/>
        <v/>
      </c>
      <c r="AH191" s="31" t="str">
        <f t="shared" si="389"/>
        <v/>
      </c>
      <c r="AI191" s="31" t="str">
        <f t="shared" si="390"/>
        <v/>
      </c>
      <c r="AJ191" s="25">
        <v>8</v>
      </c>
      <c r="AK191" s="25">
        <v>7</v>
      </c>
      <c r="AL191" s="25">
        <v>0</v>
      </c>
      <c r="AM191" s="23" t="s">
        <v>206</v>
      </c>
      <c r="AN191" s="23" t="s">
        <v>92</v>
      </c>
      <c r="AO191" s="25">
        <v>280</v>
      </c>
      <c r="AR191" s="32" t="str">
        <f t="shared" si="391"/>
        <v>2 doors</v>
      </c>
      <c r="AS191" s="23" t="s">
        <v>290</v>
      </c>
      <c r="AT191" s="23" t="s">
        <v>270</v>
      </c>
      <c r="AU191" s="23" t="str">
        <f t="shared" si="392"/>
        <v>CC</v>
      </c>
      <c r="AV191" s="34">
        <f t="shared" si="393"/>
        <v>1511.04</v>
      </c>
      <c r="AW191" s="23">
        <v>15</v>
      </c>
      <c r="AX191" s="23">
        <v>11</v>
      </c>
      <c r="AY191" s="23">
        <v>4</v>
      </c>
    </row>
    <row r="192" spans="1:51">
      <c r="A192" s="25">
        <v>280</v>
      </c>
      <c r="B192" s="23" t="s">
        <v>125</v>
      </c>
      <c r="C192" s="23" t="s">
        <v>290</v>
      </c>
      <c r="D192" s="23">
        <v>2</v>
      </c>
      <c r="E192" s="25" t="s">
        <v>286</v>
      </c>
      <c r="F192" s="25" t="s">
        <v>306</v>
      </c>
      <c r="G192" s="23" t="s">
        <v>27</v>
      </c>
      <c r="H192" s="23" t="s">
        <v>291</v>
      </c>
      <c r="I192" s="25">
        <v>1971</v>
      </c>
      <c r="J192" s="35">
        <v>30</v>
      </c>
      <c r="K192" s="35">
        <v>40</v>
      </c>
      <c r="L192" s="35">
        <v>20</v>
      </c>
      <c r="M192" s="25">
        <v>10</v>
      </c>
      <c r="N192" s="25">
        <v>10</v>
      </c>
      <c r="R192" s="30">
        <f t="shared" si="383"/>
        <v>20</v>
      </c>
      <c r="S192" s="37">
        <v>1</v>
      </c>
      <c r="T192" s="30">
        <f t="shared" si="339"/>
        <v>18.016571428571428</v>
      </c>
      <c r="U192" s="37">
        <v>1</v>
      </c>
      <c r="V192" s="30">
        <f t="shared" si="338"/>
        <v>22.777904761904761</v>
      </c>
      <c r="W192" s="25">
        <v>78</v>
      </c>
      <c r="X192" s="31">
        <f t="shared" si="384"/>
        <v>191.76000000000002</v>
      </c>
      <c r="Y192" s="25">
        <v>141</v>
      </c>
      <c r="Z192" s="25">
        <v>14</v>
      </c>
      <c r="AA192" s="25">
        <v>116</v>
      </c>
      <c r="AB192" s="37">
        <v>1</v>
      </c>
      <c r="AC192" s="30">
        <f t="shared" si="326"/>
        <v>200</v>
      </c>
      <c r="AD192" s="31">
        <f t="shared" si="385"/>
        <v>8</v>
      </c>
      <c r="AE192" s="31" t="str">
        <f t="shared" si="386"/>
        <v/>
      </c>
      <c r="AF192" s="31">
        <f t="shared" si="387"/>
        <v>7</v>
      </c>
      <c r="AG192" s="31" t="str">
        <f t="shared" si="388"/>
        <v/>
      </c>
      <c r="AH192" s="31" t="str">
        <f t="shared" si="389"/>
        <v/>
      </c>
      <c r="AI192" s="31" t="str">
        <f t="shared" si="390"/>
        <v/>
      </c>
      <c r="AJ192" s="25">
        <v>8</v>
      </c>
      <c r="AK192" s="25">
        <v>7</v>
      </c>
      <c r="AL192" s="25">
        <v>0</v>
      </c>
      <c r="AM192" s="23" t="s">
        <v>206</v>
      </c>
      <c r="AN192" s="23" t="s">
        <v>92</v>
      </c>
      <c r="AO192" s="25">
        <v>280</v>
      </c>
      <c r="AR192" s="32" t="str">
        <f t="shared" si="391"/>
        <v>2 doors</v>
      </c>
      <c r="AS192" s="23" t="s">
        <v>290</v>
      </c>
      <c r="AT192" s="23" t="s">
        <v>270</v>
      </c>
      <c r="AU192" s="23" t="str">
        <f t="shared" si="392"/>
        <v>CC</v>
      </c>
      <c r="AV192" s="34">
        <f t="shared" si="393"/>
        <v>1511.05</v>
      </c>
      <c r="AW192" s="23">
        <v>15</v>
      </c>
      <c r="AX192" s="23">
        <v>11</v>
      </c>
      <c r="AY192" s="23">
        <v>5</v>
      </c>
    </row>
    <row r="193" spans="1:51">
      <c r="A193" s="25">
        <v>280</v>
      </c>
      <c r="B193" s="23" t="s">
        <v>125</v>
      </c>
      <c r="C193" s="23" t="s">
        <v>290</v>
      </c>
      <c r="D193" s="23">
        <v>2</v>
      </c>
      <c r="E193" s="25" t="s">
        <v>287</v>
      </c>
      <c r="F193" s="25" t="s">
        <v>307</v>
      </c>
      <c r="G193" s="23" t="s">
        <v>27</v>
      </c>
      <c r="H193" s="23" t="s">
        <v>291</v>
      </c>
      <c r="I193" s="25">
        <v>1971</v>
      </c>
      <c r="J193" s="35">
        <v>30</v>
      </c>
      <c r="K193" s="35">
        <v>40</v>
      </c>
      <c r="L193" s="35">
        <v>20</v>
      </c>
      <c r="M193" s="25">
        <v>10</v>
      </c>
      <c r="N193" s="25">
        <v>10</v>
      </c>
      <c r="R193" s="30">
        <f t="shared" si="383"/>
        <v>20</v>
      </c>
      <c r="S193" s="37">
        <v>1</v>
      </c>
      <c r="T193" s="30">
        <f t="shared" si="339"/>
        <v>18.016571428571428</v>
      </c>
      <c r="U193" s="37">
        <v>1</v>
      </c>
      <c r="V193" s="30">
        <f t="shared" si="338"/>
        <v>22.777904761904761</v>
      </c>
      <c r="W193" s="25">
        <v>78</v>
      </c>
      <c r="X193" s="31">
        <f t="shared" si="384"/>
        <v>191.76000000000002</v>
      </c>
      <c r="Y193" s="25">
        <v>141</v>
      </c>
      <c r="Z193" s="25">
        <v>14</v>
      </c>
      <c r="AA193" s="25">
        <v>116</v>
      </c>
      <c r="AB193" s="37">
        <v>1</v>
      </c>
      <c r="AC193" s="30">
        <f t="shared" si="326"/>
        <v>200</v>
      </c>
      <c r="AD193" s="31">
        <f t="shared" si="385"/>
        <v>8</v>
      </c>
      <c r="AE193" s="31" t="str">
        <f t="shared" si="386"/>
        <v/>
      </c>
      <c r="AF193" s="31">
        <f t="shared" si="387"/>
        <v>7</v>
      </c>
      <c r="AG193" s="31" t="str">
        <f t="shared" si="388"/>
        <v/>
      </c>
      <c r="AH193" s="31" t="str">
        <f t="shared" si="389"/>
        <v/>
      </c>
      <c r="AI193" s="31" t="str">
        <f t="shared" si="390"/>
        <v/>
      </c>
      <c r="AJ193" s="25">
        <v>8</v>
      </c>
      <c r="AK193" s="25">
        <v>7</v>
      </c>
      <c r="AL193" s="25">
        <v>0</v>
      </c>
      <c r="AM193" s="23" t="s">
        <v>206</v>
      </c>
      <c r="AN193" s="23" t="s">
        <v>92</v>
      </c>
      <c r="AO193" s="25">
        <v>280</v>
      </c>
      <c r="AR193" s="32" t="str">
        <f t="shared" si="391"/>
        <v>2 doors</v>
      </c>
      <c r="AS193" s="23" t="s">
        <v>290</v>
      </c>
      <c r="AT193" s="23" t="s">
        <v>270</v>
      </c>
      <c r="AU193" s="23" t="str">
        <f t="shared" si="392"/>
        <v>CC</v>
      </c>
      <c r="AV193" s="34">
        <f t="shared" si="393"/>
        <v>1511.06</v>
      </c>
      <c r="AW193" s="23">
        <v>15</v>
      </c>
      <c r="AX193" s="23">
        <v>11</v>
      </c>
      <c r="AY193" s="23">
        <v>6</v>
      </c>
    </row>
    <row r="194" spans="1:51">
      <c r="A194" s="25">
        <v>280</v>
      </c>
      <c r="B194" s="23" t="s">
        <v>89</v>
      </c>
      <c r="D194" s="23">
        <v>4</v>
      </c>
      <c r="E194" s="25" t="s">
        <v>30</v>
      </c>
      <c r="F194" s="25" t="s">
        <v>295</v>
      </c>
      <c r="G194" s="23" t="s">
        <v>27</v>
      </c>
      <c r="H194" s="23" t="s">
        <v>166</v>
      </c>
      <c r="I194" s="25">
        <v>1980</v>
      </c>
      <c r="J194" s="35">
        <v>30</v>
      </c>
      <c r="K194" s="35">
        <v>40</v>
      </c>
      <c r="L194" s="35">
        <v>20</v>
      </c>
      <c r="M194" s="25">
        <v>10</v>
      </c>
      <c r="N194" s="25">
        <v>10</v>
      </c>
      <c r="O194" s="25">
        <v>10</v>
      </c>
      <c r="P194" s="25">
        <v>10</v>
      </c>
      <c r="R194" s="30">
        <f t="shared" si="151"/>
        <v>40</v>
      </c>
      <c r="S194" s="37">
        <v>1</v>
      </c>
      <c r="T194" s="30">
        <f t="shared" si="339"/>
        <v>20.73714285714286</v>
      </c>
      <c r="U194" s="37">
        <v>1</v>
      </c>
      <c r="V194" s="30">
        <f t="shared" si="338"/>
        <v>26.957142857142859</v>
      </c>
      <c r="W194" s="25">
        <v>66</v>
      </c>
      <c r="X194" s="31">
        <f t="shared" si="152"/>
        <v>217.60000000000002</v>
      </c>
      <c r="Y194" s="25">
        <v>160</v>
      </c>
      <c r="Z194" s="25">
        <v>14</v>
      </c>
      <c r="AA194" s="25">
        <v>141</v>
      </c>
      <c r="AB194" s="37">
        <v>1</v>
      </c>
      <c r="AC194" s="30">
        <f t="shared" si="326"/>
        <v>200</v>
      </c>
      <c r="AD194" s="31">
        <f t="shared" si="153"/>
        <v>8</v>
      </c>
      <c r="AE194" s="31" t="str">
        <f t="shared" si="154"/>
        <v/>
      </c>
      <c r="AF194" s="31">
        <f t="shared" si="155"/>
        <v>7</v>
      </c>
      <c r="AG194" s="31" t="str">
        <f t="shared" si="156"/>
        <v/>
      </c>
      <c r="AH194" s="31" t="str">
        <f t="shared" si="157"/>
        <v/>
      </c>
      <c r="AI194" s="31" t="str">
        <f t="shared" si="158"/>
        <v/>
      </c>
      <c r="AJ194" s="25">
        <v>8</v>
      </c>
      <c r="AK194" s="25">
        <v>7</v>
      </c>
      <c r="AL194" s="25">
        <v>0</v>
      </c>
      <c r="AM194" s="23" t="s">
        <v>206</v>
      </c>
      <c r="AN194" s="23" t="s">
        <v>92</v>
      </c>
      <c r="AO194" s="25">
        <v>280</v>
      </c>
      <c r="AR194" s="32" t="str">
        <f t="shared" si="159"/>
        <v>4 doors</v>
      </c>
      <c r="AT194" s="23" t="s">
        <v>32</v>
      </c>
      <c r="AU194" s="23" t="str">
        <f t="shared" si="107"/>
        <v>CC</v>
      </c>
      <c r="AV194" s="34">
        <f t="shared" si="160"/>
        <v>1520</v>
      </c>
      <c r="AW194" s="23">
        <v>15</v>
      </c>
      <c r="AX194" s="23">
        <v>20</v>
      </c>
      <c r="AY194" s="23">
        <v>0</v>
      </c>
    </row>
    <row r="195" spans="1:51">
      <c r="A195" s="25">
        <v>280</v>
      </c>
      <c r="B195" s="23" t="s">
        <v>89</v>
      </c>
      <c r="D195" s="23">
        <v>4</v>
      </c>
      <c r="E195" s="25" t="s">
        <v>42</v>
      </c>
      <c r="F195" s="25" t="s">
        <v>296</v>
      </c>
      <c r="G195" s="23" t="s">
        <v>27</v>
      </c>
      <c r="H195" s="23" t="s">
        <v>166</v>
      </c>
      <c r="I195" s="25">
        <v>1980</v>
      </c>
      <c r="J195" s="35">
        <v>30</v>
      </c>
      <c r="K195" s="35">
        <v>40</v>
      </c>
      <c r="L195" s="35">
        <v>20</v>
      </c>
      <c r="M195" s="25">
        <v>10</v>
      </c>
      <c r="N195" s="25">
        <v>10</v>
      </c>
      <c r="O195" s="25">
        <v>10</v>
      </c>
      <c r="P195" s="25">
        <v>10</v>
      </c>
      <c r="R195" s="30">
        <f t="shared" ref="R195:R201" si="394">SUM(M195:Q195)</f>
        <v>40</v>
      </c>
      <c r="S195" s="37">
        <v>1</v>
      </c>
      <c r="T195" s="30">
        <f t="shared" si="339"/>
        <v>20.73714285714286</v>
      </c>
      <c r="U195" s="37">
        <v>1</v>
      </c>
      <c r="V195" s="30">
        <f t="shared" si="338"/>
        <v>26.957142857142859</v>
      </c>
      <c r="W195" s="25">
        <v>66</v>
      </c>
      <c r="X195" s="31">
        <f t="shared" ref="X195:X201" si="395">Y195*1.36</f>
        <v>217.60000000000002</v>
      </c>
      <c r="Y195" s="25">
        <v>160</v>
      </c>
      <c r="Z195" s="25">
        <v>14</v>
      </c>
      <c r="AA195" s="25">
        <v>141</v>
      </c>
      <c r="AB195" s="37">
        <v>1</v>
      </c>
      <c r="AC195" s="30">
        <f t="shared" si="326"/>
        <v>200</v>
      </c>
      <c r="AD195" s="31">
        <f t="shared" ref="AD195:AD201" si="396">IF(AJ195&gt;8, AJ195-8, AJ195)</f>
        <v>8</v>
      </c>
      <c r="AE195" s="31" t="str">
        <f t="shared" ref="AE195:AE201" si="397">IF(AJ195&gt;8, 8, "")</f>
        <v/>
      </c>
      <c r="AF195" s="31">
        <f t="shared" ref="AF195:AF201" si="398">IF(AK195&gt;8, AK195-8, IF(AK195=0, "", AK195))</f>
        <v>7</v>
      </c>
      <c r="AG195" s="31" t="str">
        <f t="shared" ref="AG195:AG201" si="399">IF(AK195&gt;8, 8, "")</f>
        <v/>
      </c>
      <c r="AH195" s="31" t="str">
        <f t="shared" ref="AH195:AH201" si="400">IF(AL195&gt;8, AL195-8, IF(AL195=0, "", AL195))</f>
        <v/>
      </c>
      <c r="AI195" s="31" t="str">
        <f t="shared" ref="AI195:AI201" si="401">IF(AL195&gt;8, 8, "")</f>
        <v/>
      </c>
      <c r="AJ195" s="25">
        <v>8</v>
      </c>
      <c r="AK195" s="25">
        <v>7</v>
      </c>
      <c r="AL195" s="25">
        <v>0</v>
      </c>
      <c r="AM195" s="23" t="s">
        <v>206</v>
      </c>
      <c r="AN195" s="23" t="s">
        <v>92</v>
      </c>
      <c r="AO195" s="25">
        <v>280</v>
      </c>
      <c r="AR195" s="32" t="str">
        <f t="shared" ref="AR195:AR201" si="402">IF(Q195&gt;0, "5 doors", IF(P195&gt;0, "4 doors", IF(O195&gt;0, "3 doors", IF(N195&gt;0, "2 doors", "1 door"))))</f>
        <v>4 doors</v>
      </c>
      <c r="AT195" s="23" t="s">
        <v>32</v>
      </c>
      <c r="AU195" s="23" t="str">
        <f t="shared" ref="AU195:AU201" si="403">IF(ISNUMBER(SEARCH("CC", E195)), "CC", "Hungary")</f>
        <v>CC</v>
      </c>
      <c r="AV195" s="34">
        <f t="shared" ref="AV195:AV201" si="404">(AW195*100)+AX195+(AY195/100)</f>
        <v>1520.01</v>
      </c>
      <c r="AW195" s="23">
        <v>15</v>
      </c>
      <c r="AX195" s="23">
        <v>20</v>
      </c>
      <c r="AY195" s="23">
        <v>1</v>
      </c>
    </row>
    <row r="196" spans="1:51">
      <c r="A196" s="25">
        <v>280</v>
      </c>
      <c r="B196" s="23" t="s">
        <v>89</v>
      </c>
      <c r="D196" s="23">
        <v>4</v>
      </c>
      <c r="E196" s="25" t="s">
        <v>43</v>
      </c>
      <c r="F196" s="25" t="s">
        <v>297</v>
      </c>
      <c r="G196" s="23" t="s">
        <v>27</v>
      </c>
      <c r="H196" s="23" t="s">
        <v>166</v>
      </c>
      <c r="I196" s="25">
        <v>1980</v>
      </c>
      <c r="J196" s="35">
        <v>30</v>
      </c>
      <c r="K196" s="35">
        <v>40</v>
      </c>
      <c r="L196" s="35">
        <v>20</v>
      </c>
      <c r="M196" s="25">
        <v>10</v>
      </c>
      <c r="N196" s="25">
        <v>10</v>
      </c>
      <c r="O196" s="25">
        <v>10</v>
      </c>
      <c r="P196" s="25">
        <v>10</v>
      </c>
      <c r="R196" s="30">
        <f t="shared" si="394"/>
        <v>40</v>
      </c>
      <c r="S196" s="37">
        <v>1</v>
      </c>
      <c r="T196" s="30">
        <f t="shared" si="339"/>
        <v>20.73714285714286</v>
      </c>
      <c r="U196" s="37">
        <v>1</v>
      </c>
      <c r="V196" s="30">
        <f t="shared" si="338"/>
        <v>26.957142857142859</v>
      </c>
      <c r="W196" s="25">
        <v>66</v>
      </c>
      <c r="X196" s="31">
        <f t="shared" si="395"/>
        <v>217.60000000000002</v>
      </c>
      <c r="Y196" s="25">
        <v>160</v>
      </c>
      <c r="Z196" s="25">
        <v>14</v>
      </c>
      <c r="AA196" s="25">
        <v>141</v>
      </c>
      <c r="AB196" s="37">
        <v>1</v>
      </c>
      <c r="AC196" s="30">
        <f t="shared" si="326"/>
        <v>200</v>
      </c>
      <c r="AD196" s="31">
        <f t="shared" si="396"/>
        <v>8</v>
      </c>
      <c r="AE196" s="31" t="str">
        <f t="shared" si="397"/>
        <v/>
      </c>
      <c r="AF196" s="31">
        <f t="shared" si="398"/>
        <v>7</v>
      </c>
      <c r="AG196" s="31" t="str">
        <f t="shared" si="399"/>
        <v/>
      </c>
      <c r="AH196" s="31" t="str">
        <f t="shared" si="400"/>
        <v/>
      </c>
      <c r="AI196" s="31" t="str">
        <f t="shared" si="401"/>
        <v/>
      </c>
      <c r="AJ196" s="25">
        <v>8</v>
      </c>
      <c r="AK196" s="25">
        <v>7</v>
      </c>
      <c r="AL196" s="25">
        <v>0</v>
      </c>
      <c r="AM196" s="23" t="s">
        <v>206</v>
      </c>
      <c r="AN196" s="23" t="s">
        <v>92</v>
      </c>
      <c r="AO196" s="25">
        <v>280</v>
      </c>
      <c r="AR196" s="32" t="str">
        <f t="shared" si="402"/>
        <v>4 doors</v>
      </c>
      <c r="AT196" s="23" t="s">
        <v>32</v>
      </c>
      <c r="AU196" s="23" t="str">
        <f t="shared" si="403"/>
        <v>CC</v>
      </c>
      <c r="AV196" s="34">
        <f t="shared" si="404"/>
        <v>1520.02</v>
      </c>
      <c r="AW196" s="23">
        <v>15</v>
      </c>
      <c r="AX196" s="23">
        <v>20</v>
      </c>
      <c r="AY196" s="23">
        <v>2</v>
      </c>
    </row>
    <row r="197" spans="1:51">
      <c r="A197" s="25">
        <v>280</v>
      </c>
      <c r="B197" s="23" t="s">
        <v>89</v>
      </c>
      <c r="D197" s="23">
        <v>4</v>
      </c>
      <c r="E197" s="25" t="s">
        <v>284</v>
      </c>
      <c r="F197" s="25" t="s">
        <v>298</v>
      </c>
      <c r="G197" s="23" t="s">
        <v>27</v>
      </c>
      <c r="H197" s="23" t="s">
        <v>166</v>
      </c>
      <c r="I197" s="25">
        <v>1980</v>
      </c>
      <c r="J197" s="35">
        <v>30</v>
      </c>
      <c r="K197" s="35">
        <v>40</v>
      </c>
      <c r="L197" s="35">
        <v>20</v>
      </c>
      <c r="M197" s="25">
        <v>10</v>
      </c>
      <c r="N197" s="25">
        <v>10</v>
      </c>
      <c r="O197" s="25">
        <v>10</v>
      </c>
      <c r="P197" s="25">
        <v>10</v>
      </c>
      <c r="R197" s="30">
        <f t="shared" si="394"/>
        <v>40</v>
      </c>
      <c r="S197" s="37">
        <v>1</v>
      </c>
      <c r="T197" s="30">
        <f t="shared" si="339"/>
        <v>20.73714285714286</v>
      </c>
      <c r="U197" s="37">
        <v>1</v>
      </c>
      <c r="V197" s="30">
        <f t="shared" si="338"/>
        <v>26.957142857142859</v>
      </c>
      <c r="W197" s="25">
        <v>66</v>
      </c>
      <c r="X197" s="31">
        <f t="shared" si="395"/>
        <v>217.60000000000002</v>
      </c>
      <c r="Y197" s="25">
        <v>160</v>
      </c>
      <c r="Z197" s="25">
        <v>14</v>
      </c>
      <c r="AA197" s="25">
        <v>141</v>
      </c>
      <c r="AB197" s="37">
        <v>1</v>
      </c>
      <c r="AC197" s="30">
        <f t="shared" si="326"/>
        <v>200</v>
      </c>
      <c r="AD197" s="31">
        <f t="shared" si="396"/>
        <v>8</v>
      </c>
      <c r="AE197" s="31" t="str">
        <f t="shared" si="397"/>
        <v/>
      </c>
      <c r="AF197" s="31">
        <f t="shared" si="398"/>
        <v>7</v>
      </c>
      <c r="AG197" s="31" t="str">
        <f t="shared" si="399"/>
        <v/>
      </c>
      <c r="AH197" s="31" t="str">
        <f t="shared" si="400"/>
        <v/>
      </c>
      <c r="AI197" s="31" t="str">
        <f t="shared" si="401"/>
        <v/>
      </c>
      <c r="AJ197" s="25">
        <v>8</v>
      </c>
      <c r="AK197" s="25">
        <v>7</v>
      </c>
      <c r="AL197" s="25">
        <v>0</v>
      </c>
      <c r="AM197" s="23" t="s">
        <v>206</v>
      </c>
      <c r="AN197" s="23" t="s">
        <v>92</v>
      </c>
      <c r="AO197" s="25">
        <v>280</v>
      </c>
      <c r="AR197" s="32" t="str">
        <f t="shared" si="402"/>
        <v>4 doors</v>
      </c>
      <c r="AT197" s="23" t="s">
        <v>32</v>
      </c>
      <c r="AU197" s="23" t="str">
        <f t="shared" si="403"/>
        <v>CC</v>
      </c>
      <c r="AV197" s="34">
        <f t="shared" si="404"/>
        <v>1520.03</v>
      </c>
      <c r="AW197" s="23">
        <v>15</v>
      </c>
      <c r="AX197" s="23">
        <v>20</v>
      </c>
      <c r="AY197" s="23">
        <v>3</v>
      </c>
    </row>
    <row r="198" spans="1:51">
      <c r="A198" s="25">
        <v>280</v>
      </c>
      <c r="B198" s="23" t="s">
        <v>89</v>
      </c>
      <c r="D198" s="23">
        <v>4</v>
      </c>
      <c r="E198" s="25" t="s">
        <v>285</v>
      </c>
      <c r="F198" s="25" t="s">
        <v>301</v>
      </c>
      <c r="G198" s="23" t="s">
        <v>27</v>
      </c>
      <c r="H198" s="23" t="s">
        <v>166</v>
      </c>
      <c r="I198" s="25">
        <v>1980</v>
      </c>
      <c r="J198" s="35">
        <v>30</v>
      </c>
      <c r="K198" s="35">
        <v>40</v>
      </c>
      <c r="L198" s="35">
        <v>20</v>
      </c>
      <c r="M198" s="25">
        <v>10</v>
      </c>
      <c r="N198" s="25">
        <v>10</v>
      </c>
      <c r="O198" s="25">
        <v>10</v>
      </c>
      <c r="P198" s="25">
        <v>10</v>
      </c>
      <c r="R198" s="30">
        <f t="shared" si="394"/>
        <v>40</v>
      </c>
      <c r="S198" s="37">
        <v>1</v>
      </c>
      <c r="T198" s="30">
        <f t="shared" si="339"/>
        <v>20.73714285714286</v>
      </c>
      <c r="U198" s="37">
        <v>1</v>
      </c>
      <c r="V198" s="30">
        <f t="shared" si="338"/>
        <v>26.957142857142859</v>
      </c>
      <c r="W198" s="25">
        <v>66</v>
      </c>
      <c r="X198" s="31">
        <f t="shared" si="395"/>
        <v>217.60000000000002</v>
      </c>
      <c r="Y198" s="25">
        <v>160</v>
      </c>
      <c r="Z198" s="25">
        <v>14</v>
      </c>
      <c r="AA198" s="25">
        <v>141</v>
      </c>
      <c r="AB198" s="37">
        <v>1</v>
      </c>
      <c r="AC198" s="30">
        <f t="shared" si="326"/>
        <v>200</v>
      </c>
      <c r="AD198" s="31">
        <f t="shared" si="396"/>
        <v>8</v>
      </c>
      <c r="AE198" s="31" t="str">
        <f t="shared" si="397"/>
        <v/>
      </c>
      <c r="AF198" s="31">
        <f t="shared" si="398"/>
        <v>7</v>
      </c>
      <c r="AG198" s="31" t="str">
        <f t="shared" si="399"/>
        <v/>
      </c>
      <c r="AH198" s="31" t="str">
        <f t="shared" si="400"/>
        <v/>
      </c>
      <c r="AI198" s="31" t="str">
        <f t="shared" si="401"/>
        <v/>
      </c>
      <c r="AJ198" s="25">
        <v>8</v>
      </c>
      <c r="AK198" s="25">
        <v>7</v>
      </c>
      <c r="AL198" s="25">
        <v>0</v>
      </c>
      <c r="AM198" s="23" t="s">
        <v>206</v>
      </c>
      <c r="AN198" s="23" t="s">
        <v>92</v>
      </c>
      <c r="AO198" s="25">
        <v>280</v>
      </c>
      <c r="AR198" s="32" t="str">
        <f t="shared" si="402"/>
        <v>4 doors</v>
      </c>
      <c r="AT198" s="23" t="s">
        <v>32</v>
      </c>
      <c r="AU198" s="23" t="str">
        <f t="shared" si="403"/>
        <v>CC</v>
      </c>
      <c r="AV198" s="34">
        <f t="shared" si="404"/>
        <v>1520.04</v>
      </c>
      <c r="AW198" s="23">
        <v>15</v>
      </c>
      <c r="AX198" s="23">
        <v>20</v>
      </c>
      <c r="AY198" s="23">
        <v>4</v>
      </c>
    </row>
    <row r="199" spans="1:51">
      <c r="A199" s="25">
        <v>280</v>
      </c>
      <c r="B199" s="23" t="s">
        <v>89</v>
      </c>
      <c r="D199" s="23">
        <v>4</v>
      </c>
      <c r="E199" s="25" t="s">
        <v>286</v>
      </c>
      <c r="F199" s="25" t="s">
        <v>300</v>
      </c>
      <c r="G199" s="23" t="s">
        <v>27</v>
      </c>
      <c r="H199" s="23" t="s">
        <v>166</v>
      </c>
      <c r="I199" s="25">
        <v>1980</v>
      </c>
      <c r="J199" s="35">
        <v>30</v>
      </c>
      <c r="K199" s="35">
        <v>40</v>
      </c>
      <c r="L199" s="35">
        <v>20</v>
      </c>
      <c r="M199" s="25">
        <v>10</v>
      </c>
      <c r="N199" s="25">
        <v>10</v>
      </c>
      <c r="O199" s="25">
        <v>10</v>
      </c>
      <c r="P199" s="25">
        <v>10</v>
      </c>
      <c r="R199" s="30">
        <f t="shared" si="394"/>
        <v>40</v>
      </c>
      <c r="S199" s="37">
        <v>1</v>
      </c>
      <c r="T199" s="30">
        <f t="shared" si="339"/>
        <v>20.73714285714286</v>
      </c>
      <c r="U199" s="37">
        <v>1</v>
      </c>
      <c r="V199" s="30">
        <f t="shared" si="338"/>
        <v>26.957142857142859</v>
      </c>
      <c r="W199" s="25">
        <v>66</v>
      </c>
      <c r="X199" s="31">
        <f t="shared" si="395"/>
        <v>217.60000000000002</v>
      </c>
      <c r="Y199" s="25">
        <v>160</v>
      </c>
      <c r="Z199" s="25">
        <v>14</v>
      </c>
      <c r="AA199" s="25">
        <v>141</v>
      </c>
      <c r="AB199" s="37">
        <v>1</v>
      </c>
      <c r="AC199" s="30">
        <f t="shared" si="326"/>
        <v>200</v>
      </c>
      <c r="AD199" s="31">
        <f t="shared" si="396"/>
        <v>8</v>
      </c>
      <c r="AE199" s="31" t="str">
        <f t="shared" si="397"/>
        <v/>
      </c>
      <c r="AF199" s="31">
        <f t="shared" si="398"/>
        <v>7</v>
      </c>
      <c r="AG199" s="31" t="str">
        <f t="shared" si="399"/>
        <v/>
      </c>
      <c r="AH199" s="31" t="str">
        <f t="shared" si="400"/>
        <v/>
      </c>
      <c r="AI199" s="31" t="str">
        <f t="shared" si="401"/>
        <v/>
      </c>
      <c r="AJ199" s="25">
        <v>8</v>
      </c>
      <c r="AK199" s="25">
        <v>7</v>
      </c>
      <c r="AL199" s="25">
        <v>0</v>
      </c>
      <c r="AM199" s="23" t="s">
        <v>206</v>
      </c>
      <c r="AN199" s="23" t="s">
        <v>92</v>
      </c>
      <c r="AO199" s="25">
        <v>280</v>
      </c>
      <c r="AR199" s="32" t="str">
        <f t="shared" si="402"/>
        <v>4 doors</v>
      </c>
      <c r="AT199" s="23" t="s">
        <v>32</v>
      </c>
      <c r="AU199" s="23" t="str">
        <f t="shared" si="403"/>
        <v>CC</v>
      </c>
      <c r="AV199" s="34">
        <f t="shared" si="404"/>
        <v>1520.05</v>
      </c>
      <c r="AW199" s="23">
        <v>15</v>
      </c>
      <c r="AX199" s="23">
        <v>20</v>
      </c>
      <c r="AY199" s="23">
        <v>5</v>
      </c>
    </row>
    <row r="200" spans="1:51">
      <c r="A200" s="25">
        <v>280</v>
      </c>
      <c r="B200" s="23" t="s">
        <v>89</v>
      </c>
      <c r="D200" s="23">
        <v>4</v>
      </c>
      <c r="E200" s="25" t="s">
        <v>287</v>
      </c>
      <c r="F200" s="25" t="s">
        <v>315</v>
      </c>
      <c r="G200" s="23" t="s">
        <v>27</v>
      </c>
      <c r="H200" s="23" t="s">
        <v>166</v>
      </c>
      <c r="I200" s="25">
        <v>1980</v>
      </c>
      <c r="J200" s="35">
        <v>30</v>
      </c>
      <c r="K200" s="35">
        <v>40</v>
      </c>
      <c r="L200" s="35">
        <v>20</v>
      </c>
      <c r="M200" s="25">
        <v>10</v>
      </c>
      <c r="N200" s="25">
        <v>10</v>
      </c>
      <c r="O200" s="25">
        <v>10</v>
      </c>
      <c r="P200" s="25">
        <v>10</v>
      </c>
      <c r="R200" s="30">
        <f t="shared" ref="R200" si="405">SUM(M200:Q200)</f>
        <v>40</v>
      </c>
      <c r="S200" s="37">
        <v>1</v>
      </c>
      <c r="T200" s="30">
        <f t="shared" si="339"/>
        <v>20.73714285714286</v>
      </c>
      <c r="U200" s="37">
        <v>1</v>
      </c>
      <c r="V200" s="30">
        <f t="shared" si="338"/>
        <v>26.957142857142859</v>
      </c>
      <c r="W200" s="25">
        <v>66</v>
      </c>
      <c r="X200" s="31">
        <f t="shared" ref="X200" si="406">Y200*1.36</f>
        <v>217.60000000000002</v>
      </c>
      <c r="Y200" s="25">
        <v>160</v>
      </c>
      <c r="Z200" s="25">
        <v>14</v>
      </c>
      <c r="AA200" s="25">
        <v>141</v>
      </c>
      <c r="AB200" s="37">
        <v>1</v>
      </c>
      <c r="AC200" s="30">
        <f t="shared" si="326"/>
        <v>200</v>
      </c>
      <c r="AD200" s="31">
        <f t="shared" ref="AD200" si="407">IF(AJ200&gt;8, AJ200-8, AJ200)</f>
        <v>8</v>
      </c>
      <c r="AE200" s="31" t="str">
        <f t="shared" ref="AE200" si="408">IF(AJ200&gt;8, 8, "")</f>
        <v/>
      </c>
      <c r="AF200" s="31">
        <f t="shared" ref="AF200" si="409">IF(AK200&gt;8, AK200-8, IF(AK200=0, "", AK200))</f>
        <v>7</v>
      </c>
      <c r="AG200" s="31" t="str">
        <f t="shared" ref="AG200" si="410">IF(AK200&gt;8, 8, "")</f>
        <v/>
      </c>
      <c r="AH200" s="31" t="str">
        <f t="shared" ref="AH200" si="411">IF(AL200&gt;8, AL200-8, IF(AL200=0, "", AL200))</f>
        <v/>
      </c>
      <c r="AI200" s="31" t="str">
        <f t="shared" ref="AI200" si="412">IF(AL200&gt;8, 8, "")</f>
        <v/>
      </c>
      <c r="AJ200" s="25">
        <v>8</v>
      </c>
      <c r="AK200" s="25">
        <v>7</v>
      </c>
      <c r="AL200" s="25">
        <v>0</v>
      </c>
      <c r="AM200" s="23" t="s">
        <v>206</v>
      </c>
      <c r="AN200" s="23" t="s">
        <v>92</v>
      </c>
      <c r="AO200" s="25">
        <v>280</v>
      </c>
      <c r="AR200" s="32" t="str">
        <f t="shared" ref="AR200" si="413">IF(Q200&gt;0, "5 doors", IF(P200&gt;0, "4 doors", IF(O200&gt;0, "3 doors", IF(N200&gt;0, "2 doors", "1 door"))))</f>
        <v>4 doors</v>
      </c>
      <c r="AT200" s="23" t="s">
        <v>32</v>
      </c>
      <c r="AU200" s="23" t="str">
        <f t="shared" ref="AU200" si="414">IF(ISNUMBER(SEARCH("CC", E200)), "CC", "Hungary")</f>
        <v>CC</v>
      </c>
      <c r="AV200" s="34">
        <f t="shared" ref="AV200" si="415">(AW200*100)+AX200+(AY200/100)</f>
        <v>1520.06</v>
      </c>
      <c r="AW200" s="23">
        <v>15</v>
      </c>
      <c r="AX200" s="23">
        <v>20</v>
      </c>
      <c r="AY200" s="23">
        <v>6</v>
      </c>
    </row>
    <row r="201" spans="1:51">
      <c r="A201" s="25">
        <v>280</v>
      </c>
      <c r="B201" s="23" t="s">
        <v>89</v>
      </c>
      <c r="D201" s="23">
        <v>4</v>
      </c>
      <c r="E201" s="25" t="s">
        <v>85</v>
      </c>
      <c r="F201" s="25" t="s">
        <v>85</v>
      </c>
      <c r="G201" s="23" t="s">
        <v>27</v>
      </c>
      <c r="H201" s="23" t="s">
        <v>166</v>
      </c>
      <c r="I201" s="25">
        <v>1980</v>
      </c>
      <c r="J201" s="35">
        <v>30</v>
      </c>
      <c r="K201" s="35">
        <v>40</v>
      </c>
      <c r="L201" s="35">
        <v>20</v>
      </c>
      <c r="M201" s="25">
        <v>10</v>
      </c>
      <c r="N201" s="25">
        <v>10</v>
      </c>
      <c r="O201" s="25">
        <v>10</v>
      </c>
      <c r="P201" s="25">
        <v>10</v>
      </c>
      <c r="R201" s="30">
        <f t="shared" si="394"/>
        <v>40</v>
      </c>
      <c r="S201" s="37">
        <v>1</v>
      </c>
      <c r="T201" s="30">
        <f t="shared" si="339"/>
        <v>20.73714285714286</v>
      </c>
      <c r="U201" s="37">
        <v>1</v>
      </c>
      <c r="V201" s="30">
        <f t="shared" si="338"/>
        <v>26.957142857142859</v>
      </c>
      <c r="W201" s="25">
        <v>66</v>
      </c>
      <c r="X201" s="31">
        <f t="shared" si="395"/>
        <v>217.60000000000002</v>
      </c>
      <c r="Y201" s="25">
        <v>160</v>
      </c>
      <c r="Z201" s="25">
        <v>14</v>
      </c>
      <c r="AA201" s="25">
        <v>141</v>
      </c>
      <c r="AB201" s="37">
        <v>1</v>
      </c>
      <c r="AC201" s="30">
        <f t="shared" si="326"/>
        <v>200</v>
      </c>
      <c r="AD201" s="31">
        <f t="shared" si="396"/>
        <v>8</v>
      </c>
      <c r="AE201" s="31" t="str">
        <f t="shared" si="397"/>
        <v/>
      </c>
      <c r="AF201" s="31">
        <f t="shared" si="398"/>
        <v>7</v>
      </c>
      <c r="AG201" s="31" t="str">
        <f t="shared" si="399"/>
        <v/>
      </c>
      <c r="AH201" s="31" t="str">
        <f t="shared" si="400"/>
        <v/>
      </c>
      <c r="AI201" s="31" t="str">
        <f t="shared" si="401"/>
        <v/>
      </c>
      <c r="AJ201" s="25">
        <v>8</v>
      </c>
      <c r="AK201" s="25">
        <v>7</v>
      </c>
      <c r="AL201" s="25">
        <v>0</v>
      </c>
      <c r="AM201" s="23" t="s">
        <v>206</v>
      </c>
      <c r="AN201" s="23" t="s">
        <v>92</v>
      </c>
      <c r="AO201" s="25">
        <v>280</v>
      </c>
      <c r="AR201" s="32" t="str">
        <f t="shared" si="402"/>
        <v>4 doors</v>
      </c>
      <c r="AT201" s="23" t="s">
        <v>32</v>
      </c>
      <c r="AU201" s="23" t="str">
        <f t="shared" si="403"/>
        <v>Hungary</v>
      </c>
      <c r="AV201" s="34">
        <f t="shared" si="404"/>
        <v>1520.07</v>
      </c>
      <c r="AW201" s="23">
        <v>15</v>
      </c>
      <c r="AX201" s="23">
        <v>20</v>
      </c>
      <c r="AY201" s="23">
        <v>7</v>
      </c>
    </row>
    <row r="202" spans="1:51">
      <c r="A202" s="25">
        <v>280</v>
      </c>
      <c r="B202" s="23" t="s">
        <v>89</v>
      </c>
      <c r="C202" s="23" t="s">
        <v>228</v>
      </c>
      <c r="D202" s="23">
        <v>4</v>
      </c>
      <c r="E202" s="25" t="s">
        <v>30</v>
      </c>
      <c r="F202" s="25" t="s">
        <v>300</v>
      </c>
      <c r="G202" s="23" t="s">
        <v>27</v>
      </c>
      <c r="H202" s="23" t="s">
        <v>167</v>
      </c>
      <c r="I202" s="25">
        <v>1993</v>
      </c>
      <c r="J202" s="35">
        <v>30</v>
      </c>
      <c r="K202" s="35">
        <v>40</v>
      </c>
      <c r="L202" s="35">
        <v>20</v>
      </c>
      <c r="M202" s="25">
        <v>10</v>
      </c>
      <c r="N202" s="25">
        <v>10</v>
      </c>
      <c r="O202" s="25">
        <v>10</v>
      </c>
      <c r="P202" s="25">
        <v>10</v>
      </c>
      <c r="R202" s="30">
        <f t="shared" si="151"/>
        <v>40</v>
      </c>
      <c r="S202" s="37">
        <v>1</v>
      </c>
      <c r="T202" s="30">
        <f t="shared" si="339"/>
        <v>20.873142857142859</v>
      </c>
      <c r="U202" s="37">
        <v>1</v>
      </c>
      <c r="V202" s="30">
        <f t="shared" si="338"/>
        <v>27.249142857142861</v>
      </c>
      <c r="W202" s="25">
        <v>66</v>
      </c>
      <c r="X202" s="31">
        <f t="shared" si="152"/>
        <v>220.32000000000002</v>
      </c>
      <c r="Y202" s="25">
        <v>162</v>
      </c>
      <c r="Z202" s="25">
        <v>14</v>
      </c>
      <c r="AA202" s="25">
        <v>144</v>
      </c>
      <c r="AB202" s="37">
        <v>1</v>
      </c>
      <c r="AC202" s="30">
        <f t="shared" si="326"/>
        <v>200</v>
      </c>
      <c r="AD202" s="31">
        <f t="shared" si="153"/>
        <v>8</v>
      </c>
      <c r="AE202" s="31" t="str">
        <f t="shared" si="154"/>
        <v/>
      </c>
      <c r="AF202" s="31">
        <f t="shared" si="155"/>
        <v>7</v>
      </c>
      <c r="AG202" s="31" t="str">
        <f t="shared" si="156"/>
        <v/>
      </c>
      <c r="AH202" s="31" t="str">
        <f t="shared" si="157"/>
        <v/>
      </c>
      <c r="AI202" s="31" t="str">
        <f t="shared" si="158"/>
        <v/>
      </c>
      <c r="AJ202" s="25">
        <v>8</v>
      </c>
      <c r="AK202" s="25">
        <v>7</v>
      </c>
      <c r="AL202" s="25">
        <v>0</v>
      </c>
      <c r="AM202" s="23" t="s">
        <v>206</v>
      </c>
      <c r="AN202" s="23" t="s">
        <v>92</v>
      </c>
      <c r="AO202" s="25">
        <v>280</v>
      </c>
      <c r="AR202" s="32" t="str">
        <f t="shared" si="159"/>
        <v>4 doors</v>
      </c>
      <c r="AS202" s="23" t="s">
        <v>228</v>
      </c>
      <c r="AT202" s="23" t="s">
        <v>32</v>
      </c>
      <c r="AU202" s="23" t="str">
        <f t="shared" si="107"/>
        <v>CC</v>
      </c>
      <c r="AV202" s="34">
        <f t="shared" si="160"/>
        <v>1530</v>
      </c>
      <c r="AW202" s="23">
        <v>15</v>
      </c>
      <c r="AX202" s="23">
        <v>30</v>
      </c>
      <c r="AY202" s="23">
        <v>0</v>
      </c>
    </row>
    <row r="203" spans="1:51">
      <c r="A203" s="25">
        <v>280</v>
      </c>
      <c r="B203" s="23" t="s">
        <v>89</v>
      </c>
      <c r="C203" s="23" t="s">
        <v>228</v>
      </c>
      <c r="D203" s="23">
        <v>4</v>
      </c>
      <c r="E203" s="25" t="s">
        <v>42</v>
      </c>
      <c r="F203" s="25" t="s">
        <v>315</v>
      </c>
      <c r="G203" s="23" t="s">
        <v>27</v>
      </c>
      <c r="H203" s="23" t="s">
        <v>167</v>
      </c>
      <c r="I203" s="25">
        <v>1993</v>
      </c>
      <c r="J203" s="35">
        <v>30</v>
      </c>
      <c r="K203" s="35">
        <v>40</v>
      </c>
      <c r="L203" s="35">
        <v>20</v>
      </c>
      <c r="M203" s="25">
        <v>10</v>
      </c>
      <c r="N203" s="25">
        <v>10</v>
      </c>
      <c r="O203" s="25">
        <v>10</v>
      </c>
      <c r="P203" s="25">
        <v>10</v>
      </c>
      <c r="R203" s="30">
        <f t="shared" si="151"/>
        <v>40</v>
      </c>
      <c r="S203" s="37">
        <v>1</v>
      </c>
      <c r="T203" s="30">
        <f t="shared" si="339"/>
        <v>20.873142857142859</v>
      </c>
      <c r="U203" s="37">
        <v>1</v>
      </c>
      <c r="V203" s="30">
        <f t="shared" si="338"/>
        <v>27.249142857142861</v>
      </c>
      <c r="W203" s="25">
        <v>66</v>
      </c>
      <c r="X203" s="31">
        <f t="shared" si="152"/>
        <v>220.32000000000002</v>
      </c>
      <c r="Y203" s="25">
        <v>162</v>
      </c>
      <c r="Z203" s="25">
        <v>14</v>
      </c>
      <c r="AA203" s="25">
        <v>144</v>
      </c>
      <c r="AB203" s="37">
        <v>1</v>
      </c>
      <c r="AC203" s="30">
        <f t="shared" si="326"/>
        <v>200</v>
      </c>
      <c r="AD203" s="31">
        <f t="shared" si="153"/>
        <v>8</v>
      </c>
      <c r="AE203" s="31" t="str">
        <f t="shared" si="154"/>
        <v/>
      </c>
      <c r="AF203" s="31">
        <f t="shared" si="155"/>
        <v>7</v>
      </c>
      <c r="AG203" s="31" t="str">
        <f t="shared" si="156"/>
        <v/>
      </c>
      <c r="AH203" s="31" t="str">
        <f t="shared" si="157"/>
        <v/>
      </c>
      <c r="AI203" s="31" t="str">
        <f t="shared" si="158"/>
        <v/>
      </c>
      <c r="AJ203" s="25">
        <v>8</v>
      </c>
      <c r="AK203" s="25">
        <v>7</v>
      </c>
      <c r="AL203" s="25">
        <v>0</v>
      </c>
      <c r="AM203" s="23" t="s">
        <v>206</v>
      </c>
      <c r="AN203" s="23" t="s">
        <v>92</v>
      </c>
      <c r="AO203" s="25">
        <v>280</v>
      </c>
      <c r="AR203" s="32" t="str">
        <f t="shared" si="159"/>
        <v>4 doors</v>
      </c>
      <c r="AS203" s="23" t="s">
        <v>228</v>
      </c>
      <c r="AT203" s="23" t="s">
        <v>32</v>
      </c>
      <c r="AU203" s="23" t="str">
        <f t="shared" si="107"/>
        <v>CC</v>
      </c>
      <c r="AV203" s="34">
        <f t="shared" si="160"/>
        <v>1530.01</v>
      </c>
      <c r="AW203" s="23">
        <v>15</v>
      </c>
      <c r="AX203" s="23">
        <v>30</v>
      </c>
      <c r="AY203" s="23">
        <v>1</v>
      </c>
    </row>
    <row r="204" spans="1:51">
      <c r="A204" s="25">
        <v>280</v>
      </c>
      <c r="B204" s="23" t="s">
        <v>125</v>
      </c>
      <c r="C204" s="23" t="s">
        <v>292</v>
      </c>
      <c r="D204" s="23">
        <v>4</v>
      </c>
      <c r="E204" s="25" t="s">
        <v>30</v>
      </c>
      <c r="F204" s="25" t="s">
        <v>302</v>
      </c>
      <c r="G204" s="23" t="s">
        <v>27</v>
      </c>
      <c r="H204" s="23" t="s">
        <v>168</v>
      </c>
      <c r="I204" s="25">
        <v>1980</v>
      </c>
      <c r="J204" s="35">
        <v>30</v>
      </c>
      <c r="K204" s="35">
        <v>40</v>
      </c>
      <c r="L204" s="35">
        <v>20</v>
      </c>
      <c r="M204" s="25">
        <v>10</v>
      </c>
      <c r="N204" s="25">
        <v>10</v>
      </c>
      <c r="O204" s="25">
        <v>10</v>
      </c>
      <c r="P204" s="25">
        <v>10</v>
      </c>
      <c r="R204" s="30">
        <f t="shared" si="151"/>
        <v>40</v>
      </c>
      <c r="S204" s="37">
        <v>1</v>
      </c>
      <c r="T204" s="30">
        <f t="shared" si="339"/>
        <v>20.73714285714286</v>
      </c>
      <c r="U204" s="37">
        <v>1</v>
      </c>
      <c r="V204" s="30">
        <f t="shared" si="338"/>
        <v>26.790476190476195</v>
      </c>
      <c r="W204" s="25">
        <v>78</v>
      </c>
      <c r="X204" s="31">
        <f t="shared" si="152"/>
        <v>217.60000000000002</v>
      </c>
      <c r="Y204" s="25">
        <v>160</v>
      </c>
      <c r="Z204" s="25">
        <v>14</v>
      </c>
      <c r="AA204" s="25">
        <v>116</v>
      </c>
      <c r="AB204" s="37">
        <v>1</v>
      </c>
      <c r="AC204" s="30">
        <f t="shared" si="326"/>
        <v>200</v>
      </c>
      <c r="AD204" s="31">
        <f t="shared" si="153"/>
        <v>8</v>
      </c>
      <c r="AE204" s="31" t="str">
        <f t="shared" si="154"/>
        <v/>
      </c>
      <c r="AF204" s="31">
        <f t="shared" si="155"/>
        <v>7</v>
      </c>
      <c r="AG204" s="31" t="str">
        <f t="shared" si="156"/>
        <v/>
      </c>
      <c r="AH204" s="31" t="str">
        <f t="shared" si="157"/>
        <v/>
      </c>
      <c r="AI204" s="31" t="str">
        <f t="shared" si="158"/>
        <v/>
      </c>
      <c r="AJ204" s="25">
        <v>8</v>
      </c>
      <c r="AK204" s="25">
        <v>7</v>
      </c>
      <c r="AL204" s="25">
        <v>0</v>
      </c>
      <c r="AM204" s="23" t="s">
        <v>206</v>
      </c>
      <c r="AN204" s="23" t="s">
        <v>92</v>
      </c>
      <c r="AO204" s="25">
        <v>280</v>
      </c>
      <c r="AR204" s="32" t="str">
        <f t="shared" si="159"/>
        <v>4 doors</v>
      </c>
      <c r="AS204" s="23" t="s">
        <v>292</v>
      </c>
      <c r="AT204" s="23" t="s">
        <v>270</v>
      </c>
      <c r="AU204" s="23" t="str">
        <f t="shared" si="107"/>
        <v>CC</v>
      </c>
      <c r="AV204" s="34">
        <f t="shared" si="160"/>
        <v>1540</v>
      </c>
      <c r="AW204" s="23">
        <v>15</v>
      </c>
      <c r="AX204" s="23">
        <v>40</v>
      </c>
      <c r="AY204" s="23">
        <v>0</v>
      </c>
    </row>
    <row r="205" spans="1:51">
      <c r="A205" s="25">
        <v>280</v>
      </c>
      <c r="B205" s="23" t="s">
        <v>125</v>
      </c>
      <c r="C205" s="23" t="s">
        <v>292</v>
      </c>
      <c r="D205" s="23">
        <v>4</v>
      </c>
      <c r="E205" s="25" t="s">
        <v>42</v>
      </c>
      <c r="F205" s="25" t="s">
        <v>303</v>
      </c>
      <c r="G205" s="23" t="s">
        <v>27</v>
      </c>
      <c r="H205" s="23" t="s">
        <v>168</v>
      </c>
      <c r="I205" s="25">
        <v>1980</v>
      </c>
      <c r="J205" s="35">
        <v>30</v>
      </c>
      <c r="K205" s="35">
        <v>40</v>
      </c>
      <c r="L205" s="35">
        <v>20</v>
      </c>
      <c r="M205" s="25">
        <v>10</v>
      </c>
      <c r="N205" s="25">
        <v>10</v>
      </c>
      <c r="O205" s="25">
        <v>10</v>
      </c>
      <c r="P205" s="25">
        <v>10</v>
      </c>
      <c r="R205" s="30">
        <f t="shared" ref="R205:R209" si="416">SUM(M205:Q205)</f>
        <v>40</v>
      </c>
      <c r="S205" s="37">
        <v>1</v>
      </c>
      <c r="T205" s="30">
        <f t="shared" si="339"/>
        <v>20.73714285714286</v>
      </c>
      <c r="U205" s="37">
        <v>1</v>
      </c>
      <c r="V205" s="30">
        <f t="shared" si="338"/>
        <v>26.790476190476195</v>
      </c>
      <c r="W205" s="25">
        <v>78</v>
      </c>
      <c r="X205" s="31">
        <f t="shared" ref="X205:X209" si="417">Y205*1.36</f>
        <v>217.60000000000002</v>
      </c>
      <c r="Y205" s="25">
        <v>160</v>
      </c>
      <c r="Z205" s="25">
        <v>14</v>
      </c>
      <c r="AA205" s="25">
        <v>116</v>
      </c>
      <c r="AB205" s="37">
        <v>1</v>
      </c>
      <c r="AC205" s="30">
        <f t="shared" si="326"/>
        <v>200</v>
      </c>
      <c r="AD205" s="31">
        <f t="shared" ref="AD205:AD209" si="418">IF(AJ205&gt;8, AJ205-8, AJ205)</f>
        <v>8</v>
      </c>
      <c r="AE205" s="31" t="str">
        <f t="shared" ref="AE205:AE209" si="419">IF(AJ205&gt;8, 8, "")</f>
        <v/>
      </c>
      <c r="AF205" s="31">
        <f t="shared" ref="AF205:AF209" si="420">IF(AK205&gt;8, AK205-8, IF(AK205=0, "", AK205))</f>
        <v>7</v>
      </c>
      <c r="AG205" s="31" t="str">
        <f t="shared" ref="AG205:AG209" si="421">IF(AK205&gt;8, 8, "")</f>
        <v/>
      </c>
      <c r="AH205" s="31" t="str">
        <f t="shared" ref="AH205:AH209" si="422">IF(AL205&gt;8, AL205-8, IF(AL205=0, "", AL205))</f>
        <v/>
      </c>
      <c r="AI205" s="31" t="str">
        <f t="shared" ref="AI205:AI209" si="423">IF(AL205&gt;8, 8, "")</f>
        <v/>
      </c>
      <c r="AJ205" s="25">
        <v>8</v>
      </c>
      <c r="AK205" s="25">
        <v>7</v>
      </c>
      <c r="AL205" s="25">
        <v>0</v>
      </c>
      <c r="AM205" s="23" t="s">
        <v>206</v>
      </c>
      <c r="AN205" s="23" t="s">
        <v>92</v>
      </c>
      <c r="AO205" s="25">
        <v>280</v>
      </c>
      <c r="AR205" s="32" t="str">
        <f t="shared" ref="AR205:AR209" si="424">IF(Q205&gt;0, "5 doors", IF(P205&gt;0, "4 doors", IF(O205&gt;0, "3 doors", IF(N205&gt;0, "2 doors", "1 door"))))</f>
        <v>4 doors</v>
      </c>
      <c r="AS205" s="23" t="s">
        <v>292</v>
      </c>
      <c r="AT205" s="23" t="s">
        <v>270</v>
      </c>
      <c r="AU205" s="23" t="str">
        <f t="shared" ref="AU205:AU209" si="425">IF(ISNUMBER(SEARCH("CC", E205)), "CC", "Hungary")</f>
        <v>CC</v>
      </c>
      <c r="AV205" s="34">
        <f t="shared" ref="AV205:AV209" si="426">(AW205*100)+AX205+(AY205/100)</f>
        <v>1540.01</v>
      </c>
      <c r="AW205" s="23">
        <v>15</v>
      </c>
      <c r="AX205" s="23">
        <v>40</v>
      </c>
      <c r="AY205" s="23">
        <v>1</v>
      </c>
    </row>
    <row r="206" spans="1:51">
      <c r="A206" s="25">
        <v>280</v>
      </c>
      <c r="B206" s="23" t="s">
        <v>125</v>
      </c>
      <c r="C206" s="23" t="s">
        <v>292</v>
      </c>
      <c r="D206" s="23">
        <v>4</v>
      </c>
      <c r="E206" s="25" t="s">
        <v>43</v>
      </c>
      <c r="F206" s="25" t="s">
        <v>304</v>
      </c>
      <c r="G206" s="23" t="s">
        <v>27</v>
      </c>
      <c r="H206" s="23" t="s">
        <v>168</v>
      </c>
      <c r="I206" s="25">
        <v>1980</v>
      </c>
      <c r="J206" s="35">
        <v>30</v>
      </c>
      <c r="K206" s="35">
        <v>40</v>
      </c>
      <c r="L206" s="35">
        <v>20</v>
      </c>
      <c r="M206" s="25">
        <v>10</v>
      </c>
      <c r="N206" s="25">
        <v>10</v>
      </c>
      <c r="O206" s="25">
        <v>10</v>
      </c>
      <c r="P206" s="25">
        <v>10</v>
      </c>
      <c r="R206" s="30">
        <f t="shared" si="416"/>
        <v>40</v>
      </c>
      <c r="S206" s="37">
        <v>1</v>
      </c>
      <c r="T206" s="30">
        <f t="shared" si="339"/>
        <v>20.73714285714286</v>
      </c>
      <c r="U206" s="37">
        <v>1</v>
      </c>
      <c r="V206" s="30">
        <f t="shared" si="338"/>
        <v>26.790476190476195</v>
      </c>
      <c r="W206" s="25">
        <v>78</v>
      </c>
      <c r="X206" s="31">
        <f t="shared" si="417"/>
        <v>217.60000000000002</v>
      </c>
      <c r="Y206" s="25">
        <v>160</v>
      </c>
      <c r="Z206" s="25">
        <v>14</v>
      </c>
      <c r="AA206" s="25">
        <v>116</v>
      </c>
      <c r="AB206" s="37">
        <v>1</v>
      </c>
      <c r="AC206" s="30">
        <f t="shared" si="326"/>
        <v>200</v>
      </c>
      <c r="AD206" s="31">
        <f t="shared" si="418"/>
        <v>8</v>
      </c>
      <c r="AE206" s="31" t="str">
        <f t="shared" si="419"/>
        <v/>
      </c>
      <c r="AF206" s="31">
        <f t="shared" si="420"/>
        <v>7</v>
      </c>
      <c r="AG206" s="31" t="str">
        <f t="shared" si="421"/>
        <v/>
      </c>
      <c r="AH206" s="31" t="str">
        <f t="shared" si="422"/>
        <v/>
      </c>
      <c r="AI206" s="31" t="str">
        <f t="shared" si="423"/>
        <v/>
      </c>
      <c r="AJ206" s="25">
        <v>8</v>
      </c>
      <c r="AK206" s="25">
        <v>7</v>
      </c>
      <c r="AL206" s="25">
        <v>0</v>
      </c>
      <c r="AM206" s="23" t="s">
        <v>206</v>
      </c>
      <c r="AN206" s="23" t="s">
        <v>92</v>
      </c>
      <c r="AO206" s="25">
        <v>280</v>
      </c>
      <c r="AR206" s="32" t="str">
        <f t="shared" si="424"/>
        <v>4 doors</v>
      </c>
      <c r="AS206" s="23" t="s">
        <v>292</v>
      </c>
      <c r="AT206" s="23" t="s">
        <v>270</v>
      </c>
      <c r="AU206" s="23" t="str">
        <f t="shared" si="425"/>
        <v>CC</v>
      </c>
      <c r="AV206" s="34">
        <f t="shared" si="426"/>
        <v>1540.02</v>
      </c>
      <c r="AW206" s="23">
        <v>15</v>
      </c>
      <c r="AX206" s="23">
        <v>40</v>
      </c>
      <c r="AY206" s="23">
        <v>2</v>
      </c>
    </row>
    <row r="207" spans="1:51">
      <c r="A207" s="25">
        <v>280</v>
      </c>
      <c r="B207" s="23" t="s">
        <v>125</v>
      </c>
      <c r="C207" s="23" t="s">
        <v>292</v>
      </c>
      <c r="D207" s="23">
        <v>4</v>
      </c>
      <c r="E207" s="25" t="s">
        <v>284</v>
      </c>
      <c r="F207" s="25" t="s">
        <v>305</v>
      </c>
      <c r="G207" s="23" t="s">
        <v>27</v>
      </c>
      <c r="H207" s="23" t="s">
        <v>168</v>
      </c>
      <c r="I207" s="25">
        <v>1980</v>
      </c>
      <c r="J207" s="35">
        <v>30</v>
      </c>
      <c r="K207" s="35">
        <v>40</v>
      </c>
      <c r="L207" s="35">
        <v>20</v>
      </c>
      <c r="M207" s="25">
        <v>10</v>
      </c>
      <c r="N207" s="25">
        <v>10</v>
      </c>
      <c r="O207" s="25">
        <v>10</v>
      </c>
      <c r="P207" s="25">
        <v>10</v>
      </c>
      <c r="R207" s="30">
        <f t="shared" si="416"/>
        <v>40</v>
      </c>
      <c r="S207" s="37">
        <v>1</v>
      </c>
      <c r="T207" s="30">
        <f t="shared" si="339"/>
        <v>20.73714285714286</v>
      </c>
      <c r="U207" s="37">
        <v>1</v>
      </c>
      <c r="V207" s="30">
        <f t="shared" si="338"/>
        <v>26.790476190476195</v>
      </c>
      <c r="W207" s="25">
        <v>78</v>
      </c>
      <c r="X207" s="31">
        <f t="shared" si="417"/>
        <v>217.60000000000002</v>
      </c>
      <c r="Y207" s="25">
        <v>160</v>
      </c>
      <c r="Z207" s="25">
        <v>14</v>
      </c>
      <c r="AA207" s="25">
        <v>116</v>
      </c>
      <c r="AB207" s="37">
        <v>1</v>
      </c>
      <c r="AC207" s="30">
        <f t="shared" si="326"/>
        <v>200</v>
      </c>
      <c r="AD207" s="31">
        <f t="shared" si="418"/>
        <v>8</v>
      </c>
      <c r="AE207" s="31" t="str">
        <f t="shared" si="419"/>
        <v/>
      </c>
      <c r="AF207" s="31">
        <f t="shared" si="420"/>
        <v>7</v>
      </c>
      <c r="AG207" s="31" t="str">
        <f t="shared" si="421"/>
        <v/>
      </c>
      <c r="AH207" s="31" t="str">
        <f t="shared" si="422"/>
        <v/>
      </c>
      <c r="AI207" s="31" t="str">
        <f t="shared" si="423"/>
        <v/>
      </c>
      <c r="AJ207" s="25">
        <v>8</v>
      </c>
      <c r="AK207" s="25">
        <v>7</v>
      </c>
      <c r="AL207" s="25">
        <v>0</v>
      </c>
      <c r="AM207" s="23" t="s">
        <v>206</v>
      </c>
      <c r="AN207" s="23" t="s">
        <v>92</v>
      </c>
      <c r="AO207" s="25">
        <v>280</v>
      </c>
      <c r="AR207" s="32" t="str">
        <f t="shared" si="424"/>
        <v>4 doors</v>
      </c>
      <c r="AS207" s="23" t="s">
        <v>292</v>
      </c>
      <c r="AT207" s="23" t="s">
        <v>270</v>
      </c>
      <c r="AU207" s="23" t="str">
        <f t="shared" si="425"/>
        <v>CC</v>
      </c>
      <c r="AV207" s="34">
        <f t="shared" si="426"/>
        <v>1540.03</v>
      </c>
      <c r="AW207" s="23">
        <v>15</v>
      </c>
      <c r="AX207" s="23">
        <v>40</v>
      </c>
      <c r="AY207" s="23">
        <v>3</v>
      </c>
    </row>
    <row r="208" spans="1:51">
      <c r="A208" s="25">
        <v>280</v>
      </c>
      <c r="B208" s="23" t="s">
        <v>125</v>
      </c>
      <c r="C208" s="23" t="s">
        <v>292</v>
      </c>
      <c r="D208" s="23">
        <v>4</v>
      </c>
      <c r="E208" s="25" t="s">
        <v>285</v>
      </c>
      <c r="F208" s="25" t="s">
        <v>306</v>
      </c>
      <c r="G208" s="23" t="s">
        <v>27</v>
      </c>
      <c r="H208" s="23" t="s">
        <v>168</v>
      </c>
      <c r="I208" s="25">
        <v>1980</v>
      </c>
      <c r="J208" s="35">
        <v>30</v>
      </c>
      <c r="K208" s="35">
        <v>40</v>
      </c>
      <c r="L208" s="35">
        <v>20</v>
      </c>
      <c r="M208" s="25">
        <v>10</v>
      </c>
      <c r="N208" s="25">
        <v>10</v>
      </c>
      <c r="O208" s="25">
        <v>10</v>
      </c>
      <c r="P208" s="25">
        <v>10</v>
      </c>
      <c r="R208" s="30">
        <f t="shared" si="416"/>
        <v>40</v>
      </c>
      <c r="S208" s="37">
        <v>1</v>
      </c>
      <c r="T208" s="30">
        <f t="shared" si="339"/>
        <v>20.73714285714286</v>
      </c>
      <c r="U208" s="37">
        <v>1</v>
      </c>
      <c r="V208" s="30">
        <f t="shared" si="338"/>
        <v>26.790476190476195</v>
      </c>
      <c r="W208" s="25">
        <v>78</v>
      </c>
      <c r="X208" s="31">
        <f t="shared" si="417"/>
        <v>217.60000000000002</v>
      </c>
      <c r="Y208" s="25">
        <v>160</v>
      </c>
      <c r="Z208" s="25">
        <v>14</v>
      </c>
      <c r="AA208" s="25">
        <v>116</v>
      </c>
      <c r="AB208" s="37">
        <v>1</v>
      </c>
      <c r="AC208" s="30">
        <f t="shared" si="326"/>
        <v>200</v>
      </c>
      <c r="AD208" s="31">
        <f t="shared" si="418"/>
        <v>8</v>
      </c>
      <c r="AE208" s="31" t="str">
        <f t="shared" si="419"/>
        <v/>
      </c>
      <c r="AF208" s="31">
        <f t="shared" si="420"/>
        <v>7</v>
      </c>
      <c r="AG208" s="31" t="str">
        <f t="shared" si="421"/>
        <v/>
      </c>
      <c r="AH208" s="31" t="str">
        <f t="shared" si="422"/>
        <v/>
      </c>
      <c r="AI208" s="31" t="str">
        <f t="shared" si="423"/>
        <v/>
      </c>
      <c r="AJ208" s="25">
        <v>8</v>
      </c>
      <c r="AK208" s="25">
        <v>7</v>
      </c>
      <c r="AL208" s="25">
        <v>0</v>
      </c>
      <c r="AM208" s="23" t="s">
        <v>206</v>
      </c>
      <c r="AN208" s="23" t="s">
        <v>92</v>
      </c>
      <c r="AO208" s="25">
        <v>280</v>
      </c>
      <c r="AR208" s="32" t="str">
        <f t="shared" si="424"/>
        <v>4 doors</v>
      </c>
      <c r="AS208" s="23" t="s">
        <v>292</v>
      </c>
      <c r="AT208" s="23" t="s">
        <v>270</v>
      </c>
      <c r="AU208" s="23" t="str">
        <f t="shared" si="425"/>
        <v>CC</v>
      </c>
      <c r="AV208" s="34">
        <f t="shared" si="426"/>
        <v>1540.04</v>
      </c>
      <c r="AW208" s="23">
        <v>15</v>
      </c>
      <c r="AX208" s="23">
        <v>40</v>
      </c>
      <c r="AY208" s="23">
        <v>4</v>
      </c>
    </row>
    <row r="209" spans="1:51">
      <c r="A209" s="25">
        <v>280</v>
      </c>
      <c r="B209" s="23" t="s">
        <v>125</v>
      </c>
      <c r="C209" s="23" t="s">
        <v>292</v>
      </c>
      <c r="D209" s="23">
        <v>4</v>
      </c>
      <c r="E209" s="25" t="s">
        <v>286</v>
      </c>
      <c r="F209" s="25" t="s">
        <v>307</v>
      </c>
      <c r="G209" s="23" t="s">
        <v>27</v>
      </c>
      <c r="H209" s="23" t="s">
        <v>168</v>
      </c>
      <c r="I209" s="25">
        <v>1980</v>
      </c>
      <c r="J209" s="35">
        <v>30</v>
      </c>
      <c r="K209" s="35">
        <v>40</v>
      </c>
      <c r="L209" s="35">
        <v>20</v>
      </c>
      <c r="M209" s="25">
        <v>10</v>
      </c>
      <c r="N209" s="25">
        <v>10</v>
      </c>
      <c r="O209" s="25">
        <v>10</v>
      </c>
      <c r="P209" s="25">
        <v>10</v>
      </c>
      <c r="R209" s="30">
        <f t="shared" si="416"/>
        <v>40</v>
      </c>
      <c r="S209" s="37">
        <v>1</v>
      </c>
      <c r="T209" s="30">
        <f t="shared" si="339"/>
        <v>20.73714285714286</v>
      </c>
      <c r="U209" s="37">
        <v>1</v>
      </c>
      <c r="V209" s="30">
        <f t="shared" si="338"/>
        <v>26.790476190476195</v>
      </c>
      <c r="W209" s="25">
        <v>78</v>
      </c>
      <c r="X209" s="31">
        <f t="shared" si="417"/>
        <v>217.60000000000002</v>
      </c>
      <c r="Y209" s="25">
        <v>160</v>
      </c>
      <c r="Z209" s="25">
        <v>14</v>
      </c>
      <c r="AA209" s="25">
        <v>116</v>
      </c>
      <c r="AB209" s="37">
        <v>1</v>
      </c>
      <c r="AC209" s="30">
        <f t="shared" si="326"/>
        <v>200</v>
      </c>
      <c r="AD209" s="31">
        <f t="shared" si="418"/>
        <v>8</v>
      </c>
      <c r="AE209" s="31" t="str">
        <f t="shared" si="419"/>
        <v/>
      </c>
      <c r="AF209" s="31">
        <f t="shared" si="420"/>
        <v>7</v>
      </c>
      <c r="AG209" s="31" t="str">
        <f t="shared" si="421"/>
        <v/>
      </c>
      <c r="AH209" s="31" t="str">
        <f t="shared" si="422"/>
        <v/>
      </c>
      <c r="AI209" s="31" t="str">
        <f t="shared" si="423"/>
        <v/>
      </c>
      <c r="AJ209" s="25">
        <v>8</v>
      </c>
      <c r="AK209" s="25">
        <v>7</v>
      </c>
      <c r="AL209" s="25">
        <v>0</v>
      </c>
      <c r="AM209" s="23" t="s">
        <v>206</v>
      </c>
      <c r="AN209" s="23" t="s">
        <v>92</v>
      </c>
      <c r="AO209" s="25">
        <v>280</v>
      </c>
      <c r="AR209" s="32" t="str">
        <f t="shared" si="424"/>
        <v>4 doors</v>
      </c>
      <c r="AS209" s="23" t="s">
        <v>292</v>
      </c>
      <c r="AT209" s="23" t="s">
        <v>270</v>
      </c>
      <c r="AU209" s="23" t="str">
        <f t="shared" si="425"/>
        <v>CC</v>
      </c>
      <c r="AV209" s="34">
        <f t="shared" si="426"/>
        <v>1540.05</v>
      </c>
      <c r="AW209" s="23">
        <v>15</v>
      </c>
      <c r="AX209" s="23">
        <v>40</v>
      </c>
      <c r="AY209" s="23">
        <v>5</v>
      </c>
    </row>
    <row r="210" spans="1:51">
      <c r="A210" s="25">
        <v>280</v>
      </c>
      <c r="B210" s="23" t="s">
        <v>125</v>
      </c>
      <c r="C210" s="23" t="s">
        <v>289</v>
      </c>
      <c r="D210" s="23">
        <v>3</v>
      </c>
      <c r="E210" s="25" t="s">
        <v>30</v>
      </c>
      <c r="F210" s="25" t="s">
        <v>302</v>
      </c>
      <c r="G210" s="23" t="s">
        <v>27</v>
      </c>
      <c r="H210" s="23" t="s">
        <v>169</v>
      </c>
      <c r="I210" s="25">
        <v>1980</v>
      </c>
      <c r="J210" s="35">
        <v>30</v>
      </c>
      <c r="K210" s="35">
        <v>40</v>
      </c>
      <c r="L210" s="35">
        <v>20</v>
      </c>
      <c r="M210" s="25">
        <v>10</v>
      </c>
      <c r="N210" s="25">
        <v>10</v>
      </c>
      <c r="O210" s="25">
        <v>10</v>
      </c>
      <c r="R210" s="30">
        <f t="shared" si="151"/>
        <v>30</v>
      </c>
      <c r="S210" s="37">
        <v>1</v>
      </c>
      <c r="T210" s="30">
        <f t="shared" si="339"/>
        <v>20.022857142857145</v>
      </c>
      <c r="U210" s="37">
        <v>1</v>
      </c>
      <c r="V210" s="30">
        <f t="shared" si="338"/>
        <v>26.076190476190479</v>
      </c>
      <c r="W210" s="25">
        <v>78</v>
      </c>
      <c r="X210" s="31">
        <f t="shared" si="152"/>
        <v>217.60000000000002</v>
      </c>
      <c r="Y210" s="25">
        <v>160</v>
      </c>
      <c r="Z210" s="25">
        <v>14</v>
      </c>
      <c r="AA210" s="25">
        <v>116</v>
      </c>
      <c r="AB210" s="37">
        <v>1</v>
      </c>
      <c r="AC210" s="30">
        <f t="shared" si="326"/>
        <v>200</v>
      </c>
      <c r="AD210" s="31">
        <f t="shared" si="153"/>
        <v>8</v>
      </c>
      <c r="AE210" s="31" t="str">
        <f t="shared" si="154"/>
        <v/>
      </c>
      <c r="AF210" s="31">
        <f t="shared" si="155"/>
        <v>7</v>
      </c>
      <c r="AG210" s="31" t="str">
        <f t="shared" si="156"/>
        <v/>
      </c>
      <c r="AH210" s="31" t="str">
        <f t="shared" si="157"/>
        <v/>
      </c>
      <c r="AI210" s="31" t="str">
        <f t="shared" si="158"/>
        <v/>
      </c>
      <c r="AJ210" s="25">
        <v>8</v>
      </c>
      <c r="AK210" s="25">
        <v>7</v>
      </c>
      <c r="AL210" s="25">
        <v>0</v>
      </c>
      <c r="AM210" s="23" t="s">
        <v>206</v>
      </c>
      <c r="AN210" s="23" t="s">
        <v>92</v>
      </c>
      <c r="AO210" s="25">
        <v>280</v>
      </c>
      <c r="AR210" s="32" t="str">
        <f t="shared" si="159"/>
        <v>3 doors</v>
      </c>
      <c r="AS210" s="23" t="s">
        <v>289</v>
      </c>
      <c r="AT210" s="23" t="s">
        <v>270</v>
      </c>
      <c r="AU210" s="23" t="str">
        <f t="shared" si="107"/>
        <v>CC</v>
      </c>
      <c r="AV210" s="34">
        <f t="shared" si="160"/>
        <v>1550</v>
      </c>
      <c r="AW210" s="23">
        <v>15</v>
      </c>
      <c r="AX210" s="23">
        <v>50</v>
      </c>
      <c r="AY210" s="23">
        <v>0</v>
      </c>
    </row>
    <row r="211" spans="1:51">
      <c r="A211" s="25">
        <v>280</v>
      </c>
      <c r="B211" s="23" t="s">
        <v>125</v>
      </c>
      <c r="C211" s="23" t="s">
        <v>289</v>
      </c>
      <c r="D211" s="23">
        <v>3</v>
      </c>
      <c r="E211" s="25" t="s">
        <v>42</v>
      </c>
      <c r="F211" s="25" t="s">
        <v>303</v>
      </c>
      <c r="G211" s="23" t="s">
        <v>27</v>
      </c>
      <c r="H211" s="23" t="s">
        <v>169</v>
      </c>
      <c r="I211" s="25">
        <v>1980</v>
      </c>
      <c r="J211" s="35">
        <v>30</v>
      </c>
      <c r="K211" s="35">
        <v>40</v>
      </c>
      <c r="L211" s="35">
        <v>20</v>
      </c>
      <c r="M211" s="25">
        <v>10</v>
      </c>
      <c r="N211" s="25">
        <v>10</v>
      </c>
      <c r="O211" s="25">
        <v>10</v>
      </c>
      <c r="R211" s="30">
        <f t="shared" ref="R211:R215" si="427">SUM(M211:Q211)</f>
        <v>30</v>
      </c>
      <c r="S211" s="37">
        <v>1</v>
      </c>
      <c r="T211" s="30">
        <f t="shared" si="339"/>
        <v>20.022857142857145</v>
      </c>
      <c r="U211" s="37">
        <v>1</v>
      </c>
      <c r="V211" s="30">
        <f t="shared" si="338"/>
        <v>26.076190476190479</v>
      </c>
      <c r="W211" s="25">
        <v>78</v>
      </c>
      <c r="X211" s="31">
        <f t="shared" ref="X211:X215" si="428">Y211*1.36</f>
        <v>217.60000000000002</v>
      </c>
      <c r="Y211" s="25">
        <v>160</v>
      </c>
      <c r="Z211" s="25">
        <v>14</v>
      </c>
      <c r="AA211" s="25">
        <v>116</v>
      </c>
      <c r="AB211" s="37">
        <v>1</v>
      </c>
      <c r="AC211" s="30">
        <f t="shared" si="326"/>
        <v>200</v>
      </c>
      <c r="AD211" s="31">
        <f t="shared" ref="AD211:AD215" si="429">IF(AJ211&gt;8, AJ211-8, AJ211)</f>
        <v>8</v>
      </c>
      <c r="AE211" s="31" t="str">
        <f t="shared" ref="AE211:AE215" si="430">IF(AJ211&gt;8, 8, "")</f>
        <v/>
      </c>
      <c r="AF211" s="31">
        <f t="shared" ref="AF211:AF215" si="431">IF(AK211&gt;8, AK211-8, IF(AK211=0, "", AK211))</f>
        <v>7</v>
      </c>
      <c r="AG211" s="31" t="str">
        <f t="shared" ref="AG211:AG215" si="432">IF(AK211&gt;8, 8, "")</f>
        <v/>
      </c>
      <c r="AH211" s="31" t="str">
        <f t="shared" ref="AH211:AH215" si="433">IF(AL211&gt;8, AL211-8, IF(AL211=0, "", AL211))</f>
        <v/>
      </c>
      <c r="AI211" s="31" t="str">
        <f t="shared" ref="AI211:AI215" si="434">IF(AL211&gt;8, 8, "")</f>
        <v/>
      </c>
      <c r="AJ211" s="25">
        <v>8</v>
      </c>
      <c r="AK211" s="25">
        <v>7</v>
      </c>
      <c r="AL211" s="25">
        <v>0</v>
      </c>
      <c r="AM211" s="23" t="s">
        <v>206</v>
      </c>
      <c r="AN211" s="23" t="s">
        <v>92</v>
      </c>
      <c r="AO211" s="25">
        <v>280</v>
      </c>
      <c r="AR211" s="32" t="str">
        <f t="shared" ref="AR211:AR215" si="435">IF(Q211&gt;0, "5 doors", IF(P211&gt;0, "4 doors", IF(O211&gt;0, "3 doors", IF(N211&gt;0, "2 doors", "1 door"))))</f>
        <v>3 doors</v>
      </c>
      <c r="AS211" s="23" t="s">
        <v>289</v>
      </c>
      <c r="AT211" s="23" t="s">
        <v>270</v>
      </c>
      <c r="AU211" s="23" t="str">
        <f t="shared" ref="AU211:AU215" si="436">IF(ISNUMBER(SEARCH("CC", E211)), "CC", "Hungary")</f>
        <v>CC</v>
      </c>
      <c r="AV211" s="34">
        <f t="shared" ref="AV211:AV215" si="437">(AW211*100)+AX211+(AY211/100)</f>
        <v>1550.01</v>
      </c>
      <c r="AW211" s="23">
        <v>15</v>
      </c>
      <c r="AX211" s="23">
        <v>50</v>
      </c>
      <c r="AY211" s="23">
        <v>1</v>
      </c>
    </row>
    <row r="212" spans="1:51">
      <c r="A212" s="25">
        <v>280</v>
      </c>
      <c r="B212" s="23" t="s">
        <v>125</v>
      </c>
      <c r="C212" s="23" t="s">
        <v>289</v>
      </c>
      <c r="D212" s="23">
        <v>3</v>
      </c>
      <c r="E212" s="25" t="s">
        <v>43</v>
      </c>
      <c r="F212" s="25" t="s">
        <v>304</v>
      </c>
      <c r="G212" s="23" t="s">
        <v>27</v>
      </c>
      <c r="H212" s="23" t="s">
        <v>169</v>
      </c>
      <c r="I212" s="25">
        <v>1980</v>
      </c>
      <c r="J212" s="35">
        <v>30</v>
      </c>
      <c r="K212" s="35">
        <v>40</v>
      </c>
      <c r="L212" s="35">
        <v>20</v>
      </c>
      <c r="M212" s="25">
        <v>10</v>
      </c>
      <c r="N212" s="25">
        <v>10</v>
      </c>
      <c r="O212" s="25">
        <v>10</v>
      </c>
      <c r="R212" s="30">
        <f t="shared" si="427"/>
        <v>30</v>
      </c>
      <c r="S212" s="37">
        <v>1</v>
      </c>
      <c r="T212" s="30">
        <f t="shared" si="339"/>
        <v>20.022857142857145</v>
      </c>
      <c r="U212" s="37">
        <v>1</v>
      </c>
      <c r="V212" s="30">
        <f t="shared" si="338"/>
        <v>26.076190476190479</v>
      </c>
      <c r="W212" s="25">
        <v>78</v>
      </c>
      <c r="X212" s="31">
        <f t="shared" si="428"/>
        <v>217.60000000000002</v>
      </c>
      <c r="Y212" s="25">
        <v>160</v>
      </c>
      <c r="Z212" s="25">
        <v>14</v>
      </c>
      <c r="AA212" s="25">
        <v>116</v>
      </c>
      <c r="AB212" s="37">
        <v>1</v>
      </c>
      <c r="AC212" s="30">
        <f t="shared" si="326"/>
        <v>200</v>
      </c>
      <c r="AD212" s="31">
        <f t="shared" si="429"/>
        <v>8</v>
      </c>
      <c r="AE212" s="31" t="str">
        <f t="shared" si="430"/>
        <v/>
      </c>
      <c r="AF212" s="31">
        <f t="shared" si="431"/>
        <v>7</v>
      </c>
      <c r="AG212" s="31" t="str">
        <f t="shared" si="432"/>
        <v/>
      </c>
      <c r="AH212" s="31" t="str">
        <f t="shared" si="433"/>
        <v/>
      </c>
      <c r="AI212" s="31" t="str">
        <f t="shared" si="434"/>
        <v/>
      </c>
      <c r="AJ212" s="25">
        <v>8</v>
      </c>
      <c r="AK212" s="25">
        <v>7</v>
      </c>
      <c r="AL212" s="25">
        <v>0</v>
      </c>
      <c r="AM212" s="23" t="s">
        <v>206</v>
      </c>
      <c r="AN212" s="23" t="s">
        <v>92</v>
      </c>
      <c r="AO212" s="25">
        <v>280</v>
      </c>
      <c r="AR212" s="32" t="str">
        <f t="shared" si="435"/>
        <v>3 doors</v>
      </c>
      <c r="AS212" s="23" t="s">
        <v>289</v>
      </c>
      <c r="AT212" s="23" t="s">
        <v>270</v>
      </c>
      <c r="AU212" s="23" t="str">
        <f t="shared" si="436"/>
        <v>CC</v>
      </c>
      <c r="AV212" s="34">
        <f t="shared" si="437"/>
        <v>1550.02</v>
      </c>
      <c r="AW212" s="23">
        <v>15</v>
      </c>
      <c r="AX212" s="23">
        <v>50</v>
      </c>
      <c r="AY212" s="23">
        <v>2</v>
      </c>
    </row>
    <row r="213" spans="1:51">
      <c r="A213" s="25">
        <v>280</v>
      </c>
      <c r="B213" s="23" t="s">
        <v>125</v>
      </c>
      <c r="C213" s="23" t="s">
        <v>289</v>
      </c>
      <c r="D213" s="23">
        <v>3</v>
      </c>
      <c r="E213" s="25" t="s">
        <v>284</v>
      </c>
      <c r="F213" s="25" t="s">
        <v>305</v>
      </c>
      <c r="G213" s="23" t="s">
        <v>27</v>
      </c>
      <c r="H213" s="23" t="s">
        <v>169</v>
      </c>
      <c r="I213" s="25">
        <v>1980</v>
      </c>
      <c r="J213" s="35">
        <v>30</v>
      </c>
      <c r="K213" s="35">
        <v>40</v>
      </c>
      <c r="L213" s="35">
        <v>20</v>
      </c>
      <c r="M213" s="25">
        <v>10</v>
      </c>
      <c r="N213" s="25">
        <v>10</v>
      </c>
      <c r="O213" s="25">
        <v>10</v>
      </c>
      <c r="R213" s="30">
        <f t="shared" si="427"/>
        <v>30</v>
      </c>
      <c r="S213" s="37">
        <v>1</v>
      </c>
      <c r="T213" s="30">
        <f t="shared" si="339"/>
        <v>20.022857142857145</v>
      </c>
      <c r="U213" s="37">
        <v>1</v>
      </c>
      <c r="V213" s="30">
        <f t="shared" si="338"/>
        <v>26.076190476190479</v>
      </c>
      <c r="W213" s="25">
        <v>78</v>
      </c>
      <c r="X213" s="31">
        <f t="shared" si="428"/>
        <v>217.60000000000002</v>
      </c>
      <c r="Y213" s="25">
        <v>160</v>
      </c>
      <c r="Z213" s="25">
        <v>14</v>
      </c>
      <c r="AA213" s="25">
        <v>116</v>
      </c>
      <c r="AB213" s="37">
        <v>1</v>
      </c>
      <c r="AC213" s="30">
        <f t="shared" si="326"/>
        <v>200</v>
      </c>
      <c r="AD213" s="31">
        <f t="shared" si="429"/>
        <v>8</v>
      </c>
      <c r="AE213" s="31" t="str">
        <f t="shared" si="430"/>
        <v/>
      </c>
      <c r="AF213" s="31">
        <f t="shared" si="431"/>
        <v>7</v>
      </c>
      <c r="AG213" s="31" t="str">
        <f t="shared" si="432"/>
        <v/>
      </c>
      <c r="AH213" s="31" t="str">
        <f t="shared" si="433"/>
        <v/>
      </c>
      <c r="AI213" s="31" t="str">
        <f t="shared" si="434"/>
        <v/>
      </c>
      <c r="AJ213" s="25">
        <v>8</v>
      </c>
      <c r="AK213" s="25">
        <v>7</v>
      </c>
      <c r="AL213" s="25">
        <v>0</v>
      </c>
      <c r="AM213" s="23" t="s">
        <v>206</v>
      </c>
      <c r="AN213" s="23" t="s">
        <v>92</v>
      </c>
      <c r="AO213" s="25">
        <v>280</v>
      </c>
      <c r="AR213" s="32" t="str">
        <f t="shared" si="435"/>
        <v>3 doors</v>
      </c>
      <c r="AS213" s="23" t="s">
        <v>289</v>
      </c>
      <c r="AT213" s="23" t="s">
        <v>270</v>
      </c>
      <c r="AU213" s="23" t="str">
        <f t="shared" si="436"/>
        <v>CC</v>
      </c>
      <c r="AV213" s="34">
        <f t="shared" si="437"/>
        <v>1550.03</v>
      </c>
      <c r="AW213" s="23">
        <v>15</v>
      </c>
      <c r="AX213" s="23">
        <v>50</v>
      </c>
      <c r="AY213" s="23">
        <v>3</v>
      </c>
    </row>
    <row r="214" spans="1:51">
      <c r="A214" s="25">
        <v>280</v>
      </c>
      <c r="B214" s="23" t="s">
        <v>125</v>
      </c>
      <c r="C214" s="23" t="s">
        <v>289</v>
      </c>
      <c r="D214" s="23">
        <v>3</v>
      </c>
      <c r="E214" s="25" t="s">
        <v>285</v>
      </c>
      <c r="F214" s="25" t="s">
        <v>306</v>
      </c>
      <c r="G214" s="23" t="s">
        <v>27</v>
      </c>
      <c r="H214" s="23" t="s">
        <v>169</v>
      </c>
      <c r="I214" s="25">
        <v>1980</v>
      </c>
      <c r="J214" s="35">
        <v>30</v>
      </c>
      <c r="K214" s="35">
        <v>40</v>
      </c>
      <c r="L214" s="35">
        <v>20</v>
      </c>
      <c r="M214" s="25">
        <v>10</v>
      </c>
      <c r="N214" s="25">
        <v>10</v>
      </c>
      <c r="O214" s="25">
        <v>10</v>
      </c>
      <c r="R214" s="30">
        <f t="shared" si="427"/>
        <v>30</v>
      </c>
      <c r="S214" s="37">
        <v>1</v>
      </c>
      <c r="T214" s="30">
        <f t="shared" si="339"/>
        <v>20.022857142857145</v>
      </c>
      <c r="U214" s="37">
        <v>1</v>
      </c>
      <c r="V214" s="30">
        <f t="shared" si="338"/>
        <v>26.076190476190479</v>
      </c>
      <c r="W214" s="25">
        <v>78</v>
      </c>
      <c r="X214" s="31">
        <f t="shared" si="428"/>
        <v>217.60000000000002</v>
      </c>
      <c r="Y214" s="25">
        <v>160</v>
      </c>
      <c r="Z214" s="25">
        <v>14</v>
      </c>
      <c r="AA214" s="25">
        <v>116</v>
      </c>
      <c r="AB214" s="37">
        <v>1</v>
      </c>
      <c r="AC214" s="30">
        <f t="shared" si="326"/>
        <v>200</v>
      </c>
      <c r="AD214" s="31">
        <f t="shared" si="429"/>
        <v>8</v>
      </c>
      <c r="AE214" s="31" t="str">
        <f t="shared" si="430"/>
        <v/>
      </c>
      <c r="AF214" s="31">
        <f t="shared" si="431"/>
        <v>7</v>
      </c>
      <c r="AG214" s="31" t="str">
        <f t="shared" si="432"/>
        <v/>
      </c>
      <c r="AH214" s="31" t="str">
        <f t="shared" si="433"/>
        <v/>
      </c>
      <c r="AI214" s="31" t="str">
        <f t="shared" si="434"/>
        <v/>
      </c>
      <c r="AJ214" s="25">
        <v>8</v>
      </c>
      <c r="AK214" s="25">
        <v>7</v>
      </c>
      <c r="AL214" s="25">
        <v>0</v>
      </c>
      <c r="AM214" s="23" t="s">
        <v>206</v>
      </c>
      <c r="AN214" s="23" t="s">
        <v>92</v>
      </c>
      <c r="AO214" s="25">
        <v>280</v>
      </c>
      <c r="AR214" s="32" t="str">
        <f t="shared" si="435"/>
        <v>3 doors</v>
      </c>
      <c r="AS214" s="23" t="s">
        <v>289</v>
      </c>
      <c r="AT214" s="23" t="s">
        <v>270</v>
      </c>
      <c r="AU214" s="23" t="str">
        <f t="shared" si="436"/>
        <v>CC</v>
      </c>
      <c r="AV214" s="34">
        <f t="shared" si="437"/>
        <v>1550.04</v>
      </c>
      <c r="AW214" s="23">
        <v>15</v>
      </c>
      <c r="AX214" s="23">
        <v>50</v>
      </c>
      <c r="AY214" s="23">
        <v>4</v>
      </c>
    </row>
    <row r="215" spans="1:51">
      <c r="A215" s="25">
        <v>280</v>
      </c>
      <c r="B215" s="23" t="s">
        <v>125</v>
      </c>
      <c r="C215" s="23" t="s">
        <v>289</v>
      </c>
      <c r="D215" s="23">
        <v>3</v>
      </c>
      <c r="E215" s="25" t="s">
        <v>286</v>
      </c>
      <c r="F215" s="25" t="s">
        <v>307</v>
      </c>
      <c r="G215" s="23" t="s">
        <v>27</v>
      </c>
      <c r="H215" s="23" t="s">
        <v>169</v>
      </c>
      <c r="I215" s="25">
        <v>1980</v>
      </c>
      <c r="J215" s="35">
        <v>30</v>
      </c>
      <c r="K215" s="35">
        <v>40</v>
      </c>
      <c r="L215" s="35">
        <v>20</v>
      </c>
      <c r="M215" s="25">
        <v>10</v>
      </c>
      <c r="N215" s="25">
        <v>10</v>
      </c>
      <c r="O215" s="25">
        <v>10</v>
      </c>
      <c r="R215" s="30">
        <f t="shared" si="427"/>
        <v>30</v>
      </c>
      <c r="S215" s="37">
        <v>1</v>
      </c>
      <c r="T215" s="30">
        <f t="shared" si="339"/>
        <v>20.022857142857145</v>
      </c>
      <c r="U215" s="37">
        <v>1</v>
      </c>
      <c r="V215" s="30">
        <f t="shared" si="338"/>
        <v>26.076190476190479</v>
      </c>
      <c r="W215" s="25">
        <v>78</v>
      </c>
      <c r="X215" s="31">
        <f t="shared" si="428"/>
        <v>217.60000000000002</v>
      </c>
      <c r="Y215" s="25">
        <v>160</v>
      </c>
      <c r="Z215" s="25">
        <v>14</v>
      </c>
      <c r="AA215" s="25">
        <v>116</v>
      </c>
      <c r="AB215" s="37">
        <v>1</v>
      </c>
      <c r="AC215" s="30">
        <f t="shared" si="326"/>
        <v>200</v>
      </c>
      <c r="AD215" s="31">
        <f t="shared" si="429"/>
        <v>8</v>
      </c>
      <c r="AE215" s="31" t="str">
        <f t="shared" si="430"/>
        <v/>
      </c>
      <c r="AF215" s="31">
        <f t="shared" si="431"/>
        <v>7</v>
      </c>
      <c r="AG215" s="31" t="str">
        <f t="shared" si="432"/>
        <v/>
      </c>
      <c r="AH215" s="31" t="str">
        <f t="shared" si="433"/>
        <v/>
      </c>
      <c r="AI215" s="31" t="str">
        <f t="shared" si="434"/>
        <v/>
      </c>
      <c r="AJ215" s="25">
        <v>8</v>
      </c>
      <c r="AK215" s="25">
        <v>7</v>
      </c>
      <c r="AL215" s="25">
        <v>0</v>
      </c>
      <c r="AM215" s="23" t="s">
        <v>206</v>
      </c>
      <c r="AN215" s="23" t="s">
        <v>92</v>
      </c>
      <c r="AO215" s="25">
        <v>280</v>
      </c>
      <c r="AR215" s="32" t="str">
        <f t="shared" si="435"/>
        <v>3 doors</v>
      </c>
      <c r="AS215" s="23" t="s">
        <v>289</v>
      </c>
      <c r="AT215" s="23" t="s">
        <v>270</v>
      </c>
      <c r="AU215" s="23" t="str">
        <f t="shared" si="436"/>
        <v>CC</v>
      </c>
      <c r="AV215" s="34">
        <f t="shared" si="437"/>
        <v>1550.05</v>
      </c>
      <c r="AW215" s="23">
        <v>15</v>
      </c>
      <c r="AX215" s="23">
        <v>50</v>
      </c>
      <c r="AY215" s="23">
        <v>5</v>
      </c>
    </row>
    <row r="216" spans="1:51">
      <c r="A216" s="25">
        <v>280</v>
      </c>
      <c r="B216" s="23" t="s">
        <v>89</v>
      </c>
      <c r="C216" s="23" t="s">
        <v>28</v>
      </c>
      <c r="D216" s="23">
        <v>4</v>
      </c>
      <c r="E216" s="25" t="s">
        <v>30</v>
      </c>
      <c r="F216" s="25" t="s">
        <v>296</v>
      </c>
      <c r="G216" s="23" t="s">
        <v>28</v>
      </c>
      <c r="H216" s="23" t="s">
        <v>163</v>
      </c>
      <c r="I216" s="25">
        <v>1997</v>
      </c>
      <c r="J216" s="35">
        <v>30</v>
      </c>
      <c r="K216" s="35">
        <v>40</v>
      </c>
      <c r="L216" s="35">
        <v>20</v>
      </c>
      <c r="M216" s="25">
        <v>10</v>
      </c>
      <c r="N216" s="25">
        <v>10</v>
      </c>
      <c r="O216" s="25">
        <v>10</v>
      </c>
      <c r="P216" s="25">
        <v>10</v>
      </c>
      <c r="R216" s="30">
        <f t="shared" si="151"/>
        <v>40</v>
      </c>
      <c r="S216" s="37">
        <v>1</v>
      </c>
      <c r="T216" s="30">
        <f t="shared" si="339"/>
        <v>26.761142857142858</v>
      </c>
      <c r="U216" s="37">
        <v>1</v>
      </c>
      <c r="V216" s="30">
        <f t="shared" si="338"/>
        <v>25.395809523809529</v>
      </c>
      <c r="W216" s="25">
        <v>72</v>
      </c>
      <c r="X216" s="31">
        <f t="shared" si="152"/>
        <v>258.40000000000003</v>
      </c>
      <c r="Y216" s="25">
        <v>190</v>
      </c>
      <c r="Z216" s="25">
        <v>14</v>
      </c>
      <c r="AA216" s="25">
        <v>140</v>
      </c>
      <c r="AB216" s="37">
        <v>1</v>
      </c>
      <c r="AC216" s="30">
        <f t="shared" si="326"/>
        <v>200</v>
      </c>
      <c r="AD216" s="31">
        <f t="shared" si="153"/>
        <v>8</v>
      </c>
      <c r="AE216" s="31" t="str">
        <f t="shared" si="154"/>
        <v/>
      </c>
      <c r="AF216" s="31">
        <f t="shared" si="155"/>
        <v>7</v>
      </c>
      <c r="AG216" s="31" t="str">
        <f t="shared" si="156"/>
        <v/>
      </c>
      <c r="AH216" s="31" t="str">
        <f t="shared" si="157"/>
        <v/>
      </c>
      <c r="AI216" s="31" t="str">
        <f t="shared" si="158"/>
        <v/>
      </c>
      <c r="AJ216" s="25">
        <v>8</v>
      </c>
      <c r="AK216" s="25">
        <v>7</v>
      </c>
      <c r="AL216" s="25">
        <v>0</v>
      </c>
      <c r="AM216" s="23" t="s">
        <v>206</v>
      </c>
      <c r="AN216" s="23" t="s">
        <v>92</v>
      </c>
      <c r="AO216" s="25">
        <v>280</v>
      </c>
      <c r="AR216" s="32" t="str">
        <f t="shared" si="159"/>
        <v>4 doors</v>
      </c>
      <c r="AS216" s="23" t="s">
        <v>294</v>
      </c>
      <c r="AT216" s="23" t="s">
        <v>32</v>
      </c>
      <c r="AU216" s="23" t="str">
        <f t="shared" si="107"/>
        <v>CC</v>
      </c>
      <c r="AV216" s="34">
        <f t="shared" si="160"/>
        <v>1560</v>
      </c>
      <c r="AW216" s="23">
        <v>15</v>
      </c>
      <c r="AX216" s="23">
        <v>60</v>
      </c>
      <c r="AY216" s="23">
        <v>0</v>
      </c>
    </row>
    <row r="217" spans="1:51">
      <c r="A217" s="25">
        <v>280</v>
      </c>
      <c r="B217" s="23" t="s">
        <v>89</v>
      </c>
      <c r="C217" s="23" t="s">
        <v>28</v>
      </c>
      <c r="D217" s="23">
        <v>4</v>
      </c>
      <c r="E217" s="25" t="s">
        <v>42</v>
      </c>
      <c r="F217" s="25" t="s">
        <v>295</v>
      </c>
      <c r="G217" s="23" t="s">
        <v>28</v>
      </c>
      <c r="H217" s="23" t="s">
        <v>163</v>
      </c>
      <c r="I217" s="25">
        <v>1997</v>
      </c>
      <c r="J217" s="35">
        <v>30</v>
      </c>
      <c r="K217" s="35">
        <v>40</v>
      </c>
      <c r="L217" s="35">
        <v>20</v>
      </c>
      <c r="M217" s="25">
        <v>10</v>
      </c>
      <c r="N217" s="25">
        <v>10</v>
      </c>
      <c r="O217" s="25">
        <v>10</v>
      </c>
      <c r="P217" s="25">
        <v>10</v>
      </c>
      <c r="R217" s="30">
        <f t="shared" ref="R217" si="438">SUM(M217:Q217)</f>
        <v>40</v>
      </c>
      <c r="S217" s="37">
        <v>1</v>
      </c>
      <c r="T217" s="30">
        <f t="shared" si="339"/>
        <v>26.761142857142858</v>
      </c>
      <c r="U217" s="37">
        <v>1</v>
      </c>
      <c r="V217" s="30">
        <f t="shared" si="338"/>
        <v>25.395809523809529</v>
      </c>
      <c r="W217" s="25">
        <v>72</v>
      </c>
      <c r="X217" s="31">
        <f t="shared" ref="X217" si="439">Y217*1.36</f>
        <v>258.40000000000003</v>
      </c>
      <c r="Y217" s="25">
        <v>190</v>
      </c>
      <c r="Z217" s="25">
        <v>14</v>
      </c>
      <c r="AA217" s="25">
        <v>140</v>
      </c>
      <c r="AB217" s="37">
        <v>1</v>
      </c>
      <c r="AC217" s="30">
        <f t="shared" si="326"/>
        <v>200</v>
      </c>
      <c r="AD217" s="31">
        <f t="shared" ref="AD217" si="440">IF(AJ217&gt;8, AJ217-8, AJ217)</f>
        <v>8</v>
      </c>
      <c r="AE217" s="31" t="str">
        <f t="shared" ref="AE217" si="441">IF(AJ217&gt;8, 8, "")</f>
        <v/>
      </c>
      <c r="AF217" s="31">
        <f t="shared" ref="AF217" si="442">IF(AK217&gt;8, AK217-8, IF(AK217=0, "", AK217))</f>
        <v>7</v>
      </c>
      <c r="AG217" s="31" t="str">
        <f t="shared" ref="AG217" si="443">IF(AK217&gt;8, 8, "")</f>
        <v/>
      </c>
      <c r="AH217" s="31" t="str">
        <f t="shared" ref="AH217" si="444">IF(AL217&gt;8, AL217-8, IF(AL217=0, "", AL217))</f>
        <v/>
      </c>
      <c r="AI217" s="31" t="str">
        <f t="shared" ref="AI217" si="445">IF(AL217&gt;8, 8, "")</f>
        <v/>
      </c>
      <c r="AJ217" s="25">
        <v>8</v>
      </c>
      <c r="AK217" s="25">
        <v>7</v>
      </c>
      <c r="AL217" s="25">
        <v>0</v>
      </c>
      <c r="AM217" s="23" t="s">
        <v>206</v>
      </c>
      <c r="AN217" s="23" t="s">
        <v>92</v>
      </c>
      <c r="AO217" s="25">
        <v>280</v>
      </c>
      <c r="AR217" s="32" t="str">
        <f t="shared" ref="AR217" si="446">IF(Q217&gt;0, "5 doors", IF(P217&gt;0, "4 doors", IF(O217&gt;0, "3 doors", IF(N217&gt;0, "2 doors", "1 door"))))</f>
        <v>4 doors</v>
      </c>
      <c r="AS217" s="23" t="s">
        <v>294</v>
      </c>
      <c r="AT217" s="23" t="s">
        <v>32</v>
      </c>
      <c r="AU217" s="23" t="str">
        <f t="shared" ref="AU217" si="447">IF(ISNUMBER(SEARCH("CC", E217)), "CC", "Hungary")</f>
        <v>CC</v>
      </c>
      <c r="AV217" s="34">
        <f t="shared" ref="AV217" si="448">(AW217*100)+AX217+(AY217/100)</f>
        <v>1560.01</v>
      </c>
      <c r="AW217" s="23">
        <v>15</v>
      </c>
      <c r="AX217" s="23">
        <v>60</v>
      </c>
      <c r="AY217" s="23">
        <v>1</v>
      </c>
    </row>
    <row r="218" spans="1:51">
      <c r="A218" s="25">
        <v>280</v>
      </c>
      <c r="B218" s="23" t="s">
        <v>89</v>
      </c>
      <c r="C218" s="23" t="s">
        <v>127</v>
      </c>
      <c r="D218" s="23">
        <v>4</v>
      </c>
      <c r="E218" s="25" t="s">
        <v>30</v>
      </c>
      <c r="F218" s="25" t="s">
        <v>319</v>
      </c>
      <c r="G218" s="23" t="s">
        <v>27</v>
      </c>
      <c r="H218" s="23" t="s">
        <v>240</v>
      </c>
      <c r="I218" s="25">
        <v>1998</v>
      </c>
      <c r="J218" s="35">
        <v>30</v>
      </c>
      <c r="K218" s="35">
        <v>40</v>
      </c>
      <c r="L218" s="35">
        <v>20</v>
      </c>
      <c r="M218" s="25">
        <v>10</v>
      </c>
      <c r="N218" s="25">
        <v>10</v>
      </c>
      <c r="O218" s="25">
        <v>10</v>
      </c>
      <c r="P218" s="25">
        <v>10</v>
      </c>
      <c r="R218" s="30">
        <f t="shared" si="151"/>
        <v>40</v>
      </c>
      <c r="S218" s="37">
        <v>1</v>
      </c>
      <c r="T218" s="30">
        <f t="shared" si="339"/>
        <v>22.777142857142859</v>
      </c>
      <c r="U218" s="37">
        <v>1</v>
      </c>
      <c r="V218" s="30">
        <f t="shared" si="338"/>
        <v>31.070476190476196</v>
      </c>
      <c r="W218" s="25">
        <v>72</v>
      </c>
      <c r="X218" s="31">
        <f t="shared" si="152"/>
        <v>258.40000000000003</v>
      </c>
      <c r="Y218" s="25">
        <v>190</v>
      </c>
      <c r="Z218" s="25">
        <v>14</v>
      </c>
      <c r="AA218" s="25">
        <v>146</v>
      </c>
      <c r="AB218" s="37">
        <v>1</v>
      </c>
      <c r="AC218" s="30">
        <f t="shared" si="326"/>
        <v>200</v>
      </c>
      <c r="AD218" s="31">
        <f t="shared" si="153"/>
        <v>8</v>
      </c>
      <c r="AE218" s="31" t="str">
        <f t="shared" si="154"/>
        <v/>
      </c>
      <c r="AF218" s="31">
        <f t="shared" si="155"/>
        <v>7</v>
      </c>
      <c r="AG218" s="31" t="str">
        <f t="shared" si="156"/>
        <v/>
      </c>
      <c r="AH218" s="31" t="str">
        <f t="shared" si="157"/>
        <v/>
      </c>
      <c r="AI218" s="31" t="str">
        <f t="shared" si="158"/>
        <v/>
      </c>
      <c r="AJ218" s="25">
        <v>8</v>
      </c>
      <c r="AK218" s="25">
        <v>7</v>
      </c>
      <c r="AL218" s="25">
        <v>0</v>
      </c>
      <c r="AM218" s="23" t="s">
        <v>206</v>
      </c>
      <c r="AN218" s="23" t="s">
        <v>92</v>
      </c>
      <c r="AO218" s="25">
        <v>280</v>
      </c>
      <c r="AR218" s="32" t="str">
        <f t="shared" si="159"/>
        <v>4 doors</v>
      </c>
      <c r="AS218" s="23" t="s">
        <v>293</v>
      </c>
      <c r="AT218" s="23" t="s">
        <v>32</v>
      </c>
      <c r="AU218" s="23" t="str">
        <f t="shared" si="107"/>
        <v>CC</v>
      </c>
      <c r="AV218" s="34">
        <f t="shared" si="160"/>
        <v>1570</v>
      </c>
      <c r="AW218" s="23">
        <v>15</v>
      </c>
      <c r="AX218" s="23">
        <v>70</v>
      </c>
      <c r="AY218" s="23">
        <v>0</v>
      </c>
    </row>
    <row r="219" spans="1:51">
      <c r="A219" s="25">
        <v>280</v>
      </c>
      <c r="B219" s="23" t="s">
        <v>89</v>
      </c>
      <c r="C219" s="23" t="s">
        <v>127</v>
      </c>
      <c r="D219" s="23">
        <v>4</v>
      </c>
      <c r="E219" s="25" t="s">
        <v>42</v>
      </c>
      <c r="F219" s="25" t="s">
        <v>295</v>
      </c>
      <c r="G219" s="23" t="s">
        <v>27</v>
      </c>
      <c r="H219" s="23" t="s">
        <v>240</v>
      </c>
      <c r="I219" s="25">
        <v>1998</v>
      </c>
      <c r="J219" s="35">
        <v>30</v>
      </c>
      <c r="K219" s="35">
        <v>40</v>
      </c>
      <c r="L219" s="35">
        <v>20</v>
      </c>
      <c r="M219" s="25">
        <v>10</v>
      </c>
      <c r="N219" s="25">
        <v>10</v>
      </c>
      <c r="O219" s="25">
        <v>10</v>
      </c>
      <c r="P219" s="25">
        <v>10</v>
      </c>
      <c r="R219" s="30">
        <f t="shared" ref="R219:R220" si="449">SUM(M219:Q219)</f>
        <v>40</v>
      </c>
      <c r="S219" s="37">
        <v>1</v>
      </c>
      <c r="T219" s="30">
        <f t="shared" si="339"/>
        <v>22.777142857142859</v>
      </c>
      <c r="U219" s="37">
        <v>1</v>
      </c>
      <c r="V219" s="30">
        <f t="shared" si="338"/>
        <v>31.070476190476196</v>
      </c>
      <c r="W219" s="25">
        <v>72</v>
      </c>
      <c r="X219" s="31">
        <f t="shared" ref="X219:X220" si="450">Y219*1.36</f>
        <v>258.40000000000003</v>
      </c>
      <c r="Y219" s="25">
        <v>190</v>
      </c>
      <c r="Z219" s="25">
        <v>14</v>
      </c>
      <c r="AA219" s="25">
        <v>146</v>
      </c>
      <c r="AB219" s="37">
        <v>1</v>
      </c>
      <c r="AC219" s="30">
        <f t="shared" si="326"/>
        <v>200</v>
      </c>
      <c r="AD219" s="31">
        <f t="shared" ref="AD219:AD220" si="451">IF(AJ219&gt;8, AJ219-8, AJ219)</f>
        <v>8</v>
      </c>
      <c r="AE219" s="31" t="str">
        <f t="shared" ref="AE219:AE220" si="452">IF(AJ219&gt;8, 8, "")</f>
        <v/>
      </c>
      <c r="AF219" s="31">
        <f t="shared" ref="AF219:AF220" si="453">IF(AK219&gt;8, AK219-8, IF(AK219=0, "", AK219))</f>
        <v>7</v>
      </c>
      <c r="AG219" s="31" t="str">
        <f t="shared" ref="AG219:AG220" si="454">IF(AK219&gt;8, 8, "")</f>
        <v/>
      </c>
      <c r="AH219" s="31" t="str">
        <f t="shared" ref="AH219:AH220" si="455">IF(AL219&gt;8, AL219-8, IF(AL219=0, "", AL219))</f>
        <v/>
      </c>
      <c r="AI219" s="31" t="str">
        <f t="shared" ref="AI219:AI220" si="456">IF(AL219&gt;8, 8, "")</f>
        <v/>
      </c>
      <c r="AJ219" s="25">
        <v>8</v>
      </c>
      <c r="AK219" s="25">
        <v>7</v>
      </c>
      <c r="AL219" s="25">
        <v>0</v>
      </c>
      <c r="AM219" s="23" t="s">
        <v>206</v>
      </c>
      <c r="AN219" s="23" t="s">
        <v>92</v>
      </c>
      <c r="AO219" s="25">
        <v>280</v>
      </c>
      <c r="AR219" s="32" t="str">
        <f t="shared" ref="AR219:AR220" si="457">IF(Q219&gt;0, "5 doors", IF(P219&gt;0, "4 doors", IF(O219&gt;0, "3 doors", IF(N219&gt;0, "2 doors", "1 door"))))</f>
        <v>4 doors</v>
      </c>
      <c r="AS219" s="23" t="s">
        <v>293</v>
      </c>
      <c r="AT219" s="23" t="s">
        <v>32</v>
      </c>
      <c r="AU219" s="23" t="str">
        <f t="shared" ref="AU219:AU220" si="458">IF(ISNUMBER(SEARCH("CC", E219)), "CC", "Hungary")</f>
        <v>CC</v>
      </c>
      <c r="AV219" s="34">
        <f t="shared" ref="AV219:AV220" si="459">(AW219*100)+AX219+(AY219/100)</f>
        <v>1570.01</v>
      </c>
      <c r="AW219" s="23">
        <v>15</v>
      </c>
      <c r="AX219" s="23">
        <v>70</v>
      </c>
      <c r="AY219" s="23">
        <v>1</v>
      </c>
    </row>
    <row r="220" spans="1:51">
      <c r="A220" s="25">
        <v>280</v>
      </c>
      <c r="B220" s="23" t="s">
        <v>89</v>
      </c>
      <c r="C220" s="23" t="s">
        <v>127</v>
      </c>
      <c r="D220" s="23">
        <v>4</v>
      </c>
      <c r="E220" s="25" t="s">
        <v>96</v>
      </c>
      <c r="F220" s="25" t="s">
        <v>85</v>
      </c>
      <c r="G220" s="23" t="s">
        <v>27</v>
      </c>
      <c r="H220" s="23" t="s">
        <v>240</v>
      </c>
      <c r="I220" s="25">
        <v>1998</v>
      </c>
      <c r="J220" s="35">
        <v>30</v>
      </c>
      <c r="K220" s="35">
        <v>40</v>
      </c>
      <c r="L220" s="35">
        <v>20</v>
      </c>
      <c r="M220" s="25">
        <v>10</v>
      </c>
      <c r="N220" s="25">
        <v>10</v>
      </c>
      <c r="O220" s="25">
        <v>10</v>
      </c>
      <c r="P220" s="25">
        <v>10</v>
      </c>
      <c r="R220" s="30">
        <f t="shared" si="449"/>
        <v>40</v>
      </c>
      <c r="S220" s="37">
        <v>1</v>
      </c>
      <c r="T220" s="30">
        <f t="shared" si="339"/>
        <v>22.777142857142859</v>
      </c>
      <c r="U220" s="37">
        <v>1</v>
      </c>
      <c r="V220" s="30">
        <f t="shared" si="338"/>
        <v>31.070476190476196</v>
      </c>
      <c r="W220" s="25">
        <v>72</v>
      </c>
      <c r="X220" s="31">
        <f t="shared" si="450"/>
        <v>258.40000000000003</v>
      </c>
      <c r="Y220" s="25">
        <v>190</v>
      </c>
      <c r="Z220" s="25">
        <v>14</v>
      </c>
      <c r="AA220" s="25">
        <v>146</v>
      </c>
      <c r="AB220" s="37">
        <v>1</v>
      </c>
      <c r="AC220" s="30">
        <f t="shared" si="326"/>
        <v>200</v>
      </c>
      <c r="AD220" s="31">
        <f t="shared" si="451"/>
        <v>8</v>
      </c>
      <c r="AE220" s="31" t="str">
        <f t="shared" si="452"/>
        <v/>
      </c>
      <c r="AF220" s="31">
        <f t="shared" si="453"/>
        <v>7</v>
      </c>
      <c r="AG220" s="31" t="str">
        <f t="shared" si="454"/>
        <v/>
      </c>
      <c r="AH220" s="31" t="str">
        <f t="shared" si="455"/>
        <v/>
      </c>
      <c r="AI220" s="31" t="str">
        <f t="shared" si="456"/>
        <v/>
      </c>
      <c r="AJ220" s="25">
        <v>8</v>
      </c>
      <c r="AK220" s="25">
        <v>7</v>
      </c>
      <c r="AL220" s="25">
        <v>0</v>
      </c>
      <c r="AM220" s="23" t="s">
        <v>206</v>
      </c>
      <c r="AN220" s="23" t="s">
        <v>92</v>
      </c>
      <c r="AO220" s="25">
        <v>280</v>
      </c>
      <c r="AR220" s="32" t="str">
        <f t="shared" si="457"/>
        <v>4 doors</v>
      </c>
      <c r="AS220" s="23" t="s">
        <v>293</v>
      </c>
      <c r="AT220" s="23" t="s">
        <v>32</v>
      </c>
      <c r="AU220" s="23" t="str">
        <f t="shared" si="458"/>
        <v>Hungary</v>
      </c>
      <c r="AV220" s="34">
        <f t="shared" si="459"/>
        <v>1570.02</v>
      </c>
      <c r="AW220" s="23">
        <v>15</v>
      </c>
      <c r="AX220" s="23">
        <v>70</v>
      </c>
      <c r="AY220" s="23">
        <v>2</v>
      </c>
    </row>
    <row r="221" spans="1:51">
      <c r="A221" s="25">
        <v>280</v>
      </c>
      <c r="B221" s="23" t="s">
        <v>89</v>
      </c>
      <c r="C221" s="23" t="s">
        <v>127</v>
      </c>
      <c r="D221" s="23">
        <v>4</v>
      </c>
      <c r="E221" s="25" t="s">
        <v>97</v>
      </c>
      <c r="F221" s="25" t="s">
        <v>85</v>
      </c>
      <c r="G221" s="23" t="s">
        <v>27</v>
      </c>
      <c r="H221" s="23" t="s">
        <v>240</v>
      </c>
      <c r="I221" s="25">
        <v>1998</v>
      </c>
      <c r="J221" s="35">
        <v>30</v>
      </c>
      <c r="K221" s="35">
        <v>40</v>
      </c>
      <c r="L221" s="35">
        <v>20</v>
      </c>
      <c r="M221" s="25">
        <v>10</v>
      </c>
      <c r="N221" s="25">
        <v>10</v>
      </c>
      <c r="O221" s="25">
        <v>10</v>
      </c>
      <c r="P221" s="25">
        <v>10</v>
      </c>
      <c r="R221" s="30">
        <f t="shared" ref="R221:R222" si="460">SUM(M221:Q221)</f>
        <v>40</v>
      </c>
      <c r="S221" s="37">
        <v>1</v>
      </c>
      <c r="T221" s="30">
        <f t="shared" si="339"/>
        <v>22.777142857142859</v>
      </c>
      <c r="U221" s="37">
        <v>1</v>
      </c>
      <c r="V221" s="30">
        <f t="shared" si="338"/>
        <v>31.070476190476196</v>
      </c>
      <c r="W221" s="25">
        <v>72</v>
      </c>
      <c r="X221" s="31">
        <f t="shared" ref="X221:X222" si="461">Y221*1.36</f>
        <v>258.40000000000003</v>
      </c>
      <c r="Y221" s="25">
        <v>190</v>
      </c>
      <c r="Z221" s="25">
        <v>14</v>
      </c>
      <c r="AA221" s="25">
        <v>146</v>
      </c>
      <c r="AB221" s="37">
        <v>1</v>
      </c>
      <c r="AC221" s="30">
        <f t="shared" si="326"/>
        <v>200</v>
      </c>
      <c r="AD221" s="31">
        <f t="shared" ref="AD221" si="462">IF(AJ221&gt;8, AJ221-8, AJ221)</f>
        <v>8</v>
      </c>
      <c r="AE221" s="31" t="str">
        <f t="shared" ref="AE221:AE222" si="463">IF(AJ221&gt;8, 8, "")</f>
        <v/>
      </c>
      <c r="AF221" s="31">
        <f t="shared" ref="AF221:AF222" si="464">IF(AK221&gt;8, AK221-8, IF(AK221=0, "", AK221))</f>
        <v>7</v>
      </c>
      <c r="AG221" s="31" t="str">
        <f t="shared" ref="AG221:AG222" si="465">IF(AK221&gt;8, 8, "")</f>
        <v/>
      </c>
      <c r="AH221" s="31" t="str">
        <f t="shared" ref="AH221:AH222" si="466">IF(AL221&gt;8, AL221-8, IF(AL221=0, "", AL221))</f>
        <v/>
      </c>
      <c r="AI221" s="31" t="str">
        <f t="shared" ref="AI221:AI222" si="467">IF(AL221&gt;8, 8, "")</f>
        <v/>
      </c>
      <c r="AJ221" s="25">
        <v>8</v>
      </c>
      <c r="AK221" s="25">
        <v>7</v>
      </c>
      <c r="AL221" s="25">
        <v>0</v>
      </c>
      <c r="AM221" s="23" t="s">
        <v>206</v>
      </c>
      <c r="AN221" s="23" t="s">
        <v>92</v>
      </c>
      <c r="AO221" s="25">
        <v>280</v>
      </c>
      <c r="AR221" s="32" t="str">
        <f t="shared" ref="AR221:AR222" si="468">IF(Q221&gt;0, "5 doors", IF(P221&gt;0, "4 doors", IF(O221&gt;0, "3 doors", IF(N221&gt;0, "2 doors", "1 door"))))</f>
        <v>4 doors</v>
      </c>
      <c r="AS221" s="23" t="s">
        <v>293</v>
      </c>
      <c r="AT221" s="23" t="s">
        <v>32</v>
      </c>
      <c r="AU221" s="23" t="str">
        <f t="shared" ref="AU221:AU222" si="469">IF(ISNUMBER(SEARCH("CC", E221)), "CC", "Hungary")</f>
        <v>Hungary</v>
      </c>
      <c r="AV221" s="34">
        <f t="shared" ref="AV221:AV222" si="470">(AW221*100)+AX221+(AY221/100)</f>
        <v>1570.03</v>
      </c>
      <c r="AW221" s="23">
        <v>15</v>
      </c>
      <c r="AX221" s="23">
        <v>70</v>
      </c>
      <c r="AY221" s="23">
        <v>3</v>
      </c>
    </row>
    <row r="222" spans="1:51">
      <c r="A222" s="25" t="s">
        <v>257</v>
      </c>
      <c r="B222" s="23" t="s">
        <v>89</v>
      </c>
      <c r="D222" s="23">
        <v>4</v>
      </c>
      <c r="E222" s="25" t="s">
        <v>30</v>
      </c>
      <c r="F222" s="25" t="s">
        <v>295</v>
      </c>
      <c r="G222" s="23" t="s">
        <v>27</v>
      </c>
      <c r="H222" s="23" t="s">
        <v>258</v>
      </c>
      <c r="I222" s="25">
        <v>1998</v>
      </c>
      <c r="J222" s="35">
        <v>30</v>
      </c>
      <c r="K222" s="35">
        <v>40</v>
      </c>
      <c r="L222" s="35">
        <v>20</v>
      </c>
      <c r="M222" s="25">
        <v>10</v>
      </c>
      <c r="N222" s="25">
        <v>10</v>
      </c>
      <c r="O222" s="25">
        <v>10</v>
      </c>
      <c r="P222" s="25">
        <v>10</v>
      </c>
      <c r="R222" s="30">
        <f t="shared" si="460"/>
        <v>40</v>
      </c>
      <c r="S222" s="37">
        <v>1</v>
      </c>
      <c r="T222" s="30">
        <f t="shared" si="339"/>
        <v>23.797142857142859</v>
      </c>
      <c r="U222" s="37">
        <v>1</v>
      </c>
      <c r="V222" s="30">
        <f t="shared" si="338"/>
        <v>32.923809523809524</v>
      </c>
      <c r="W222" s="25">
        <v>90</v>
      </c>
      <c r="X222" s="31">
        <f t="shared" si="461"/>
        <v>278.8</v>
      </c>
      <c r="Y222" s="25">
        <v>205</v>
      </c>
      <c r="Z222" s="25">
        <v>14</v>
      </c>
      <c r="AA222" s="25">
        <v>118</v>
      </c>
      <c r="AB222" s="37">
        <v>1</v>
      </c>
      <c r="AC222" s="30">
        <f t="shared" si="326"/>
        <v>200</v>
      </c>
      <c r="AD222" s="31">
        <f t="shared" ref="AD222:AD228" si="471">IF(AJ222&gt;8, AJ222-8, AJ222)</f>
        <v>8</v>
      </c>
      <c r="AE222" s="31" t="str">
        <f t="shared" si="463"/>
        <v/>
      </c>
      <c r="AF222" s="31">
        <f t="shared" si="464"/>
        <v>7</v>
      </c>
      <c r="AG222" s="31" t="str">
        <f t="shared" si="465"/>
        <v/>
      </c>
      <c r="AH222" s="31" t="str">
        <f t="shared" si="466"/>
        <v/>
      </c>
      <c r="AI222" s="31" t="str">
        <f t="shared" si="467"/>
        <v/>
      </c>
      <c r="AJ222" s="25">
        <v>8</v>
      </c>
      <c r="AK222" s="25">
        <v>7</v>
      </c>
      <c r="AL222" s="25">
        <v>0</v>
      </c>
      <c r="AM222" s="23" t="s">
        <v>206</v>
      </c>
      <c r="AN222" s="23" t="s">
        <v>92</v>
      </c>
      <c r="AO222" s="26" t="s">
        <v>257</v>
      </c>
      <c r="AR222" s="32" t="str">
        <f t="shared" si="468"/>
        <v>4 doors</v>
      </c>
      <c r="AS222" s="23" t="s">
        <v>260</v>
      </c>
      <c r="AT222" s="23" t="s">
        <v>32</v>
      </c>
      <c r="AU222" s="23" t="str">
        <f t="shared" si="469"/>
        <v>CC</v>
      </c>
      <c r="AV222" s="34">
        <f t="shared" si="470"/>
        <v>1580</v>
      </c>
      <c r="AW222" s="23">
        <v>15</v>
      </c>
      <c r="AX222" s="23">
        <v>80</v>
      </c>
      <c r="AY222" s="23">
        <v>0</v>
      </c>
    </row>
    <row r="223" spans="1:51">
      <c r="A223" s="25" t="s">
        <v>257</v>
      </c>
      <c r="B223" s="23" t="s">
        <v>89</v>
      </c>
      <c r="D223" s="23">
        <v>4</v>
      </c>
      <c r="E223" s="25" t="s">
        <v>42</v>
      </c>
      <c r="F223" s="25" t="s">
        <v>296</v>
      </c>
      <c r="G223" s="23" t="s">
        <v>27</v>
      </c>
      <c r="H223" s="23" t="s">
        <v>258</v>
      </c>
      <c r="I223" s="25">
        <v>1998</v>
      </c>
      <c r="J223" s="35">
        <v>30</v>
      </c>
      <c r="K223" s="35">
        <v>40</v>
      </c>
      <c r="L223" s="35">
        <v>20</v>
      </c>
      <c r="M223" s="25">
        <v>10</v>
      </c>
      <c r="N223" s="25">
        <v>10</v>
      </c>
      <c r="O223" s="25">
        <v>10</v>
      </c>
      <c r="P223" s="25">
        <v>10</v>
      </c>
      <c r="R223" s="30">
        <f t="shared" ref="R223:R229" si="472">SUM(M223:Q223)</f>
        <v>40</v>
      </c>
      <c r="S223" s="37">
        <v>1</v>
      </c>
      <c r="T223" s="30">
        <f t="shared" si="339"/>
        <v>23.797142857142859</v>
      </c>
      <c r="U223" s="37">
        <v>1</v>
      </c>
      <c r="V223" s="30">
        <f t="shared" si="338"/>
        <v>32.923809523809524</v>
      </c>
      <c r="W223" s="25">
        <v>90</v>
      </c>
      <c r="X223" s="31">
        <f t="shared" ref="X223:X229" si="473">Y223*1.36</f>
        <v>278.8</v>
      </c>
      <c r="Y223" s="25">
        <v>205</v>
      </c>
      <c r="Z223" s="25">
        <v>14</v>
      </c>
      <c r="AA223" s="25">
        <v>118</v>
      </c>
      <c r="AB223" s="37">
        <v>1</v>
      </c>
      <c r="AC223" s="30">
        <f t="shared" si="326"/>
        <v>200</v>
      </c>
      <c r="AD223" s="31">
        <f t="shared" si="471"/>
        <v>8</v>
      </c>
      <c r="AE223" s="31" t="str">
        <f t="shared" ref="AE223:AE229" si="474">IF(AJ223&gt;8, 8, "")</f>
        <v/>
      </c>
      <c r="AF223" s="31">
        <f t="shared" ref="AF223:AF229" si="475">IF(AK223&gt;8, AK223-8, IF(AK223=0, "", AK223))</f>
        <v>7</v>
      </c>
      <c r="AG223" s="31" t="str">
        <f t="shared" ref="AG223:AG229" si="476">IF(AK223&gt;8, 8, "")</f>
        <v/>
      </c>
      <c r="AH223" s="31" t="str">
        <f t="shared" ref="AH223:AH229" si="477">IF(AL223&gt;8, AL223-8, IF(AL223=0, "", AL223))</f>
        <v/>
      </c>
      <c r="AI223" s="31" t="str">
        <f t="shared" ref="AI223:AI229" si="478">IF(AL223&gt;8, 8, "")</f>
        <v/>
      </c>
      <c r="AJ223" s="25">
        <v>8</v>
      </c>
      <c r="AK223" s="25">
        <v>7</v>
      </c>
      <c r="AL223" s="25">
        <v>0</v>
      </c>
      <c r="AM223" s="23" t="s">
        <v>206</v>
      </c>
      <c r="AN223" s="23" t="s">
        <v>92</v>
      </c>
      <c r="AO223" s="26" t="s">
        <v>257</v>
      </c>
      <c r="AR223" s="32" t="str">
        <f t="shared" ref="AR223:AR229" si="479">IF(Q223&gt;0, "5 doors", IF(P223&gt;0, "4 doors", IF(O223&gt;0, "3 doors", IF(N223&gt;0, "2 doors", "1 door"))))</f>
        <v>4 doors</v>
      </c>
      <c r="AS223" s="23" t="s">
        <v>260</v>
      </c>
      <c r="AT223" s="23" t="s">
        <v>32</v>
      </c>
      <c r="AU223" s="23" t="str">
        <f t="shared" ref="AU223:AU229" si="480">IF(ISNUMBER(SEARCH("CC", E223)), "CC", "Hungary")</f>
        <v>CC</v>
      </c>
      <c r="AV223" s="34">
        <f t="shared" ref="AV223:AV229" si="481">(AW223*100)+AX223+(AY223/100)</f>
        <v>1580.01</v>
      </c>
      <c r="AW223" s="23">
        <v>15</v>
      </c>
      <c r="AX223" s="23">
        <v>80</v>
      </c>
      <c r="AY223" s="23">
        <v>1</v>
      </c>
    </row>
    <row r="224" spans="1:51">
      <c r="A224" s="25" t="s">
        <v>257</v>
      </c>
      <c r="B224" s="23" t="s">
        <v>89</v>
      </c>
      <c r="D224" s="23">
        <v>4</v>
      </c>
      <c r="E224" s="25" t="s">
        <v>43</v>
      </c>
      <c r="F224" s="25" t="s">
        <v>297</v>
      </c>
      <c r="G224" s="23" t="s">
        <v>27</v>
      </c>
      <c r="H224" s="23" t="s">
        <v>258</v>
      </c>
      <c r="I224" s="25">
        <v>1998</v>
      </c>
      <c r="J224" s="35">
        <v>30</v>
      </c>
      <c r="K224" s="35">
        <v>40</v>
      </c>
      <c r="L224" s="35">
        <v>20</v>
      </c>
      <c r="M224" s="25">
        <v>10</v>
      </c>
      <c r="N224" s="25">
        <v>10</v>
      </c>
      <c r="O224" s="25">
        <v>10</v>
      </c>
      <c r="P224" s="25">
        <v>10</v>
      </c>
      <c r="R224" s="30">
        <f t="shared" si="472"/>
        <v>40</v>
      </c>
      <c r="S224" s="37">
        <v>1</v>
      </c>
      <c r="T224" s="30">
        <f t="shared" si="339"/>
        <v>23.797142857142859</v>
      </c>
      <c r="U224" s="37">
        <v>1</v>
      </c>
      <c r="V224" s="30">
        <f t="shared" si="338"/>
        <v>32.923809523809524</v>
      </c>
      <c r="W224" s="25">
        <v>90</v>
      </c>
      <c r="X224" s="31">
        <f t="shared" si="473"/>
        <v>278.8</v>
      </c>
      <c r="Y224" s="25">
        <v>205</v>
      </c>
      <c r="Z224" s="25">
        <v>14</v>
      </c>
      <c r="AA224" s="25">
        <v>118</v>
      </c>
      <c r="AB224" s="37">
        <v>1</v>
      </c>
      <c r="AC224" s="30">
        <f t="shared" ref="AC224:AC287" si="482">AB224*IF(AT224="Regional", 185, IF(AT224="Intercity", 150, IF(AT224="Tourist", 100, 200)))</f>
        <v>200</v>
      </c>
      <c r="AD224" s="31">
        <f t="shared" si="471"/>
        <v>8</v>
      </c>
      <c r="AE224" s="31" t="str">
        <f t="shared" si="474"/>
        <v/>
      </c>
      <c r="AF224" s="31">
        <f t="shared" si="475"/>
        <v>7</v>
      </c>
      <c r="AG224" s="31" t="str">
        <f t="shared" si="476"/>
        <v/>
      </c>
      <c r="AH224" s="31" t="str">
        <f t="shared" si="477"/>
        <v/>
      </c>
      <c r="AI224" s="31" t="str">
        <f t="shared" si="478"/>
        <v/>
      </c>
      <c r="AJ224" s="25">
        <v>8</v>
      </c>
      <c r="AK224" s="25">
        <v>7</v>
      </c>
      <c r="AL224" s="25">
        <v>0</v>
      </c>
      <c r="AM224" s="23" t="s">
        <v>206</v>
      </c>
      <c r="AN224" s="23" t="s">
        <v>92</v>
      </c>
      <c r="AO224" s="26" t="s">
        <v>257</v>
      </c>
      <c r="AR224" s="32" t="str">
        <f t="shared" si="479"/>
        <v>4 doors</v>
      </c>
      <c r="AS224" s="23" t="s">
        <v>260</v>
      </c>
      <c r="AT224" s="23" t="s">
        <v>32</v>
      </c>
      <c r="AU224" s="23" t="str">
        <f t="shared" si="480"/>
        <v>CC</v>
      </c>
      <c r="AV224" s="34">
        <f t="shared" si="481"/>
        <v>1580.02</v>
      </c>
      <c r="AW224" s="23">
        <v>15</v>
      </c>
      <c r="AX224" s="23">
        <v>80</v>
      </c>
      <c r="AY224" s="23">
        <v>2</v>
      </c>
    </row>
    <row r="225" spans="1:51">
      <c r="A225" s="25" t="s">
        <v>257</v>
      </c>
      <c r="B225" s="23" t="s">
        <v>89</v>
      </c>
      <c r="D225" s="23">
        <v>4</v>
      </c>
      <c r="E225" s="25" t="s">
        <v>284</v>
      </c>
      <c r="F225" s="25" t="s">
        <v>298</v>
      </c>
      <c r="G225" s="23" t="s">
        <v>27</v>
      </c>
      <c r="H225" s="23" t="s">
        <v>258</v>
      </c>
      <c r="I225" s="25">
        <v>1998</v>
      </c>
      <c r="J225" s="35">
        <v>30</v>
      </c>
      <c r="K225" s="35">
        <v>40</v>
      </c>
      <c r="L225" s="35">
        <v>20</v>
      </c>
      <c r="M225" s="25">
        <v>10</v>
      </c>
      <c r="N225" s="25">
        <v>10</v>
      </c>
      <c r="O225" s="25">
        <v>10</v>
      </c>
      <c r="P225" s="25">
        <v>10</v>
      </c>
      <c r="R225" s="30">
        <f t="shared" si="472"/>
        <v>40</v>
      </c>
      <c r="S225" s="37">
        <v>1</v>
      </c>
      <c r="T225" s="30">
        <f t="shared" si="339"/>
        <v>23.797142857142859</v>
      </c>
      <c r="U225" s="37">
        <v>1</v>
      </c>
      <c r="V225" s="30">
        <f t="shared" si="338"/>
        <v>32.923809523809524</v>
      </c>
      <c r="W225" s="25">
        <v>90</v>
      </c>
      <c r="X225" s="31">
        <f t="shared" si="473"/>
        <v>278.8</v>
      </c>
      <c r="Y225" s="25">
        <v>205</v>
      </c>
      <c r="Z225" s="25">
        <v>14</v>
      </c>
      <c r="AA225" s="25">
        <v>118</v>
      </c>
      <c r="AB225" s="37">
        <v>1</v>
      </c>
      <c r="AC225" s="30">
        <f t="shared" si="482"/>
        <v>200</v>
      </c>
      <c r="AD225" s="31">
        <f t="shared" si="471"/>
        <v>8</v>
      </c>
      <c r="AE225" s="31" t="str">
        <f t="shared" si="474"/>
        <v/>
      </c>
      <c r="AF225" s="31">
        <f t="shared" si="475"/>
        <v>7</v>
      </c>
      <c r="AG225" s="31" t="str">
        <f t="shared" si="476"/>
        <v/>
      </c>
      <c r="AH225" s="31" t="str">
        <f t="shared" si="477"/>
        <v/>
      </c>
      <c r="AI225" s="31" t="str">
        <f t="shared" si="478"/>
        <v/>
      </c>
      <c r="AJ225" s="25">
        <v>8</v>
      </c>
      <c r="AK225" s="25">
        <v>7</v>
      </c>
      <c r="AL225" s="25">
        <v>0</v>
      </c>
      <c r="AM225" s="23" t="s">
        <v>206</v>
      </c>
      <c r="AN225" s="23" t="s">
        <v>92</v>
      </c>
      <c r="AO225" s="26" t="s">
        <v>257</v>
      </c>
      <c r="AR225" s="32" t="str">
        <f t="shared" si="479"/>
        <v>4 doors</v>
      </c>
      <c r="AS225" s="23" t="s">
        <v>260</v>
      </c>
      <c r="AT225" s="23" t="s">
        <v>32</v>
      </c>
      <c r="AU225" s="23" t="str">
        <f t="shared" si="480"/>
        <v>CC</v>
      </c>
      <c r="AV225" s="34">
        <f t="shared" si="481"/>
        <v>1580.03</v>
      </c>
      <c r="AW225" s="23">
        <v>15</v>
      </c>
      <c r="AX225" s="23">
        <v>80</v>
      </c>
      <c r="AY225" s="23">
        <v>3</v>
      </c>
    </row>
    <row r="226" spans="1:51">
      <c r="A226" s="25" t="s">
        <v>257</v>
      </c>
      <c r="B226" s="23" t="s">
        <v>89</v>
      </c>
      <c r="D226" s="23">
        <v>4</v>
      </c>
      <c r="E226" s="25" t="s">
        <v>285</v>
      </c>
      <c r="F226" s="25" t="s">
        <v>301</v>
      </c>
      <c r="G226" s="23" t="s">
        <v>27</v>
      </c>
      <c r="H226" s="23" t="s">
        <v>258</v>
      </c>
      <c r="I226" s="25">
        <v>1998</v>
      </c>
      <c r="J226" s="35">
        <v>30</v>
      </c>
      <c r="K226" s="35">
        <v>40</v>
      </c>
      <c r="L226" s="35">
        <v>20</v>
      </c>
      <c r="M226" s="25">
        <v>10</v>
      </c>
      <c r="N226" s="25">
        <v>10</v>
      </c>
      <c r="O226" s="25">
        <v>10</v>
      </c>
      <c r="P226" s="25">
        <v>10</v>
      </c>
      <c r="R226" s="30">
        <f t="shared" si="472"/>
        <v>40</v>
      </c>
      <c r="S226" s="37">
        <v>1</v>
      </c>
      <c r="T226" s="30">
        <f t="shared" si="339"/>
        <v>23.797142857142859</v>
      </c>
      <c r="U226" s="37">
        <v>1</v>
      </c>
      <c r="V226" s="30">
        <f t="shared" si="338"/>
        <v>32.923809523809524</v>
      </c>
      <c r="W226" s="25">
        <v>90</v>
      </c>
      <c r="X226" s="31">
        <f t="shared" si="473"/>
        <v>278.8</v>
      </c>
      <c r="Y226" s="25">
        <v>205</v>
      </c>
      <c r="Z226" s="25">
        <v>14</v>
      </c>
      <c r="AA226" s="25">
        <v>118</v>
      </c>
      <c r="AB226" s="37">
        <v>1</v>
      </c>
      <c r="AC226" s="30">
        <f t="shared" si="482"/>
        <v>200</v>
      </c>
      <c r="AD226" s="31">
        <f t="shared" si="471"/>
        <v>8</v>
      </c>
      <c r="AE226" s="31" t="str">
        <f t="shared" si="474"/>
        <v/>
      </c>
      <c r="AF226" s="31">
        <f t="shared" si="475"/>
        <v>7</v>
      </c>
      <c r="AG226" s="31" t="str">
        <f t="shared" si="476"/>
        <v/>
      </c>
      <c r="AH226" s="31" t="str">
        <f t="shared" si="477"/>
        <v/>
      </c>
      <c r="AI226" s="31" t="str">
        <f t="shared" si="478"/>
        <v/>
      </c>
      <c r="AJ226" s="25">
        <v>8</v>
      </c>
      <c r="AK226" s="25">
        <v>7</v>
      </c>
      <c r="AL226" s="25">
        <v>0</v>
      </c>
      <c r="AM226" s="23" t="s">
        <v>206</v>
      </c>
      <c r="AN226" s="23" t="s">
        <v>92</v>
      </c>
      <c r="AO226" s="26" t="s">
        <v>257</v>
      </c>
      <c r="AR226" s="32" t="str">
        <f t="shared" si="479"/>
        <v>4 doors</v>
      </c>
      <c r="AS226" s="23" t="s">
        <v>260</v>
      </c>
      <c r="AT226" s="23" t="s">
        <v>32</v>
      </c>
      <c r="AU226" s="23" t="str">
        <f t="shared" si="480"/>
        <v>CC</v>
      </c>
      <c r="AV226" s="34">
        <f t="shared" si="481"/>
        <v>1580.04</v>
      </c>
      <c r="AW226" s="23">
        <v>15</v>
      </c>
      <c r="AX226" s="23">
        <v>80</v>
      </c>
      <c r="AY226" s="23">
        <v>4</v>
      </c>
    </row>
    <row r="227" spans="1:51">
      <c r="A227" s="25" t="s">
        <v>257</v>
      </c>
      <c r="B227" s="23" t="s">
        <v>89</v>
      </c>
      <c r="D227" s="23">
        <v>4</v>
      </c>
      <c r="E227" s="25" t="s">
        <v>286</v>
      </c>
      <c r="F227" s="25" t="s">
        <v>300</v>
      </c>
      <c r="G227" s="23" t="s">
        <v>27</v>
      </c>
      <c r="H227" s="23" t="s">
        <v>258</v>
      </c>
      <c r="I227" s="25">
        <v>1998</v>
      </c>
      <c r="J227" s="35">
        <v>30</v>
      </c>
      <c r="K227" s="35">
        <v>40</v>
      </c>
      <c r="L227" s="35">
        <v>20</v>
      </c>
      <c r="M227" s="25">
        <v>10</v>
      </c>
      <c r="N227" s="25">
        <v>10</v>
      </c>
      <c r="O227" s="25">
        <v>10</v>
      </c>
      <c r="P227" s="25">
        <v>10</v>
      </c>
      <c r="R227" s="30">
        <f t="shared" si="472"/>
        <v>40</v>
      </c>
      <c r="S227" s="37">
        <v>1</v>
      </c>
      <c r="T227" s="30">
        <f t="shared" si="339"/>
        <v>23.797142857142859</v>
      </c>
      <c r="U227" s="37">
        <v>1</v>
      </c>
      <c r="V227" s="30">
        <f t="shared" si="338"/>
        <v>32.923809523809524</v>
      </c>
      <c r="W227" s="25">
        <v>90</v>
      </c>
      <c r="X227" s="31">
        <f t="shared" si="473"/>
        <v>278.8</v>
      </c>
      <c r="Y227" s="25">
        <v>205</v>
      </c>
      <c r="Z227" s="25">
        <v>14</v>
      </c>
      <c r="AA227" s="25">
        <v>118</v>
      </c>
      <c r="AB227" s="37">
        <v>1</v>
      </c>
      <c r="AC227" s="30">
        <f t="shared" si="482"/>
        <v>200</v>
      </c>
      <c r="AD227" s="31">
        <f t="shared" si="471"/>
        <v>8</v>
      </c>
      <c r="AE227" s="31" t="str">
        <f t="shared" si="474"/>
        <v/>
      </c>
      <c r="AF227" s="31">
        <f t="shared" si="475"/>
        <v>7</v>
      </c>
      <c r="AG227" s="31" t="str">
        <f t="shared" si="476"/>
        <v/>
      </c>
      <c r="AH227" s="31" t="str">
        <f t="shared" si="477"/>
        <v/>
      </c>
      <c r="AI227" s="31" t="str">
        <f t="shared" si="478"/>
        <v/>
      </c>
      <c r="AJ227" s="25">
        <v>8</v>
      </c>
      <c r="AK227" s="25">
        <v>7</v>
      </c>
      <c r="AL227" s="25">
        <v>0</v>
      </c>
      <c r="AM227" s="23" t="s">
        <v>206</v>
      </c>
      <c r="AN227" s="23" t="s">
        <v>92</v>
      </c>
      <c r="AO227" s="26" t="s">
        <v>257</v>
      </c>
      <c r="AR227" s="32" t="str">
        <f t="shared" si="479"/>
        <v>4 doors</v>
      </c>
      <c r="AS227" s="23" t="s">
        <v>260</v>
      </c>
      <c r="AT227" s="23" t="s">
        <v>32</v>
      </c>
      <c r="AU227" s="23" t="str">
        <f t="shared" si="480"/>
        <v>CC</v>
      </c>
      <c r="AV227" s="34">
        <f t="shared" si="481"/>
        <v>1580.05</v>
      </c>
      <c r="AW227" s="23">
        <v>15</v>
      </c>
      <c r="AX227" s="23">
        <v>80</v>
      </c>
      <c r="AY227" s="23">
        <v>5</v>
      </c>
    </row>
    <row r="228" spans="1:51">
      <c r="A228" s="25" t="s">
        <v>257</v>
      </c>
      <c r="B228" s="23" t="s">
        <v>89</v>
      </c>
      <c r="D228" s="23">
        <v>4</v>
      </c>
      <c r="E228" s="25" t="s">
        <v>287</v>
      </c>
      <c r="F228" s="25" t="s">
        <v>315</v>
      </c>
      <c r="G228" s="23" t="s">
        <v>27</v>
      </c>
      <c r="H228" s="23" t="s">
        <v>258</v>
      </c>
      <c r="I228" s="25">
        <v>1998</v>
      </c>
      <c r="J228" s="35">
        <v>30</v>
      </c>
      <c r="K228" s="35">
        <v>40</v>
      </c>
      <c r="L228" s="35">
        <v>20</v>
      </c>
      <c r="M228" s="25">
        <v>10</v>
      </c>
      <c r="N228" s="25">
        <v>10</v>
      </c>
      <c r="O228" s="25">
        <v>10</v>
      </c>
      <c r="P228" s="25">
        <v>10</v>
      </c>
      <c r="R228" s="30">
        <f t="shared" si="472"/>
        <v>40</v>
      </c>
      <c r="S228" s="37">
        <v>1</v>
      </c>
      <c r="T228" s="30">
        <f t="shared" si="339"/>
        <v>23.797142857142859</v>
      </c>
      <c r="U228" s="37">
        <v>1</v>
      </c>
      <c r="V228" s="30">
        <f t="shared" si="338"/>
        <v>32.923809523809524</v>
      </c>
      <c r="W228" s="25">
        <v>90</v>
      </c>
      <c r="X228" s="31">
        <f t="shared" si="473"/>
        <v>278.8</v>
      </c>
      <c r="Y228" s="25">
        <v>205</v>
      </c>
      <c r="Z228" s="25">
        <v>14</v>
      </c>
      <c r="AA228" s="25">
        <v>118</v>
      </c>
      <c r="AB228" s="37">
        <v>1</v>
      </c>
      <c r="AC228" s="30">
        <f t="shared" si="482"/>
        <v>200</v>
      </c>
      <c r="AD228" s="31">
        <f t="shared" si="471"/>
        <v>8</v>
      </c>
      <c r="AE228" s="31" t="str">
        <f t="shared" si="474"/>
        <v/>
      </c>
      <c r="AF228" s="31">
        <f t="shared" si="475"/>
        <v>7</v>
      </c>
      <c r="AG228" s="31" t="str">
        <f t="shared" si="476"/>
        <v/>
      </c>
      <c r="AH228" s="31" t="str">
        <f t="shared" si="477"/>
        <v/>
      </c>
      <c r="AI228" s="31" t="str">
        <f t="shared" si="478"/>
        <v/>
      </c>
      <c r="AJ228" s="25">
        <v>8</v>
      </c>
      <c r="AK228" s="25">
        <v>7</v>
      </c>
      <c r="AL228" s="25">
        <v>0</v>
      </c>
      <c r="AM228" s="23" t="s">
        <v>206</v>
      </c>
      <c r="AN228" s="23" t="s">
        <v>92</v>
      </c>
      <c r="AO228" s="26" t="s">
        <v>257</v>
      </c>
      <c r="AR228" s="32" t="str">
        <f t="shared" si="479"/>
        <v>4 doors</v>
      </c>
      <c r="AS228" s="23" t="s">
        <v>260</v>
      </c>
      <c r="AT228" s="23" t="s">
        <v>32</v>
      </c>
      <c r="AU228" s="23" t="str">
        <f t="shared" si="480"/>
        <v>CC</v>
      </c>
      <c r="AV228" s="34">
        <f t="shared" si="481"/>
        <v>1580.06</v>
      </c>
      <c r="AW228" s="23">
        <v>15</v>
      </c>
      <c r="AX228" s="23">
        <v>80</v>
      </c>
      <c r="AY228" s="23">
        <v>6</v>
      </c>
    </row>
    <row r="229" spans="1:51">
      <c r="A229" s="25" t="s">
        <v>257</v>
      </c>
      <c r="B229" s="23" t="s">
        <v>125</v>
      </c>
      <c r="D229" s="23">
        <v>3</v>
      </c>
      <c r="E229" s="25" t="s">
        <v>30</v>
      </c>
      <c r="F229" s="25" t="s">
        <v>302</v>
      </c>
      <c r="G229" s="23" t="s">
        <v>27</v>
      </c>
      <c r="H229" s="23" t="s">
        <v>259</v>
      </c>
      <c r="I229" s="25">
        <v>1998</v>
      </c>
      <c r="J229" s="35">
        <v>30</v>
      </c>
      <c r="K229" s="35">
        <v>40</v>
      </c>
      <c r="L229" s="35">
        <v>20</v>
      </c>
      <c r="M229" s="25">
        <v>10</v>
      </c>
      <c r="N229" s="25">
        <v>10</v>
      </c>
      <c r="O229" s="25">
        <v>10</v>
      </c>
      <c r="R229" s="30">
        <f t="shared" si="472"/>
        <v>30</v>
      </c>
      <c r="S229" s="37">
        <v>1</v>
      </c>
      <c r="T229" s="30">
        <f t="shared" si="339"/>
        <v>23.082857142857144</v>
      </c>
      <c r="U229" s="37">
        <v>1</v>
      </c>
      <c r="V229" s="30">
        <f t="shared" si="338"/>
        <v>32.19619047619048</v>
      </c>
      <c r="W229" s="25">
        <v>90</v>
      </c>
      <c r="X229" s="31">
        <f t="shared" si="473"/>
        <v>278.8</v>
      </c>
      <c r="Y229" s="25">
        <v>205</v>
      </c>
      <c r="Z229" s="25">
        <v>14</v>
      </c>
      <c r="AA229" s="25">
        <v>116</v>
      </c>
      <c r="AB229" s="37">
        <v>1</v>
      </c>
      <c r="AC229" s="30">
        <f t="shared" si="482"/>
        <v>200</v>
      </c>
      <c r="AD229" s="31">
        <f t="shared" ref="AD229" si="483">IF(AJ229&gt;8, AJ229-8, AJ229)</f>
        <v>1</v>
      </c>
      <c r="AE229" s="31">
        <f t="shared" si="474"/>
        <v>8</v>
      </c>
      <c r="AF229" s="31">
        <f t="shared" si="475"/>
        <v>6</v>
      </c>
      <c r="AG229" s="31" t="str">
        <f t="shared" si="476"/>
        <v/>
      </c>
      <c r="AH229" s="31" t="str">
        <f t="shared" si="477"/>
        <v/>
      </c>
      <c r="AI229" s="31" t="str">
        <f t="shared" si="478"/>
        <v/>
      </c>
      <c r="AJ229" s="25">
        <v>9</v>
      </c>
      <c r="AK229" s="25">
        <v>6</v>
      </c>
      <c r="AL229" s="25">
        <v>0</v>
      </c>
      <c r="AM229" s="23" t="s">
        <v>206</v>
      </c>
      <c r="AN229" s="23" t="s">
        <v>92</v>
      </c>
      <c r="AO229" s="26" t="s">
        <v>257</v>
      </c>
      <c r="AR229" s="32" t="str">
        <f t="shared" si="479"/>
        <v>3 doors</v>
      </c>
      <c r="AS229" s="23" t="s">
        <v>261</v>
      </c>
      <c r="AT229" s="23" t="s">
        <v>270</v>
      </c>
      <c r="AU229" s="23" t="str">
        <f t="shared" si="480"/>
        <v>CC</v>
      </c>
      <c r="AV229" s="34">
        <f t="shared" si="481"/>
        <v>1585</v>
      </c>
      <c r="AW229" s="23">
        <v>15</v>
      </c>
      <c r="AX229" s="23">
        <v>85</v>
      </c>
      <c r="AY229" s="23">
        <v>0</v>
      </c>
    </row>
    <row r="230" spans="1:51">
      <c r="A230" s="25" t="s">
        <v>257</v>
      </c>
      <c r="B230" s="23" t="s">
        <v>125</v>
      </c>
      <c r="D230" s="23">
        <v>3</v>
      </c>
      <c r="E230" s="25" t="s">
        <v>42</v>
      </c>
      <c r="F230" s="25" t="s">
        <v>303</v>
      </c>
      <c r="G230" s="23" t="s">
        <v>27</v>
      </c>
      <c r="H230" s="23" t="s">
        <v>259</v>
      </c>
      <c r="I230" s="25">
        <v>1998</v>
      </c>
      <c r="J230" s="35">
        <v>30</v>
      </c>
      <c r="K230" s="35">
        <v>40</v>
      </c>
      <c r="L230" s="35">
        <v>20</v>
      </c>
      <c r="M230" s="25">
        <v>10</v>
      </c>
      <c r="N230" s="25">
        <v>10</v>
      </c>
      <c r="O230" s="25">
        <v>10</v>
      </c>
      <c r="R230" s="30">
        <f t="shared" ref="R230:R235" si="484">SUM(M230:Q230)</f>
        <v>30</v>
      </c>
      <c r="S230" s="37">
        <v>1</v>
      </c>
      <c r="T230" s="30">
        <f t="shared" si="339"/>
        <v>23.082857142857144</v>
      </c>
      <c r="U230" s="37">
        <v>1</v>
      </c>
      <c r="V230" s="30">
        <f t="shared" si="338"/>
        <v>32.19619047619048</v>
      </c>
      <c r="W230" s="25">
        <v>90</v>
      </c>
      <c r="X230" s="31">
        <f t="shared" ref="X230:X235" si="485">Y230*1.36</f>
        <v>278.8</v>
      </c>
      <c r="Y230" s="25">
        <v>205</v>
      </c>
      <c r="Z230" s="25">
        <v>14</v>
      </c>
      <c r="AA230" s="25">
        <v>116</v>
      </c>
      <c r="AB230" s="37">
        <v>1</v>
      </c>
      <c r="AC230" s="30">
        <f t="shared" si="482"/>
        <v>200</v>
      </c>
      <c r="AD230" s="31">
        <f t="shared" ref="AD230:AD235" si="486">IF(AJ230&gt;8, AJ230-8, AJ230)</f>
        <v>1</v>
      </c>
      <c r="AE230" s="31">
        <f t="shared" ref="AE230:AE235" si="487">IF(AJ230&gt;8, 8, "")</f>
        <v>8</v>
      </c>
      <c r="AF230" s="31">
        <f t="shared" ref="AF230:AF235" si="488">IF(AK230&gt;8, AK230-8, IF(AK230=0, "", AK230))</f>
        <v>6</v>
      </c>
      <c r="AG230" s="31" t="str">
        <f t="shared" ref="AG230:AG235" si="489">IF(AK230&gt;8, 8, "")</f>
        <v/>
      </c>
      <c r="AH230" s="31" t="str">
        <f t="shared" ref="AH230:AH235" si="490">IF(AL230&gt;8, AL230-8, IF(AL230=0, "", AL230))</f>
        <v/>
      </c>
      <c r="AI230" s="31" t="str">
        <f t="shared" ref="AI230:AI235" si="491">IF(AL230&gt;8, 8, "")</f>
        <v/>
      </c>
      <c r="AJ230" s="25">
        <v>9</v>
      </c>
      <c r="AK230" s="25">
        <v>6</v>
      </c>
      <c r="AL230" s="25">
        <v>0</v>
      </c>
      <c r="AM230" s="23" t="s">
        <v>206</v>
      </c>
      <c r="AN230" s="23" t="s">
        <v>92</v>
      </c>
      <c r="AO230" s="26" t="s">
        <v>257</v>
      </c>
      <c r="AR230" s="32" t="str">
        <f t="shared" ref="AR230:AR235" si="492">IF(Q230&gt;0, "5 doors", IF(P230&gt;0, "4 doors", IF(O230&gt;0, "3 doors", IF(N230&gt;0, "2 doors", "1 door"))))</f>
        <v>3 doors</v>
      </c>
      <c r="AS230" s="23" t="s">
        <v>261</v>
      </c>
      <c r="AT230" s="23" t="s">
        <v>270</v>
      </c>
      <c r="AU230" s="23" t="str">
        <f t="shared" ref="AU230:AU235" si="493">IF(ISNUMBER(SEARCH("CC", E230)), "CC", "Hungary")</f>
        <v>CC</v>
      </c>
      <c r="AV230" s="34">
        <f t="shared" ref="AV230:AV235" si="494">(AW230*100)+AX230+(AY230/100)</f>
        <v>1585.01</v>
      </c>
      <c r="AW230" s="23">
        <v>15</v>
      </c>
      <c r="AX230" s="23">
        <v>85</v>
      </c>
      <c r="AY230" s="23">
        <v>1</v>
      </c>
    </row>
    <row r="231" spans="1:51">
      <c r="A231" s="25" t="s">
        <v>257</v>
      </c>
      <c r="B231" s="23" t="s">
        <v>125</v>
      </c>
      <c r="D231" s="23">
        <v>3</v>
      </c>
      <c r="E231" s="25" t="s">
        <v>43</v>
      </c>
      <c r="F231" s="25" t="s">
        <v>304</v>
      </c>
      <c r="G231" s="23" t="s">
        <v>27</v>
      </c>
      <c r="H231" s="23" t="s">
        <v>259</v>
      </c>
      <c r="I231" s="25">
        <v>1998</v>
      </c>
      <c r="J231" s="35">
        <v>30</v>
      </c>
      <c r="K231" s="35">
        <v>40</v>
      </c>
      <c r="L231" s="35">
        <v>20</v>
      </c>
      <c r="M231" s="25">
        <v>10</v>
      </c>
      <c r="N231" s="25">
        <v>10</v>
      </c>
      <c r="O231" s="25">
        <v>10</v>
      </c>
      <c r="R231" s="30">
        <f t="shared" si="484"/>
        <v>30</v>
      </c>
      <c r="S231" s="37">
        <v>1</v>
      </c>
      <c r="T231" s="30">
        <f t="shared" si="339"/>
        <v>23.082857142857144</v>
      </c>
      <c r="U231" s="37">
        <v>1</v>
      </c>
      <c r="V231" s="30">
        <f t="shared" si="338"/>
        <v>32.19619047619048</v>
      </c>
      <c r="W231" s="25">
        <v>90</v>
      </c>
      <c r="X231" s="31">
        <f t="shared" si="485"/>
        <v>278.8</v>
      </c>
      <c r="Y231" s="25">
        <v>205</v>
      </c>
      <c r="Z231" s="25">
        <v>14</v>
      </c>
      <c r="AA231" s="25">
        <v>116</v>
      </c>
      <c r="AB231" s="37">
        <v>1</v>
      </c>
      <c r="AC231" s="30">
        <f t="shared" si="482"/>
        <v>200</v>
      </c>
      <c r="AD231" s="31">
        <f t="shared" si="486"/>
        <v>1</v>
      </c>
      <c r="AE231" s="31">
        <f t="shared" si="487"/>
        <v>8</v>
      </c>
      <c r="AF231" s="31">
        <f t="shared" si="488"/>
        <v>6</v>
      </c>
      <c r="AG231" s="31" t="str">
        <f t="shared" si="489"/>
        <v/>
      </c>
      <c r="AH231" s="31" t="str">
        <f t="shared" si="490"/>
        <v/>
      </c>
      <c r="AI231" s="31" t="str">
        <f t="shared" si="491"/>
        <v/>
      </c>
      <c r="AJ231" s="25">
        <v>9</v>
      </c>
      <c r="AK231" s="25">
        <v>6</v>
      </c>
      <c r="AL231" s="25">
        <v>0</v>
      </c>
      <c r="AM231" s="23" t="s">
        <v>206</v>
      </c>
      <c r="AN231" s="23" t="s">
        <v>92</v>
      </c>
      <c r="AO231" s="26" t="s">
        <v>257</v>
      </c>
      <c r="AR231" s="32" t="str">
        <f t="shared" si="492"/>
        <v>3 doors</v>
      </c>
      <c r="AS231" s="23" t="s">
        <v>261</v>
      </c>
      <c r="AT231" s="23" t="s">
        <v>270</v>
      </c>
      <c r="AU231" s="23" t="str">
        <f t="shared" si="493"/>
        <v>CC</v>
      </c>
      <c r="AV231" s="34">
        <f t="shared" si="494"/>
        <v>1585.02</v>
      </c>
      <c r="AW231" s="23">
        <v>15</v>
      </c>
      <c r="AX231" s="23">
        <v>85</v>
      </c>
      <c r="AY231" s="23">
        <v>2</v>
      </c>
    </row>
    <row r="232" spans="1:51">
      <c r="A232" s="25" t="s">
        <v>257</v>
      </c>
      <c r="B232" s="23" t="s">
        <v>125</v>
      </c>
      <c r="D232" s="23">
        <v>3</v>
      </c>
      <c r="E232" s="25" t="s">
        <v>284</v>
      </c>
      <c r="F232" s="25" t="s">
        <v>305</v>
      </c>
      <c r="G232" s="23" t="s">
        <v>27</v>
      </c>
      <c r="H232" s="23" t="s">
        <v>259</v>
      </c>
      <c r="I232" s="25">
        <v>1998</v>
      </c>
      <c r="J232" s="35">
        <v>30</v>
      </c>
      <c r="K232" s="35">
        <v>40</v>
      </c>
      <c r="L232" s="35">
        <v>20</v>
      </c>
      <c r="M232" s="25">
        <v>10</v>
      </c>
      <c r="N232" s="25">
        <v>10</v>
      </c>
      <c r="O232" s="25">
        <v>10</v>
      </c>
      <c r="R232" s="30">
        <f t="shared" si="484"/>
        <v>30</v>
      </c>
      <c r="S232" s="37">
        <v>1</v>
      </c>
      <c r="T232" s="30">
        <f t="shared" si="339"/>
        <v>23.082857142857144</v>
      </c>
      <c r="U232" s="37">
        <v>1</v>
      </c>
      <c r="V232" s="30">
        <f t="shared" si="338"/>
        <v>32.19619047619048</v>
      </c>
      <c r="W232" s="25">
        <v>90</v>
      </c>
      <c r="X232" s="31">
        <f t="shared" si="485"/>
        <v>278.8</v>
      </c>
      <c r="Y232" s="25">
        <v>205</v>
      </c>
      <c r="Z232" s="25">
        <v>14</v>
      </c>
      <c r="AA232" s="25">
        <v>116</v>
      </c>
      <c r="AB232" s="37">
        <v>1</v>
      </c>
      <c r="AC232" s="30">
        <f t="shared" si="482"/>
        <v>200</v>
      </c>
      <c r="AD232" s="31">
        <f t="shared" si="486"/>
        <v>1</v>
      </c>
      <c r="AE232" s="31">
        <f t="shared" si="487"/>
        <v>8</v>
      </c>
      <c r="AF232" s="31">
        <f t="shared" si="488"/>
        <v>6</v>
      </c>
      <c r="AG232" s="31" t="str">
        <f t="shared" si="489"/>
        <v/>
      </c>
      <c r="AH232" s="31" t="str">
        <f t="shared" si="490"/>
        <v/>
      </c>
      <c r="AI232" s="31" t="str">
        <f t="shared" si="491"/>
        <v/>
      </c>
      <c r="AJ232" s="25">
        <v>9</v>
      </c>
      <c r="AK232" s="25">
        <v>6</v>
      </c>
      <c r="AL232" s="25">
        <v>0</v>
      </c>
      <c r="AM232" s="23" t="s">
        <v>206</v>
      </c>
      <c r="AN232" s="23" t="s">
        <v>92</v>
      </c>
      <c r="AO232" s="26" t="s">
        <v>257</v>
      </c>
      <c r="AR232" s="32" t="str">
        <f t="shared" si="492"/>
        <v>3 doors</v>
      </c>
      <c r="AS232" s="23" t="s">
        <v>261</v>
      </c>
      <c r="AT232" s="23" t="s">
        <v>270</v>
      </c>
      <c r="AU232" s="23" t="str">
        <f t="shared" si="493"/>
        <v>CC</v>
      </c>
      <c r="AV232" s="34">
        <f t="shared" si="494"/>
        <v>1585.03</v>
      </c>
      <c r="AW232" s="23">
        <v>15</v>
      </c>
      <c r="AX232" s="23">
        <v>85</v>
      </c>
      <c r="AY232" s="23">
        <v>3</v>
      </c>
    </row>
    <row r="233" spans="1:51">
      <c r="A233" s="25" t="s">
        <v>257</v>
      </c>
      <c r="B233" s="23" t="s">
        <v>125</v>
      </c>
      <c r="D233" s="23">
        <v>3</v>
      </c>
      <c r="E233" s="25" t="s">
        <v>285</v>
      </c>
      <c r="F233" s="25" t="s">
        <v>306</v>
      </c>
      <c r="G233" s="23" t="s">
        <v>27</v>
      </c>
      <c r="H233" s="23" t="s">
        <v>259</v>
      </c>
      <c r="I233" s="25">
        <v>1998</v>
      </c>
      <c r="J233" s="35">
        <v>30</v>
      </c>
      <c r="K233" s="35">
        <v>40</v>
      </c>
      <c r="L233" s="35">
        <v>20</v>
      </c>
      <c r="M233" s="25">
        <v>10</v>
      </c>
      <c r="N233" s="25">
        <v>10</v>
      </c>
      <c r="O233" s="25">
        <v>10</v>
      </c>
      <c r="R233" s="30">
        <f t="shared" si="484"/>
        <v>30</v>
      </c>
      <c r="S233" s="37">
        <v>1</v>
      </c>
      <c r="T233" s="30">
        <f t="shared" si="339"/>
        <v>23.082857142857144</v>
      </c>
      <c r="U233" s="37">
        <v>1</v>
      </c>
      <c r="V233" s="30">
        <f t="shared" si="338"/>
        <v>32.19619047619048</v>
      </c>
      <c r="W233" s="25">
        <v>90</v>
      </c>
      <c r="X233" s="31">
        <f t="shared" si="485"/>
        <v>278.8</v>
      </c>
      <c r="Y233" s="25">
        <v>205</v>
      </c>
      <c r="Z233" s="25">
        <v>14</v>
      </c>
      <c r="AA233" s="25">
        <v>116</v>
      </c>
      <c r="AB233" s="37">
        <v>1</v>
      </c>
      <c r="AC233" s="30">
        <f t="shared" si="482"/>
        <v>200</v>
      </c>
      <c r="AD233" s="31">
        <f t="shared" si="486"/>
        <v>1</v>
      </c>
      <c r="AE233" s="31">
        <f t="shared" si="487"/>
        <v>8</v>
      </c>
      <c r="AF233" s="31">
        <f t="shared" si="488"/>
        <v>6</v>
      </c>
      <c r="AG233" s="31" t="str">
        <f t="shared" si="489"/>
        <v/>
      </c>
      <c r="AH233" s="31" t="str">
        <f t="shared" si="490"/>
        <v/>
      </c>
      <c r="AI233" s="31" t="str">
        <f t="shared" si="491"/>
        <v/>
      </c>
      <c r="AJ233" s="25">
        <v>9</v>
      </c>
      <c r="AK233" s="25">
        <v>6</v>
      </c>
      <c r="AL233" s="25">
        <v>0</v>
      </c>
      <c r="AM233" s="23" t="s">
        <v>206</v>
      </c>
      <c r="AN233" s="23" t="s">
        <v>92</v>
      </c>
      <c r="AO233" s="26" t="s">
        <v>257</v>
      </c>
      <c r="AR233" s="32" t="str">
        <f t="shared" si="492"/>
        <v>3 doors</v>
      </c>
      <c r="AS233" s="23" t="s">
        <v>261</v>
      </c>
      <c r="AT233" s="23" t="s">
        <v>270</v>
      </c>
      <c r="AU233" s="23" t="str">
        <f t="shared" si="493"/>
        <v>CC</v>
      </c>
      <c r="AV233" s="34">
        <f t="shared" si="494"/>
        <v>1585.04</v>
      </c>
      <c r="AW233" s="23">
        <v>15</v>
      </c>
      <c r="AX233" s="23">
        <v>85</v>
      </c>
      <c r="AY233" s="23">
        <v>4</v>
      </c>
    </row>
    <row r="234" spans="1:51">
      <c r="A234" s="25" t="s">
        <v>257</v>
      </c>
      <c r="B234" s="23" t="s">
        <v>125</v>
      </c>
      <c r="D234" s="23">
        <v>3</v>
      </c>
      <c r="E234" s="25" t="s">
        <v>286</v>
      </c>
      <c r="F234" s="25" t="s">
        <v>307</v>
      </c>
      <c r="G234" s="23" t="s">
        <v>27</v>
      </c>
      <c r="H234" s="23" t="s">
        <v>259</v>
      </c>
      <c r="I234" s="25">
        <v>1998</v>
      </c>
      <c r="J234" s="35">
        <v>30</v>
      </c>
      <c r="K234" s="35">
        <v>40</v>
      </c>
      <c r="L234" s="35">
        <v>20</v>
      </c>
      <c r="M234" s="25">
        <v>10</v>
      </c>
      <c r="N234" s="25">
        <v>10</v>
      </c>
      <c r="O234" s="25">
        <v>10</v>
      </c>
      <c r="R234" s="30">
        <f t="shared" si="484"/>
        <v>30</v>
      </c>
      <c r="S234" s="37">
        <v>1</v>
      </c>
      <c r="T234" s="30">
        <f t="shared" si="339"/>
        <v>23.082857142857144</v>
      </c>
      <c r="U234" s="37">
        <v>1</v>
      </c>
      <c r="V234" s="30">
        <f t="shared" si="338"/>
        <v>32.19619047619048</v>
      </c>
      <c r="W234" s="25">
        <v>90</v>
      </c>
      <c r="X234" s="31">
        <f t="shared" si="485"/>
        <v>278.8</v>
      </c>
      <c r="Y234" s="25">
        <v>205</v>
      </c>
      <c r="Z234" s="25">
        <v>14</v>
      </c>
      <c r="AA234" s="25">
        <v>116</v>
      </c>
      <c r="AB234" s="37">
        <v>1</v>
      </c>
      <c r="AC234" s="30">
        <f t="shared" si="482"/>
        <v>200</v>
      </c>
      <c r="AD234" s="31">
        <f t="shared" si="486"/>
        <v>1</v>
      </c>
      <c r="AE234" s="31">
        <f t="shared" si="487"/>
        <v>8</v>
      </c>
      <c r="AF234" s="31">
        <f t="shared" si="488"/>
        <v>6</v>
      </c>
      <c r="AG234" s="31" t="str">
        <f t="shared" si="489"/>
        <v/>
      </c>
      <c r="AH234" s="31" t="str">
        <f t="shared" si="490"/>
        <v/>
      </c>
      <c r="AI234" s="31" t="str">
        <f t="shared" si="491"/>
        <v/>
      </c>
      <c r="AJ234" s="25">
        <v>9</v>
      </c>
      <c r="AK234" s="25">
        <v>6</v>
      </c>
      <c r="AL234" s="25">
        <v>0</v>
      </c>
      <c r="AM234" s="23" t="s">
        <v>206</v>
      </c>
      <c r="AN234" s="23" t="s">
        <v>92</v>
      </c>
      <c r="AO234" s="26" t="s">
        <v>257</v>
      </c>
      <c r="AR234" s="32" t="str">
        <f t="shared" si="492"/>
        <v>3 doors</v>
      </c>
      <c r="AS234" s="23" t="s">
        <v>261</v>
      </c>
      <c r="AT234" s="23" t="s">
        <v>270</v>
      </c>
      <c r="AU234" s="23" t="str">
        <f t="shared" si="493"/>
        <v>CC</v>
      </c>
      <c r="AV234" s="34">
        <f t="shared" si="494"/>
        <v>1585.05</v>
      </c>
      <c r="AW234" s="23">
        <v>15</v>
      </c>
      <c r="AX234" s="23">
        <v>85</v>
      </c>
      <c r="AY234" s="23">
        <v>5</v>
      </c>
    </row>
    <row r="235" spans="1:51">
      <c r="A235" s="25" t="s">
        <v>257</v>
      </c>
      <c r="B235" s="23" t="s">
        <v>125</v>
      </c>
      <c r="D235" s="23">
        <v>3</v>
      </c>
      <c r="E235" s="25" t="s">
        <v>287</v>
      </c>
      <c r="F235" s="25" t="s">
        <v>316</v>
      </c>
      <c r="G235" s="23" t="s">
        <v>27</v>
      </c>
      <c r="H235" s="23" t="s">
        <v>259</v>
      </c>
      <c r="I235" s="25">
        <v>1998</v>
      </c>
      <c r="J235" s="35">
        <v>30</v>
      </c>
      <c r="K235" s="35">
        <v>40</v>
      </c>
      <c r="L235" s="35">
        <v>20</v>
      </c>
      <c r="M235" s="25">
        <v>10</v>
      </c>
      <c r="N235" s="25">
        <v>10</v>
      </c>
      <c r="O235" s="25">
        <v>10</v>
      </c>
      <c r="R235" s="30">
        <f t="shared" si="484"/>
        <v>30</v>
      </c>
      <c r="S235" s="37">
        <v>1</v>
      </c>
      <c r="T235" s="30">
        <f t="shared" si="339"/>
        <v>23.082857142857144</v>
      </c>
      <c r="U235" s="37">
        <v>1</v>
      </c>
      <c r="V235" s="30">
        <f t="shared" ref="V235:V298" si="495">U235*IF(G235="petrol", ((Z235+(AA235/15)+X235)/10*1.5)+(R235/14), IF(G235="diesel", ((Z235+(AA235/15)+X235)/10)+(R235/14), IF(OR(G235="cng", G235="hybrid"), ((Z235+(AA235/15)+X235)/10*0.8)+(R235/14), IF(OR(G235="hydrogen", G235="electric"), ((Z235+(AA235/15)+X235)/10*0.5)+(R235/14), 0))))</f>
        <v>32.19619047619048</v>
      </c>
      <c r="W235" s="25">
        <v>90</v>
      </c>
      <c r="X235" s="31">
        <f t="shared" si="485"/>
        <v>278.8</v>
      </c>
      <c r="Y235" s="25">
        <v>205</v>
      </c>
      <c r="Z235" s="25">
        <v>14</v>
      </c>
      <c r="AA235" s="25">
        <v>116</v>
      </c>
      <c r="AB235" s="37">
        <v>1</v>
      </c>
      <c r="AC235" s="30">
        <f t="shared" si="482"/>
        <v>200</v>
      </c>
      <c r="AD235" s="31">
        <f t="shared" si="486"/>
        <v>1</v>
      </c>
      <c r="AE235" s="31">
        <f t="shared" si="487"/>
        <v>8</v>
      </c>
      <c r="AF235" s="31">
        <f t="shared" si="488"/>
        <v>6</v>
      </c>
      <c r="AG235" s="31" t="str">
        <f t="shared" si="489"/>
        <v/>
      </c>
      <c r="AH235" s="31" t="str">
        <f t="shared" si="490"/>
        <v/>
      </c>
      <c r="AI235" s="31" t="str">
        <f t="shared" si="491"/>
        <v/>
      </c>
      <c r="AJ235" s="25">
        <v>9</v>
      </c>
      <c r="AK235" s="25">
        <v>6</v>
      </c>
      <c r="AL235" s="25">
        <v>0</v>
      </c>
      <c r="AM235" s="23" t="s">
        <v>206</v>
      </c>
      <c r="AN235" s="23" t="s">
        <v>92</v>
      </c>
      <c r="AO235" s="26" t="s">
        <v>257</v>
      </c>
      <c r="AR235" s="32" t="str">
        <f t="shared" si="492"/>
        <v>3 doors</v>
      </c>
      <c r="AS235" s="23" t="s">
        <v>261</v>
      </c>
      <c r="AT235" s="23" t="s">
        <v>270</v>
      </c>
      <c r="AU235" s="23" t="str">
        <f t="shared" si="493"/>
        <v>CC</v>
      </c>
      <c r="AV235" s="34">
        <f t="shared" si="494"/>
        <v>1585.06</v>
      </c>
      <c r="AW235" s="23">
        <v>15</v>
      </c>
      <c r="AX235" s="23">
        <v>85</v>
      </c>
      <c r="AY235" s="23">
        <v>6</v>
      </c>
    </row>
    <row r="236" spans="1:51">
      <c r="A236" s="25">
        <v>293</v>
      </c>
      <c r="D236" s="23">
        <v>5</v>
      </c>
      <c r="E236" s="25" t="s">
        <v>30</v>
      </c>
      <c r="F236" s="25" t="s">
        <v>295</v>
      </c>
      <c r="G236" s="23" t="s">
        <v>27</v>
      </c>
      <c r="H236" s="23" t="s">
        <v>173</v>
      </c>
      <c r="I236" s="25">
        <v>1988</v>
      </c>
      <c r="J236" s="35">
        <v>30</v>
      </c>
      <c r="K236" s="35">
        <v>40</v>
      </c>
      <c r="L236" s="35">
        <v>20</v>
      </c>
      <c r="M236" s="25">
        <v>10</v>
      </c>
      <c r="N236" s="25">
        <v>10</v>
      </c>
      <c r="O236" s="25">
        <v>10</v>
      </c>
      <c r="P236" s="25">
        <v>10</v>
      </c>
      <c r="Q236" s="25">
        <v>10</v>
      </c>
      <c r="R236" s="30">
        <f t="shared" si="151"/>
        <v>50</v>
      </c>
      <c r="S236" s="37">
        <v>1</v>
      </c>
      <c r="T236" s="30">
        <f t="shared" ref="T236:T299" si="496">S236*IF(OR(G236="diesel", G236="petrol"), ((Z236+(X236/10))/2)+(R236/14), IF(OR(G236="cng", G236="hybrid"), ((Z236+(X236/10))/2*1.2)+(R236/14), IF(OR(G236="hydrogen", G236="electric"), ((Z236+(X236/10))/2*1.5)+(R236/14), 0)))</f>
        <v>26.127428571428574</v>
      </c>
      <c r="U236" s="37">
        <v>1</v>
      </c>
      <c r="V236" s="30">
        <f t="shared" si="495"/>
        <v>33.110095238095234</v>
      </c>
      <c r="W236" s="25">
        <v>62</v>
      </c>
      <c r="X236" s="31">
        <f t="shared" si="152"/>
        <v>261.12</v>
      </c>
      <c r="Y236" s="25">
        <v>192</v>
      </c>
      <c r="Z236" s="25">
        <v>19</v>
      </c>
      <c r="AA236" s="25">
        <v>229</v>
      </c>
      <c r="AB236" s="37">
        <v>1</v>
      </c>
      <c r="AC236" s="30">
        <f t="shared" si="482"/>
        <v>200</v>
      </c>
      <c r="AD236" s="31">
        <f t="shared" si="153"/>
        <v>1</v>
      </c>
      <c r="AE236" s="31">
        <f t="shared" si="154"/>
        <v>8</v>
      </c>
      <c r="AF236" s="31">
        <f t="shared" si="155"/>
        <v>5</v>
      </c>
      <c r="AG236" s="31" t="str">
        <f t="shared" si="156"/>
        <v/>
      </c>
      <c r="AH236" s="31">
        <f t="shared" si="157"/>
        <v>7</v>
      </c>
      <c r="AI236" s="31" t="str">
        <f t="shared" si="158"/>
        <v/>
      </c>
      <c r="AJ236" s="25">
        <v>9</v>
      </c>
      <c r="AK236" s="25">
        <v>5</v>
      </c>
      <c r="AL236" s="25">
        <v>7</v>
      </c>
      <c r="AM236" s="23" t="s">
        <v>206</v>
      </c>
      <c r="AN236" s="23" t="s">
        <v>92</v>
      </c>
      <c r="AO236" s="25">
        <v>293</v>
      </c>
      <c r="AR236" s="32" t="str">
        <f t="shared" si="159"/>
        <v>5 doors</v>
      </c>
      <c r="AT236" s="23" t="s">
        <v>32</v>
      </c>
      <c r="AU236" s="23" t="str">
        <f t="shared" si="107"/>
        <v>CC</v>
      </c>
      <c r="AV236" s="34">
        <f t="shared" si="160"/>
        <v>1590</v>
      </c>
      <c r="AW236" s="23">
        <v>15</v>
      </c>
      <c r="AX236" s="23">
        <v>90</v>
      </c>
      <c r="AY236" s="23">
        <v>0</v>
      </c>
    </row>
    <row r="237" spans="1:51">
      <c r="A237" s="25">
        <v>293</v>
      </c>
      <c r="D237" s="23">
        <v>5</v>
      </c>
      <c r="E237" s="25" t="s">
        <v>85</v>
      </c>
      <c r="F237" s="25" t="s">
        <v>85</v>
      </c>
      <c r="G237" s="23" t="s">
        <v>27</v>
      </c>
      <c r="H237" s="23" t="s">
        <v>173</v>
      </c>
      <c r="I237" s="25">
        <v>1988</v>
      </c>
      <c r="J237" s="35">
        <v>30</v>
      </c>
      <c r="K237" s="35">
        <v>40</v>
      </c>
      <c r="L237" s="35">
        <v>20</v>
      </c>
      <c r="M237" s="25">
        <v>10</v>
      </c>
      <c r="N237" s="25">
        <v>10</v>
      </c>
      <c r="O237" s="25">
        <v>10</v>
      </c>
      <c r="P237" s="25">
        <v>10</v>
      </c>
      <c r="Q237" s="25">
        <v>10</v>
      </c>
      <c r="R237" s="30">
        <f t="shared" ref="R237" si="497">SUM(M237:Q237)</f>
        <v>50</v>
      </c>
      <c r="S237" s="37">
        <v>1</v>
      </c>
      <c r="T237" s="30">
        <f t="shared" si="496"/>
        <v>26.127428571428574</v>
      </c>
      <c r="U237" s="37">
        <v>1</v>
      </c>
      <c r="V237" s="30">
        <f t="shared" si="495"/>
        <v>33.110095238095234</v>
      </c>
      <c r="W237" s="25">
        <v>62</v>
      </c>
      <c r="X237" s="31">
        <f t="shared" ref="X237" si="498">Y237*1.36</f>
        <v>261.12</v>
      </c>
      <c r="Y237" s="25">
        <v>192</v>
      </c>
      <c r="Z237" s="25">
        <v>19</v>
      </c>
      <c r="AA237" s="25">
        <v>229</v>
      </c>
      <c r="AB237" s="37">
        <v>1</v>
      </c>
      <c r="AC237" s="30">
        <f t="shared" si="482"/>
        <v>200</v>
      </c>
      <c r="AD237" s="31">
        <f t="shared" ref="AD237" si="499">IF(AJ237&gt;8, AJ237-8, AJ237)</f>
        <v>1</v>
      </c>
      <c r="AE237" s="31">
        <f t="shared" ref="AE237" si="500">IF(AJ237&gt;8, 8, "")</f>
        <v>8</v>
      </c>
      <c r="AF237" s="31">
        <f t="shared" ref="AF237" si="501">IF(AK237&gt;8, AK237-8, IF(AK237=0, "", AK237))</f>
        <v>5</v>
      </c>
      <c r="AG237" s="31" t="str">
        <f t="shared" ref="AG237" si="502">IF(AK237&gt;8, 8, "")</f>
        <v/>
      </c>
      <c r="AH237" s="31">
        <f t="shared" ref="AH237" si="503">IF(AL237&gt;8, AL237-8, IF(AL237=0, "", AL237))</f>
        <v>7</v>
      </c>
      <c r="AI237" s="31" t="str">
        <f t="shared" ref="AI237" si="504">IF(AL237&gt;8, 8, "")</f>
        <v/>
      </c>
      <c r="AJ237" s="25">
        <v>9</v>
      </c>
      <c r="AK237" s="25">
        <v>5</v>
      </c>
      <c r="AL237" s="25">
        <v>7</v>
      </c>
      <c r="AM237" s="23" t="s">
        <v>206</v>
      </c>
      <c r="AN237" s="23" t="s">
        <v>92</v>
      </c>
      <c r="AO237" s="25">
        <v>293</v>
      </c>
      <c r="AR237" s="32" t="str">
        <f t="shared" ref="AR237" si="505">IF(Q237&gt;0, "5 doors", IF(P237&gt;0, "4 doors", IF(O237&gt;0, "3 doors", IF(N237&gt;0, "2 doors", "1 door"))))</f>
        <v>5 doors</v>
      </c>
      <c r="AT237" s="23" t="s">
        <v>32</v>
      </c>
      <c r="AU237" s="23" t="str">
        <f t="shared" ref="AU237" si="506">IF(ISNUMBER(SEARCH("CC", E237)), "CC", "Hungary")</f>
        <v>Hungary</v>
      </c>
      <c r="AV237" s="34">
        <f t="shared" ref="AV237" si="507">(AW237*100)+AX237+(AY237/100)</f>
        <v>1590.01</v>
      </c>
      <c r="AW237" s="23">
        <v>15</v>
      </c>
      <c r="AX237" s="23">
        <v>90</v>
      </c>
      <c r="AY237" s="23">
        <v>1</v>
      </c>
    </row>
    <row r="238" spans="1:51">
      <c r="A238" s="25">
        <v>282</v>
      </c>
      <c r="D238" s="23">
        <v>4</v>
      </c>
      <c r="E238" s="25" t="s">
        <v>30</v>
      </c>
      <c r="F238" s="25" t="s">
        <v>295</v>
      </c>
      <c r="G238" s="23" t="s">
        <v>27</v>
      </c>
      <c r="H238" s="23" t="s">
        <v>170</v>
      </c>
      <c r="I238" s="25">
        <v>1977</v>
      </c>
      <c r="J238" s="35">
        <v>30</v>
      </c>
      <c r="K238" s="35">
        <v>40</v>
      </c>
      <c r="L238" s="35">
        <v>20</v>
      </c>
      <c r="M238" s="25">
        <v>10</v>
      </c>
      <c r="N238" s="25">
        <v>10</v>
      </c>
      <c r="O238" s="25">
        <v>10</v>
      </c>
      <c r="P238" s="25">
        <v>10</v>
      </c>
      <c r="R238" s="30">
        <f t="shared" si="151"/>
        <v>40</v>
      </c>
      <c r="S238" s="37">
        <v>1</v>
      </c>
      <c r="T238" s="30">
        <f t="shared" si="496"/>
        <v>21.373142857142859</v>
      </c>
      <c r="U238" s="37">
        <v>1</v>
      </c>
      <c r="V238" s="30">
        <f t="shared" si="495"/>
        <v>27.402476190476193</v>
      </c>
      <c r="W238" s="25">
        <v>62</v>
      </c>
      <c r="X238" s="31">
        <f t="shared" si="152"/>
        <v>220.32000000000002</v>
      </c>
      <c r="Y238" s="25">
        <v>162</v>
      </c>
      <c r="Z238" s="25">
        <v>15</v>
      </c>
      <c r="AA238" s="25">
        <v>152</v>
      </c>
      <c r="AB238" s="37">
        <v>1</v>
      </c>
      <c r="AC238" s="30">
        <f t="shared" si="482"/>
        <v>200</v>
      </c>
      <c r="AD238" s="31">
        <f t="shared" si="153"/>
        <v>2</v>
      </c>
      <c r="AE238" s="31">
        <f t="shared" si="154"/>
        <v>8</v>
      </c>
      <c r="AF238" s="31">
        <f t="shared" si="155"/>
        <v>7</v>
      </c>
      <c r="AG238" s="31" t="str">
        <f t="shared" si="156"/>
        <v/>
      </c>
      <c r="AH238" s="31" t="str">
        <f t="shared" si="157"/>
        <v/>
      </c>
      <c r="AI238" s="31" t="str">
        <f t="shared" si="158"/>
        <v/>
      </c>
      <c r="AJ238" s="25">
        <v>10</v>
      </c>
      <c r="AK238" s="25">
        <v>7</v>
      </c>
      <c r="AL238" s="25">
        <v>0</v>
      </c>
      <c r="AM238" s="23" t="s">
        <v>206</v>
      </c>
      <c r="AN238" s="23" t="s">
        <v>92</v>
      </c>
      <c r="AO238" s="25">
        <v>282</v>
      </c>
      <c r="AR238" s="32" t="str">
        <f t="shared" si="159"/>
        <v>4 doors</v>
      </c>
      <c r="AT238" s="23" t="s">
        <v>32</v>
      </c>
      <c r="AU238" s="23" t="str">
        <f t="shared" si="107"/>
        <v>CC</v>
      </c>
      <c r="AV238" s="34">
        <f t="shared" si="160"/>
        <v>1600</v>
      </c>
      <c r="AW238" s="23">
        <v>16</v>
      </c>
      <c r="AX238" s="23">
        <v>0</v>
      </c>
      <c r="AY238" s="23">
        <v>0</v>
      </c>
    </row>
    <row r="239" spans="1:51">
      <c r="A239" s="25">
        <v>282</v>
      </c>
      <c r="D239" s="23">
        <v>4</v>
      </c>
      <c r="E239" s="25" t="s">
        <v>85</v>
      </c>
      <c r="F239" s="25" t="s">
        <v>85</v>
      </c>
      <c r="G239" s="23" t="s">
        <v>27</v>
      </c>
      <c r="H239" s="23" t="s">
        <v>170</v>
      </c>
      <c r="I239" s="25">
        <v>1977</v>
      </c>
      <c r="J239" s="35">
        <v>30</v>
      </c>
      <c r="K239" s="35">
        <v>40</v>
      </c>
      <c r="L239" s="35">
        <v>20</v>
      </c>
      <c r="M239" s="25">
        <v>10</v>
      </c>
      <c r="N239" s="25">
        <v>10</v>
      </c>
      <c r="O239" s="25">
        <v>10</v>
      </c>
      <c r="P239" s="25">
        <v>10</v>
      </c>
      <c r="R239" s="30">
        <f t="shared" si="151"/>
        <v>40</v>
      </c>
      <c r="S239" s="37">
        <v>1</v>
      </c>
      <c r="T239" s="30">
        <f t="shared" si="496"/>
        <v>21.373142857142859</v>
      </c>
      <c r="U239" s="37">
        <v>1</v>
      </c>
      <c r="V239" s="30">
        <f t="shared" si="495"/>
        <v>27.402476190476193</v>
      </c>
      <c r="W239" s="25">
        <v>62</v>
      </c>
      <c r="X239" s="31">
        <f t="shared" si="152"/>
        <v>220.32000000000002</v>
      </c>
      <c r="Y239" s="25">
        <v>162</v>
      </c>
      <c r="Z239" s="25">
        <v>15</v>
      </c>
      <c r="AA239" s="25">
        <v>152</v>
      </c>
      <c r="AB239" s="37">
        <v>1</v>
      </c>
      <c r="AC239" s="30">
        <f t="shared" si="482"/>
        <v>200</v>
      </c>
      <c r="AD239" s="31">
        <f t="shared" si="153"/>
        <v>2</v>
      </c>
      <c r="AE239" s="31">
        <f t="shared" si="154"/>
        <v>8</v>
      </c>
      <c r="AF239" s="31">
        <f t="shared" si="155"/>
        <v>7</v>
      </c>
      <c r="AG239" s="31" t="str">
        <f t="shared" si="156"/>
        <v/>
      </c>
      <c r="AH239" s="31" t="str">
        <f t="shared" si="157"/>
        <v/>
      </c>
      <c r="AI239" s="31" t="str">
        <f t="shared" si="158"/>
        <v/>
      </c>
      <c r="AJ239" s="25">
        <v>10</v>
      </c>
      <c r="AK239" s="25">
        <v>7</v>
      </c>
      <c r="AL239" s="25">
        <v>0</v>
      </c>
      <c r="AM239" s="23" t="s">
        <v>206</v>
      </c>
      <c r="AN239" s="23" t="s">
        <v>92</v>
      </c>
      <c r="AO239" s="25">
        <v>282</v>
      </c>
      <c r="AR239" s="32" t="str">
        <f t="shared" si="159"/>
        <v>4 doors</v>
      </c>
      <c r="AT239" s="23" t="s">
        <v>32</v>
      </c>
      <c r="AU239" s="23" t="str">
        <f t="shared" si="107"/>
        <v>Hungary</v>
      </c>
      <c r="AV239" s="34">
        <f t="shared" si="160"/>
        <v>1600.01</v>
      </c>
      <c r="AW239" s="23">
        <v>16</v>
      </c>
      <c r="AX239" s="23">
        <v>0</v>
      </c>
      <c r="AY239" s="23">
        <v>1</v>
      </c>
    </row>
    <row r="240" spans="1:51">
      <c r="A240" s="25">
        <v>284</v>
      </c>
      <c r="D240" s="23">
        <v>4</v>
      </c>
      <c r="E240" s="25" t="s">
        <v>30</v>
      </c>
      <c r="F240" s="25" t="s">
        <v>295</v>
      </c>
      <c r="G240" s="23" t="s">
        <v>27</v>
      </c>
      <c r="H240" s="23" t="s">
        <v>172</v>
      </c>
      <c r="I240" s="25">
        <v>1984</v>
      </c>
      <c r="J240" s="35">
        <v>30</v>
      </c>
      <c r="K240" s="35">
        <v>40</v>
      </c>
      <c r="L240" s="35">
        <v>20</v>
      </c>
      <c r="M240" s="25">
        <v>12</v>
      </c>
      <c r="N240" s="25">
        <v>12</v>
      </c>
      <c r="O240" s="25">
        <v>12</v>
      </c>
      <c r="P240" s="25">
        <v>6</v>
      </c>
      <c r="R240" s="30">
        <f t="shared" si="151"/>
        <v>42</v>
      </c>
      <c r="S240" s="37">
        <v>1</v>
      </c>
      <c r="T240" s="30">
        <f t="shared" si="496"/>
        <v>22.832000000000001</v>
      </c>
      <c r="U240" s="37">
        <v>1</v>
      </c>
      <c r="V240" s="30">
        <f t="shared" si="495"/>
        <v>29.490666666666669</v>
      </c>
      <c r="W240" s="25">
        <v>67</v>
      </c>
      <c r="X240" s="31">
        <f t="shared" si="152"/>
        <v>236.64000000000001</v>
      </c>
      <c r="Y240" s="25">
        <v>174</v>
      </c>
      <c r="Z240" s="25">
        <v>16</v>
      </c>
      <c r="AA240" s="25">
        <v>184</v>
      </c>
      <c r="AB240" s="37">
        <v>1</v>
      </c>
      <c r="AC240" s="30">
        <f t="shared" si="482"/>
        <v>200</v>
      </c>
      <c r="AD240" s="31">
        <f t="shared" si="153"/>
        <v>2</v>
      </c>
      <c r="AE240" s="31">
        <f t="shared" si="154"/>
        <v>8</v>
      </c>
      <c r="AF240" s="31">
        <f t="shared" si="155"/>
        <v>7</v>
      </c>
      <c r="AG240" s="31" t="str">
        <f t="shared" si="156"/>
        <v/>
      </c>
      <c r="AH240" s="31" t="str">
        <f t="shared" si="157"/>
        <v/>
      </c>
      <c r="AI240" s="31" t="str">
        <f t="shared" si="158"/>
        <v/>
      </c>
      <c r="AJ240" s="25">
        <v>10</v>
      </c>
      <c r="AK240" s="25">
        <v>7</v>
      </c>
      <c r="AL240" s="25">
        <v>0</v>
      </c>
      <c r="AM240" s="23" t="s">
        <v>206</v>
      </c>
      <c r="AN240" s="23" t="s">
        <v>92</v>
      </c>
      <c r="AO240" s="25">
        <v>284</v>
      </c>
      <c r="AR240" s="32" t="str">
        <f t="shared" si="159"/>
        <v>4 doors</v>
      </c>
      <c r="AT240" s="23" t="s">
        <v>32</v>
      </c>
      <c r="AU240" s="23" t="str">
        <f t="shared" si="107"/>
        <v>CC</v>
      </c>
      <c r="AV240" s="34">
        <f t="shared" si="160"/>
        <v>1800</v>
      </c>
      <c r="AW240" s="23">
        <v>18</v>
      </c>
      <c r="AX240" s="23">
        <v>0</v>
      </c>
      <c r="AY240" s="23">
        <v>0</v>
      </c>
    </row>
    <row r="241" spans="1:51">
      <c r="A241" s="25">
        <v>284</v>
      </c>
      <c r="D241" s="23">
        <v>4</v>
      </c>
      <c r="E241" s="25" t="s">
        <v>42</v>
      </c>
      <c r="F241" s="25" t="s">
        <v>295</v>
      </c>
      <c r="G241" s="23" t="s">
        <v>27</v>
      </c>
      <c r="H241" s="23" t="s">
        <v>172</v>
      </c>
      <c r="I241" s="25">
        <v>1984</v>
      </c>
      <c r="J241" s="35">
        <v>30</v>
      </c>
      <c r="K241" s="35">
        <v>40</v>
      </c>
      <c r="L241" s="35">
        <v>20</v>
      </c>
      <c r="M241" s="25">
        <v>10</v>
      </c>
      <c r="N241" s="25">
        <v>10</v>
      </c>
      <c r="O241" s="25">
        <v>10</v>
      </c>
      <c r="P241" s="25">
        <v>6</v>
      </c>
      <c r="R241" s="30">
        <f t="shared" si="151"/>
        <v>36</v>
      </c>
      <c r="S241" s="37">
        <v>1</v>
      </c>
      <c r="T241" s="30">
        <f t="shared" si="496"/>
        <v>22.403428571428574</v>
      </c>
      <c r="U241" s="37">
        <v>1</v>
      </c>
      <c r="V241" s="30">
        <f t="shared" si="495"/>
        <v>29.062095238095242</v>
      </c>
      <c r="W241" s="25">
        <v>67</v>
      </c>
      <c r="X241" s="31">
        <f t="shared" si="152"/>
        <v>236.64000000000001</v>
      </c>
      <c r="Y241" s="25">
        <v>174</v>
      </c>
      <c r="Z241" s="25">
        <v>16</v>
      </c>
      <c r="AA241" s="25">
        <v>184</v>
      </c>
      <c r="AB241" s="37">
        <v>1</v>
      </c>
      <c r="AC241" s="30">
        <f t="shared" si="482"/>
        <v>200</v>
      </c>
      <c r="AD241" s="31">
        <f t="shared" si="153"/>
        <v>2</v>
      </c>
      <c r="AE241" s="31">
        <f t="shared" si="154"/>
        <v>8</v>
      </c>
      <c r="AF241" s="31">
        <f t="shared" si="155"/>
        <v>7</v>
      </c>
      <c r="AG241" s="31" t="str">
        <f t="shared" si="156"/>
        <v/>
      </c>
      <c r="AH241" s="31" t="str">
        <f t="shared" si="157"/>
        <v/>
      </c>
      <c r="AI241" s="31" t="str">
        <f t="shared" si="158"/>
        <v/>
      </c>
      <c r="AJ241" s="25">
        <v>10</v>
      </c>
      <c r="AK241" s="25">
        <v>7</v>
      </c>
      <c r="AL241" s="25">
        <v>0</v>
      </c>
      <c r="AM241" s="23" t="s">
        <v>206</v>
      </c>
      <c r="AN241" s="23" t="s">
        <v>92</v>
      </c>
      <c r="AO241" s="25">
        <v>284</v>
      </c>
      <c r="AR241" s="32" t="str">
        <f t="shared" si="159"/>
        <v>4 doors</v>
      </c>
      <c r="AT241" s="23" t="s">
        <v>32</v>
      </c>
      <c r="AU241" s="23" t="str">
        <f t="shared" si="107"/>
        <v>CC</v>
      </c>
      <c r="AV241" s="34">
        <f t="shared" si="160"/>
        <v>1800.01</v>
      </c>
      <c r="AW241" s="23">
        <v>18</v>
      </c>
      <c r="AX241" s="23">
        <v>0</v>
      </c>
      <c r="AY241" s="23">
        <v>1</v>
      </c>
    </row>
    <row r="242" spans="1:51">
      <c r="A242" s="25">
        <v>284</v>
      </c>
      <c r="D242" s="23">
        <v>4</v>
      </c>
      <c r="E242" s="25" t="s">
        <v>96</v>
      </c>
      <c r="F242" s="25" t="s">
        <v>85</v>
      </c>
      <c r="G242" s="23" t="s">
        <v>27</v>
      </c>
      <c r="H242" s="23" t="s">
        <v>172</v>
      </c>
      <c r="I242" s="25">
        <v>1984</v>
      </c>
      <c r="J242" s="35">
        <v>30</v>
      </c>
      <c r="K242" s="35">
        <v>40</v>
      </c>
      <c r="L242" s="35">
        <v>20</v>
      </c>
      <c r="M242" s="25">
        <v>10</v>
      </c>
      <c r="N242" s="25">
        <v>10</v>
      </c>
      <c r="O242" s="25">
        <v>10</v>
      </c>
      <c r="P242" s="25">
        <v>6</v>
      </c>
      <c r="R242" s="30">
        <f t="shared" si="151"/>
        <v>36</v>
      </c>
      <c r="S242" s="37">
        <v>1</v>
      </c>
      <c r="T242" s="30">
        <f t="shared" si="496"/>
        <v>22.403428571428574</v>
      </c>
      <c r="U242" s="37">
        <v>1</v>
      </c>
      <c r="V242" s="30">
        <f t="shared" si="495"/>
        <v>29.062095238095242</v>
      </c>
      <c r="W242" s="25">
        <v>67</v>
      </c>
      <c r="X242" s="31">
        <f t="shared" si="152"/>
        <v>236.64000000000001</v>
      </c>
      <c r="Y242" s="25">
        <v>174</v>
      </c>
      <c r="Z242" s="25">
        <v>16</v>
      </c>
      <c r="AA242" s="25">
        <v>184</v>
      </c>
      <c r="AB242" s="37">
        <v>1</v>
      </c>
      <c r="AC242" s="30">
        <f t="shared" si="482"/>
        <v>200</v>
      </c>
      <c r="AD242" s="31">
        <f t="shared" si="153"/>
        <v>2</v>
      </c>
      <c r="AE242" s="31">
        <f t="shared" si="154"/>
        <v>8</v>
      </c>
      <c r="AF242" s="31">
        <f t="shared" si="155"/>
        <v>7</v>
      </c>
      <c r="AG242" s="31" t="str">
        <f t="shared" si="156"/>
        <v/>
      </c>
      <c r="AH242" s="31" t="str">
        <f t="shared" si="157"/>
        <v/>
      </c>
      <c r="AI242" s="31" t="str">
        <f t="shared" si="158"/>
        <v/>
      </c>
      <c r="AJ242" s="25">
        <v>10</v>
      </c>
      <c r="AK242" s="25">
        <v>7</v>
      </c>
      <c r="AL242" s="25">
        <v>0</v>
      </c>
      <c r="AM242" s="23" t="s">
        <v>206</v>
      </c>
      <c r="AN242" s="23" t="s">
        <v>92</v>
      </c>
      <c r="AO242" s="25">
        <v>284</v>
      </c>
      <c r="AR242" s="32" t="str">
        <f t="shared" si="159"/>
        <v>4 doors</v>
      </c>
      <c r="AT242" s="23" t="s">
        <v>32</v>
      </c>
      <c r="AU242" s="23" t="str">
        <f t="shared" si="107"/>
        <v>Hungary</v>
      </c>
      <c r="AV242" s="34">
        <f t="shared" si="160"/>
        <v>1800.02</v>
      </c>
      <c r="AW242" s="23">
        <v>18</v>
      </c>
      <c r="AX242" s="23">
        <v>0</v>
      </c>
      <c r="AY242" s="23">
        <v>2</v>
      </c>
    </row>
    <row r="243" spans="1:51">
      <c r="A243" s="25">
        <v>284</v>
      </c>
      <c r="D243" s="23">
        <v>4</v>
      </c>
      <c r="E243" s="25" t="s">
        <v>97</v>
      </c>
      <c r="F243" s="25" t="s">
        <v>85</v>
      </c>
      <c r="G243" s="23" t="s">
        <v>27</v>
      </c>
      <c r="H243" s="23" t="s">
        <v>172</v>
      </c>
      <c r="I243" s="25">
        <v>1984</v>
      </c>
      <c r="J243" s="35">
        <v>30</v>
      </c>
      <c r="K243" s="35">
        <v>40</v>
      </c>
      <c r="L243" s="35">
        <v>20</v>
      </c>
      <c r="M243" s="25">
        <v>10</v>
      </c>
      <c r="N243" s="25">
        <v>10</v>
      </c>
      <c r="O243" s="25">
        <v>10</v>
      </c>
      <c r="P243" s="25">
        <v>6</v>
      </c>
      <c r="R243" s="30">
        <f t="shared" si="151"/>
        <v>36</v>
      </c>
      <c r="S243" s="37">
        <v>1</v>
      </c>
      <c r="T243" s="30">
        <f t="shared" si="496"/>
        <v>22.403428571428574</v>
      </c>
      <c r="U243" s="37">
        <v>1</v>
      </c>
      <c r="V243" s="30">
        <f t="shared" si="495"/>
        <v>29.062095238095242</v>
      </c>
      <c r="W243" s="25">
        <v>67</v>
      </c>
      <c r="X243" s="31">
        <f t="shared" si="152"/>
        <v>236.64000000000001</v>
      </c>
      <c r="Y243" s="25">
        <v>174</v>
      </c>
      <c r="Z243" s="25">
        <v>16</v>
      </c>
      <c r="AA243" s="25">
        <v>184</v>
      </c>
      <c r="AB243" s="37">
        <v>1</v>
      </c>
      <c r="AC243" s="30">
        <f t="shared" si="482"/>
        <v>200</v>
      </c>
      <c r="AD243" s="31">
        <f t="shared" si="153"/>
        <v>2</v>
      </c>
      <c r="AE243" s="31">
        <f t="shared" si="154"/>
        <v>8</v>
      </c>
      <c r="AF243" s="31">
        <f t="shared" si="155"/>
        <v>7</v>
      </c>
      <c r="AG243" s="31" t="str">
        <f t="shared" si="156"/>
        <v/>
      </c>
      <c r="AH243" s="31" t="str">
        <f t="shared" si="157"/>
        <v/>
      </c>
      <c r="AI243" s="31" t="str">
        <f t="shared" si="158"/>
        <v/>
      </c>
      <c r="AJ243" s="25">
        <v>10</v>
      </c>
      <c r="AK243" s="25">
        <v>7</v>
      </c>
      <c r="AL243" s="25">
        <v>0</v>
      </c>
      <c r="AM243" s="23" t="s">
        <v>206</v>
      </c>
      <c r="AN243" s="23" t="s">
        <v>92</v>
      </c>
      <c r="AO243" s="25">
        <v>284</v>
      </c>
      <c r="AR243" s="32" t="str">
        <f t="shared" si="159"/>
        <v>4 doors</v>
      </c>
      <c r="AT243" s="23" t="s">
        <v>32</v>
      </c>
      <c r="AU243" s="23" t="str">
        <f t="shared" si="107"/>
        <v>Hungary</v>
      </c>
      <c r="AV243" s="34">
        <f t="shared" si="160"/>
        <v>1800.03</v>
      </c>
      <c r="AW243" s="23">
        <v>18</v>
      </c>
      <c r="AX243" s="23">
        <v>0</v>
      </c>
      <c r="AY243" s="23">
        <v>3</v>
      </c>
    </row>
    <row r="244" spans="1:51">
      <c r="A244" s="25">
        <v>283</v>
      </c>
      <c r="D244" s="23">
        <v>2</v>
      </c>
      <c r="E244" s="25" t="s">
        <v>30</v>
      </c>
      <c r="F244" s="25" t="s">
        <v>302</v>
      </c>
      <c r="G244" s="23" t="s">
        <v>27</v>
      </c>
      <c r="H244" s="23" t="s">
        <v>171</v>
      </c>
      <c r="I244" s="25">
        <v>1987</v>
      </c>
      <c r="J244" s="35">
        <v>30</v>
      </c>
      <c r="K244" s="35">
        <v>40</v>
      </c>
      <c r="L244" s="35">
        <v>20</v>
      </c>
      <c r="M244" s="25">
        <v>10</v>
      </c>
      <c r="N244" s="25">
        <v>10</v>
      </c>
      <c r="R244" s="30">
        <f t="shared" si="151"/>
        <v>20</v>
      </c>
      <c r="S244" s="37">
        <v>1</v>
      </c>
      <c r="T244" s="30">
        <f t="shared" si="496"/>
        <v>21.440571428571428</v>
      </c>
      <c r="U244" s="37">
        <v>1</v>
      </c>
      <c r="V244" s="30">
        <f t="shared" si="495"/>
        <v>28.78590476190476</v>
      </c>
      <c r="W244" s="25">
        <v>89</v>
      </c>
      <c r="X244" s="31">
        <f t="shared" si="152"/>
        <v>250.24</v>
      </c>
      <c r="Y244" s="25">
        <v>184</v>
      </c>
      <c r="Z244" s="25">
        <v>15</v>
      </c>
      <c r="AA244" s="25">
        <v>125</v>
      </c>
      <c r="AB244" s="37">
        <v>1</v>
      </c>
      <c r="AC244" s="30">
        <f t="shared" si="482"/>
        <v>200</v>
      </c>
      <c r="AD244" s="31">
        <f t="shared" si="153"/>
        <v>2</v>
      </c>
      <c r="AE244" s="31">
        <f t="shared" si="154"/>
        <v>8</v>
      </c>
      <c r="AF244" s="31">
        <f t="shared" si="155"/>
        <v>7</v>
      </c>
      <c r="AG244" s="31" t="str">
        <f t="shared" si="156"/>
        <v/>
      </c>
      <c r="AH244" s="31" t="str">
        <f t="shared" si="157"/>
        <v/>
      </c>
      <c r="AI244" s="31" t="str">
        <f t="shared" si="158"/>
        <v/>
      </c>
      <c r="AJ244" s="25">
        <v>10</v>
      </c>
      <c r="AK244" s="25">
        <v>7</v>
      </c>
      <c r="AL244" s="25">
        <v>0</v>
      </c>
      <c r="AM244" s="23" t="s">
        <v>206</v>
      </c>
      <c r="AN244" s="23" t="s">
        <v>92</v>
      </c>
      <c r="AO244" s="25">
        <v>283</v>
      </c>
      <c r="AR244" s="32" t="str">
        <f t="shared" si="159"/>
        <v>2 doors</v>
      </c>
      <c r="AT244" s="23" t="s">
        <v>270</v>
      </c>
      <c r="AU244" s="23" t="str">
        <f t="shared" si="107"/>
        <v>CC</v>
      </c>
      <c r="AV244" s="34">
        <f t="shared" si="160"/>
        <v>1980</v>
      </c>
      <c r="AW244" s="23">
        <v>19</v>
      </c>
      <c r="AX244" s="23">
        <v>80</v>
      </c>
      <c r="AY244" s="23">
        <v>0</v>
      </c>
    </row>
    <row r="245" spans="1:51">
      <c r="A245" s="25">
        <v>315</v>
      </c>
      <c r="D245" s="23">
        <v>2</v>
      </c>
      <c r="E245" s="25" t="s">
        <v>30</v>
      </c>
      <c r="F245" s="25" t="s">
        <v>303</v>
      </c>
      <c r="G245" s="23" t="s">
        <v>27</v>
      </c>
      <c r="H245" s="23" t="s">
        <v>189</v>
      </c>
      <c r="I245" s="25">
        <v>1992</v>
      </c>
      <c r="J245" s="35">
        <v>30</v>
      </c>
      <c r="K245" s="35">
        <v>40</v>
      </c>
      <c r="L245" s="35">
        <v>20</v>
      </c>
      <c r="M245" s="25">
        <v>4</v>
      </c>
      <c r="N245" s="25">
        <v>4</v>
      </c>
      <c r="R245" s="30">
        <f t="shared" ref="R245:R276" si="508">SUM(M245:Q245)</f>
        <v>8</v>
      </c>
      <c r="S245" s="37">
        <v>1.2</v>
      </c>
      <c r="T245" s="30">
        <f t="shared" si="496"/>
        <v>16.664914285714286</v>
      </c>
      <c r="U245" s="37">
        <v>1.1000000000000001</v>
      </c>
      <c r="V245" s="30">
        <f t="shared" si="495"/>
        <v>22.238438095238099</v>
      </c>
      <c r="W245" s="25">
        <v>118</v>
      </c>
      <c r="X245" s="31">
        <f t="shared" ref="X245:X276" si="509">Y245*1.36</f>
        <v>186.32000000000002</v>
      </c>
      <c r="Y245" s="25">
        <v>137</v>
      </c>
      <c r="Z245" s="25">
        <v>8</v>
      </c>
      <c r="AA245" s="25">
        <v>32</v>
      </c>
      <c r="AB245" s="37">
        <v>0.8</v>
      </c>
      <c r="AC245" s="30">
        <f t="shared" si="482"/>
        <v>80</v>
      </c>
      <c r="AD245" s="31">
        <f t="shared" ref="AD245:AD276" si="510">IF(AJ245&gt;8, AJ245-8, AJ245)</f>
        <v>7</v>
      </c>
      <c r="AE245" s="31" t="str">
        <f t="shared" ref="AE245:AE276" si="511">IF(AJ245&gt;8, 8, "")</f>
        <v/>
      </c>
      <c r="AF245" s="31" t="str">
        <f t="shared" ref="AF245:AF276" si="512">IF(AK245&gt;8, AK245-8, IF(AK245=0, "", AK245))</f>
        <v/>
      </c>
      <c r="AG245" s="31" t="str">
        <f t="shared" ref="AG245:AG276" si="513">IF(AK245&gt;8, 8, "")</f>
        <v/>
      </c>
      <c r="AH245" s="31" t="str">
        <f t="shared" ref="AH245:AH276" si="514">IF(AL245&gt;8, AL245-8, IF(AL245=0, "", AL245))</f>
        <v/>
      </c>
      <c r="AI245" s="31" t="str">
        <f t="shared" ref="AI245:AI276" si="515">IF(AL245&gt;8, 8, "")</f>
        <v/>
      </c>
      <c r="AJ245" s="25">
        <v>7</v>
      </c>
      <c r="AK245" s="25">
        <v>0</v>
      </c>
      <c r="AL245" s="25">
        <v>0</v>
      </c>
      <c r="AM245" s="23" t="s">
        <v>208</v>
      </c>
      <c r="AN245" s="23" t="s">
        <v>92</v>
      </c>
      <c r="AO245" s="25">
        <v>315</v>
      </c>
      <c r="AR245" s="32" t="str">
        <f t="shared" ref="AR245:AR276" si="516">IF(Q245&gt;0, "5 doors", IF(P245&gt;0, "4 doors", IF(O245&gt;0, "3 doors", IF(N245&gt;0, "2 doors", "1 door"))))</f>
        <v>2 doors</v>
      </c>
      <c r="AT245" s="23" t="s">
        <v>48</v>
      </c>
      <c r="AU245" s="23" t="str">
        <f t="shared" si="107"/>
        <v>CC</v>
      </c>
      <c r="AV245" s="34">
        <f t="shared" ref="AV245:AV276" si="517">(AW245*100)+AX245+(AY245/100)</f>
        <v>3000</v>
      </c>
      <c r="AW245" s="23">
        <v>30</v>
      </c>
      <c r="AX245" s="23">
        <v>0</v>
      </c>
      <c r="AY245" s="23">
        <v>0</v>
      </c>
    </row>
    <row r="246" spans="1:51">
      <c r="A246" s="25">
        <v>325</v>
      </c>
      <c r="D246" s="23">
        <v>2</v>
      </c>
      <c r="E246" s="25" t="s">
        <v>30</v>
      </c>
      <c r="F246" s="25" t="s">
        <v>308</v>
      </c>
      <c r="G246" s="23" t="s">
        <v>27</v>
      </c>
      <c r="H246" s="23" t="s">
        <v>248</v>
      </c>
      <c r="I246" s="25">
        <v>1986</v>
      </c>
      <c r="J246" s="35">
        <v>30</v>
      </c>
      <c r="K246" s="35">
        <v>40</v>
      </c>
      <c r="L246" s="35">
        <v>20</v>
      </c>
      <c r="M246" s="25">
        <v>4</v>
      </c>
      <c r="N246" s="25">
        <v>4</v>
      </c>
      <c r="R246" s="30">
        <f t="shared" ref="R246" si="518">SUM(M246:Q246)</f>
        <v>8</v>
      </c>
      <c r="S246" s="37">
        <v>1.2</v>
      </c>
      <c r="T246" s="30">
        <f t="shared" si="496"/>
        <v>17.452114285714288</v>
      </c>
      <c r="U246" s="37">
        <v>1.1000000000000001</v>
      </c>
      <c r="V246" s="30">
        <f t="shared" si="495"/>
        <v>24.656971428571435</v>
      </c>
      <c r="W246" s="25">
        <v>113</v>
      </c>
      <c r="X246" s="31">
        <f t="shared" ref="X246" si="519">Y246*1.36</f>
        <v>209.44000000000003</v>
      </c>
      <c r="Y246" s="25">
        <v>154</v>
      </c>
      <c r="Z246" s="25">
        <v>7</v>
      </c>
      <c r="AA246" s="25">
        <v>30</v>
      </c>
      <c r="AB246" s="37">
        <v>0.8</v>
      </c>
      <c r="AC246" s="30">
        <f t="shared" si="482"/>
        <v>80</v>
      </c>
      <c r="AD246" s="31">
        <f t="shared" si="510"/>
        <v>8</v>
      </c>
      <c r="AE246" s="31" t="str">
        <f t="shared" ref="AE246" si="520">IF(AJ246&gt;8, 8, "")</f>
        <v/>
      </c>
      <c r="AF246" s="31" t="str">
        <f t="shared" ref="AF246" si="521">IF(AK246&gt;8, AK246-8, IF(AK246=0, "", AK246))</f>
        <v/>
      </c>
      <c r="AG246" s="31" t="str">
        <f t="shared" ref="AG246" si="522">IF(AK246&gt;8, 8, "")</f>
        <v/>
      </c>
      <c r="AH246" s="31" t="str">
        <f t="shared" ref="AH246" si="523">IF(AL246&gt;8, AL246-8, IF(AL246=0, "", AL246))</f>
        <v/>
      </c>
      <c r="AI246" s="31" t="str">
        <f t="shared" ref="AI246" si="524">IF(AL246&gt;8, 8, "")</f>
        <v/>
      </c>
      <c r="AJ246" s="25">
        <v>8</v>
      </c>
      <c r="AK246" s="25">
        <v>0</v>
      </c>
      <c r="AL246" s="25">
        <v>0</v>
      </c>
      <c r="AM246" s="23" t="s">
        <v>208</v>
      </c>
      <c r="AN246" s="23" t="s">
        <v>92</v>
      </c>
      <c r="AO246" s="25">
        <v>325</v>
      </c>
      <c r="AR246" s="32" t="str">
        <f t="shared" ref="AR246" si="525">IF(Q246&gt;0, "5 doors", IF(P246&gt;0, "4 doors", IF(O246&gt;0, "3 doors", IF(N246&gt;0, "2 doors", "1 door"))))</f>
        <v>2 doors</v>
      </c>
      <c r="AT246" s="23" t="s">
        <v>48</v>
      </c>
      <c r="AU246" s="23" t="str">
        <f t="shared" si="107"/>
        <v>CC</v>
      </c>
      <c r="AV246" s="34">
        <f t="shared" ref="AV246" si="526">(AW246*100)+AX246+(AY246/100)</f>
        <v>3010</v>
      </c>
      <c r="AW246" s="23">
        <v>30</v>
      </c>
      <c r="AX246" s="23">
        <v>10</v>
      </c>
      <c r="AY246" s="23">
        <v>0</v>
      </c>
    </row>
    <row r="247" spans="1:51">
      <c r="A247" s="25">
        <v>350</v>
      </c>
      <c r="D247" s="23">
        <v>2</v>
      </c>
      <c r="E247" s="25" t="s">
        <v>30</v>
      </c>
      <c r="F247" s="25" t="s">
        <v>308</v>
      </c>
      <c r="G247" s="23" t="s">
        <v>27</v>
      </c>
      <c r="H247" s="23" t="s">
        <v>190</v>
      </c>
      <c r="I247" s="25">
        <v>1988</v>
      </c>
      <c r="J247" s="35">
        <v>30</v>
      </c>
      <c r="K247" s="35">
        <v>40</v>
      </c>
      <c r="L247" s="35">
        <v>20</v>
      </c>
      <c r="M247" s="25">
        <v>4</v>
      </c>
      <c r="N247" s="25">
        <v>4</v>
      </c>
      <c r="R247" s="30">
        <f t="shared" si="508"/>
        <v>8</v>
      </c>
      <c r="S247" s="37">
        <v>1.2</v>
      </c>
      <c r="T247" s="30">
        <f t="shared" si="496"/>
        <v>25.021714285714289</v>
      </c>
      <c r="U247" s="37">
        <v>1.1000000000000001</v>
      </c>
      <c r="V247" s="30">
        <f t="shared" si="495"/>
        <v>33.731238095238098</v>
      </c>
      <c r="W247" s="25">
        <v>117</v>
      </c>
      <c r="X247" s="31">
        <f t="shared" si="509"/>
        <v>285.60000000000002</v>
      </c>
      <c r="Y247" s="25">
        <v>210</v>
      </c>
      <c r="Z247" s="25">
        <v>12</v>
      </c>
      <c r="AA247" s="25">
        <v>50</v>
      </c>
      <c r="AB247" s="37">
        <v>0.8</v>
      </c>
      <c r="AC247" s="30">
        <f t="shared" si="482"/>
        <v>80</v>
      </c>
      <c r="AD247" s="31">
        <f t="shared" si="510"/>
        <v>3</v>
      </c>
      <c r="AE247" s="31">
        <f t="shared" si="511"/>
        <v>8</v>
      </c>
      <c r="AF247" s="31" t="str">
        <f t="shared" si="512"/>
        <v/>
      </c>
      <c r="AG247" s="31" t="str">
        <f t="shared" si="513"/>
        <v/>
      </c>
      <c r="AH247" s="31" t="str">
        <f t="shared" si="514"/>
        <v/>
      </c>
      <c r="AI247" s="31" t="str">
        <f t="shared" si="515"/>
        <v/>
      </c>
      <c r="AJ247" s="25">
        <v>11</v>
      </c>
      <c r="AK247" s="25">
        <v>0</v>
      </c>
      <c r="AL247" s="25">
        <v>0</v>
      </c>
      <c r="AM247" s="23" t="s">
        <v>208</v>
      </c>
      <c r="AN247" s="23" t="s">
        <v>92</v>
      </c>
      <c r="AO247" s="25">
        <v>350</v>
      </c>
      <c r="AR247" s="32" t="str">
        <f t="shared" si="516"/>
        <v>2 doors</v>
      </c>
      <c r="AT247" s="23" t="s">
        <v>48</v>
      </c>
      <c r="AU247" s="23" t="str">
        <f t="shared" si="107"/>
        <v>CC</v>
      </c>
      <c r="AV247" s="34">
        <f t="shared" si="517"/>
        <v>3100</v>
      </c>
      <c r="AW247" s="23">
        <v>31</v>
      </c>
      <c r="AX247" s="23">
        <v>0</v>
      </c>
      <c r="AY247" s="23">
        <v>0</v>
      </c>
    </row>
    <row r="248" spans="1:51">
      <c r="A248" s="25">
        <v>386</v>
      </c>
      <c r="D248" s="23">
        <v>2</v>
      </c>
      <c r="E248" s="25" t="s">
        <v>30</v>
      </c>
      <c r="F248" s="25" t="s">
        <v>308</v>
      </c>
      <c r="G248" s="23" t="s">
        <v>27</v>
      </c>
      <c r="H248" s="23" t="s">
        <v>226</v>
      </c>
      <c r="I248" s="25">
        <v>1986</v>
      </c>
      <c r="J248" s="35">
        <v>30</v>
      </c>
      <c r="K248" s="35">
        <v>40</v>
      </c>
      <c r="L248" s="35">
        <v>20</v>
      </c>
      <c r="M248" s="25">
        <v>4</v>
      </c>
      <c r="N248" s="25">
        <v>4</v>
      </c>
      <c r="R248" s="30">
        <f t="shared" si="508"/>
        <v>8</v>
      </c>
      <c r="S248" s="37">
        <v>1.2</v>
      </c>
      <c r="T248" s="30">
        <f t="shared" si="496"/>
        <v>27.061714285714288</v>
      </c>
      <c r="U248" s="37">
        <v>1.1000000000000001</v>
      </c>
      <c r="V248" s="30">
        <f t="shared" si="495"/>
        <v>37.463904761904757</v>
      </c>
      <c r="W248" s="25">
        <v>113</v>
      </c>
      <c r="X248" s="31">
        <f t="shared" si="509"/>
        <v>319.60000000000002</v>
      </c>
      <c r="Y248" s="25">
        <v>235</v>
      </c>
      <c r="Z248" s="25">
        <v>12</v>
      </c>
      <c r="AA248" s="25">
        <v>49</v>
      </c>
      <c r="AB248" s="37">
        <v>0.8</v>
      </c>
      <c r="AC248" s="30">
        <f t="shared" si="482"/>
        <v>120</v>
      </c>
      <c r="AD248" s="31">
        <f t="shared" si="510"/>
        <v>3</v>
      </c>
      <c r="AE248" s="31">
        <f t="shared" si="511"/>
        <v>8</v>
      </c>
      <c r="AF248" s="31" t="str">
        <f t="shared" si="512"/>
        <v/>
      </c>
      <c r="AG248" s="31" t="str">
        <f t="shared" si="513"/>
        <v/>
      </c>
      <c r="AH248" s="31" t="str">
        <f t="shared" si="514"/>
        <v/>
      </c>
      <c r="AI248" s="31" t="str">
        <f t="shared" si="515"/>
        <v/>
      </c>
      <c r="AJ248" s="25">
        <v>11</v>
      </c>
      <c r="AK248" s="25">
        <v>0</v>
      </c>
      <c r="AL248" s="25">
        <v>0</v>
      </c>
      <c r="AM248" s="23" t="s">
        <v>208</v>
      </c>
      <c r="AN248" s="23" t="s">
        <v>92</v>
      </c>
      <c r="AO248" s="25">
        <v>386</v>
      </c>
      <c r="AR248" s="32" t="str">
        <f t="shared" si="516"/>
        <v>2 doors</v>
      </c>
      <c r="AT248" s="23" t="s">
        <v>47</v>
      </c>
      <c r="AU248" s="23" t="str">
        <f t="shared" si="107"/>
        <v>CC</v>
      </c>
      <c r="AV248" s="34">
        <f t="shared" si="517"/>
        <v>3200</v>
      </c>
      <c r="AW248" s="23">
        <v>32</v>
      </c>
      <c r="AX248" s="23">
        <v>0</v>
      </c>
      <c r="AY248" s="23">
        <v>0</v>
      </c>
    </row>
    <row r="249" spans="1:51">
      <c r="A249" s="25">
        <v>397</v>
      </c>
      <c r="D249" s="23">
        <v>2</v>
      </c>
      <c r="E249" s="25" t="s">
        <v>30</v>
      </c>
      <c r="F249" s="25" t="s">
        <v>317</v>
      </c>
      <c r="G249" s="23" t="s">
        <v>27</v>
      </c>
      <c r="H249" s="23" t="s">
        <v>191</v>
      </c>
      <c r="I249" s="25">
        <v>1993</v>
      </c>
      <c r="J249" s="35">
        <v>30</v>
      </c>
      <c r="K249" s="35">
        <v>40</v>
      </c>
      <c r="L249" s="35">
        <v>20</v>
      </c>
      <c r="M249" s="25">
        <v>4</v>
      </c>
      <c r="N249" s="25">
        <v>6</v>
      </c>
      <c r="R249" s="30">
        <f t="shared" si="508"/>
        <v>10</v>
      </c>
      <c r="S249" s="37">
        <v>1.2</v>
      </c>
      <c r="T249" s="30">
        <f t="shared" si="496"/>
        <v>32.844342857142856</v>
      </c>
      <c r="U249" s="37">
        <v>1.1000000000000001</v>
      </c>
      <c r="V249" s="30">
        <f t="shared" si="495"/>
        <v>43.046247619047627</v>
      </c>
      <c r="W249" s="25">
        <v>123</v>
      </c>
      <c r="X249" s="31">
        <f t="shared" si="509"/>
        <v>363.12</v>
      </c>
      <c r="Y249" s="25">
        <v>267</v>
      </c>
      <c r="Z249" s="25">
        <v>17</v>
      </c>
      <c r="AA249" s="25">
        <v>61</v>
      </c>
      <c r="AB249" s="37">
        <v>0.8</v>
      </c>
      <c r="AC249" s="30">
        <f t="shared" si="482"/>
        <v>120</v>
      </c>
      <c r="AD249" s="31">
        <f t="shared" si="510"/>
        <v>3</v>
      </c>
      <c r="AE249" s="31">
        <f t="shared" si="511"/>
        <v>8</v>
      </c>
      <c r="AF249" s="31" t="str">
        <f t="shared" si="512"/>
        <v/>
      </c>
      <c r="AG249" s="31" t="str">
        <f t="shared" si="513"/>
        <v/>
      </c>
      <c r="AH249" s="31" t="str">
        <f t="shared" si="514"/>
        <v/>
      </c>
      <c r="AI249" s="31" t="str">
        <f t="shared" si="515"/>
        <v/>
      </c>
      <c r="AJ249" s="25">
        <v>11</v>
      </c>
      <c r="AK249" s="25">
        <v>0</v>
      </c>
      <c r="AL249" s="25">
        <v>0</v>
      </c>
      <c r="AM249" s="23" t="s">
        <v>208</v>
      </c>
      <c r="AN249" s="23" t="s">
        <v>92</v>
      </c>
      <c r="AO249" s="25">
        <v>397</v>
      </c>
      <c r="AR249" s="32" t="str">
        <f t="shared" si="516"/>
        <v>2 doors</v>
      </c>
      <c r="AT249" s="23" t="s">
        <v>47</v>
      </c>
      <c r="AU249" s="23" t="str">
        <f t="shared" si="107"/>
        <v>CC</v>
      </c>
      <c r="AV249" s="34">
        <f t="shared" si="517"/>
        <v>3300</v>
      </c>
      <c r="AW249" s="23">
        <v>33</v>
      </c>
      <c r="AX249" s="23">
        <v>0</v>
      </c>
      <c r="AY249" s="23">
        <v>0</v>
      </c>
    </row>
    <row r="250" spans="1:51">
      <c r="A250" s="25">
        <v>397</v>
      </c>
      <c r="D250" s="23">
        <v>2</v>
      </c>
      <c r="E250" s="25" t="s">
        <v>211</v>
      </c>
      <c r="F250" s="25" t="s">
        <v>211</v>
      </c>
      <c r="G250" s="23" t="s">
        <v>27</v>
      </c>
      <c r="H250" s="23" t="s">
        <v>191</v>
      </c>
      <c r="I250" s="25">
        <v>1993</v>
      </c>
      <c r="J250" s="35">
        <v>30</v>
      </c>
      <c r="K250" s="35">
        <v>40</v>
      </c>
      <c r="L250" s="35">
        <v>20</v>
      </c>
      <c r="M250" s="25">
        <v>4</v>
      </c>
      <c r="N250" s="25">
        <v>6</v>
      </c>
      <c r="R250" s="30">
        <f t="shared" si="508"/>
        <v>10</v>
      </c>
      <c r="S250" s="37">
        <v>1.2</v>
      </c>
      <c r="T250" s="30">
        <f t="shared" si="496"/>
        <v>32.844342857142856</v>
      </c>
      <c r="U250" s="37">
        <v>1.1000000000000001</v>
      </c>
      <c r="V250" s="30">
        <f t="shared" si="495"/>
        <v>43.046247619047627</v>
      </c>
      <c r="W250" s="25">
        <v>123</v>
      </c>
      <c r="X250" s="31">
        <f t="shared" si="509"/>
        <v>363.12</v>
      </c>
      <c r="Y250" s="25">
        <v>267</v>
      </c>
      <c r="Z250" s="25">
        <v>17</v>
      </c>
      <c r="AA250" s="25">
        <v>61</v>
      </c>
      <c r="AB250" s="37">
        <v>0.8</v>
      </c>
      <c r="AC250" s="30">
        <f t="shared" si="482"/>
        <v>120</v>
      </c>
      <c r="AD250" s="31">
        <f t="shared" si="510"/>
        <v>3</v>
      </c>
      <c r="AE250" s="31">
        <f t="shared" si="511"/>
        <v>8</v>
      </c>
      <c r="AF250" s="31" t="str">
        <f t="shared" si="512"/>
        <v/>
      </c>
      <c r="AG250" s="31" t="str">
        <f t="shared" si="513"/>
        <v/>
      </c>
      <c r="AH250" s="31" t="str">
        <f t="shared" si="514"/>
        <v/>
      </c>
      <c r="AI250" s="31" t="str">
        <f t="shared" si="515"/>
        <v/>
      </c>
      <c r="AJ250" s="25">
        <v>11</v>
      </c>
      <c r="AK250" s="25">
        <v>0</v>
      </c>
      <c r="AL250" s="25">
        <v>0</v>
      </c>
      <c r="AM250" s="23" t="s">
        <v>208</v>
      </c>
      <c r="AN250" s="23" t="s">
        <v>92</v>
      </c>
      <c r="AO250" s="25">
        <v>397</v>
      </c>
      <c r="AR250" s="32" t="str">
        <f t="shared" si="516"/>
        <v>2 doors</v>
      </c>
      <c r="AT250" s="23" t="s">
        <v>47</v>
      </c>
      <c r="AU250" s="23" t="str">
        <f t="shared" si="107"/>
        <v>Hungary</v>
      </c>
      <c r="AV250" s="34">
        <f t="shared" si="517"/>
        <v>3300.01</v>
      </c>
      <c r="AW250" s="23">
        <v>33</v>
      </c>
      <c r="AX250" s="23">
        <v>0</v>
      </c>
      <c r="AY250" s="23">
        <v>1</v>
      </c>
    </row>
    <row r="251" spans="1:51">
      <c r="A251" s="25">
        <v>405</v>
      </c>
      <c r="D251" s="23">
        <v>2</v>
      </c>
      <c r="E251" s="25" t="s">
        <v>30</v>
      </c>
      <c r="F251" s="25" t="s">
        <v>295</v>
      </c>
      <c r="G251" s="23" t="s">
        <v>27</v>
      </c>
      <c r="H251" s="23" t="s">
        <v>174</v>
      </c>
      <c r="I251" s="25">
        <v>1993</v>
      </c>
      <c r="J251" s="35">
        <v>30</v>
      </c>
      <c r="K251" s="35">
        <v>40</v>
      </c>
      <c r="L251" s="35">
        <v>20</v>
      </c>
      <c r="M251" s="25">
        <v>8</v>
      </c>
      <c r="N251" s="25">
        <v>12</v>
      </c>
      <c r="R251" s="30">
        <f t="shared" si="508"/>
        <v>20</v>
      </c>
      <c r="S251" s="37">
        <v>1</v>
      </c>
      <c r="T251" s="30">
        <f t="shared" si="496"/>
        <v>10.796571428571429</v>
      </c>
      <c r="U251" s="37">
        <v>1</v>
      </c>
      <c r="V251" s="30">
        <f t="shared" si="495"/>
        <v>15.971238095238096</v>
      </c>
      <c r="W251" s="25">
        <v>76</v>
      </c>
      <c r="X251" s="31">
        <f t="shared" si="509"/>
        <v>137.36000000000001</v>
      </c>
      <c r="Y251" s="25">
        <v>101</v>
      </c>
      <c r="Z251" s="25">
        <v>5</v>
      </c>
      <c r="AA251" s="25">
        <v>46</v>
      </c>
      <c r="AB251" s="37">
        <v>1</v>
      </c>
      <c r="AC251" s="30">
        <f t="shared" si="482"/>
        <v>200</v>
      </c>
      <c r="AD251" s="31">
        <f t="shared" si="510"/>
        <v>7</v>
      </c>
      <c r="AE251" s="31" t="str">
        <f t="shared" si="511"/>
        <v/>
      </c>
      <c r="AF251" s="31" t="str">
        <f t="shared" si="512"/>
        <v/>
      </c>
      <c r="AG251" s="31" t="str">
        <f t="shared" si="513"/>
        <v/>
      </c>
      <c r="AH251" s="31" t="str">
        <f t="shared" si="514"/>
        <v/>
      </c>
      <c r="AI251" s="31" t="str">
        <f t="shared" si="515"/>
        <v/>
      </c>
      <c r="AJ251" s="25">
        <v>7</v>
      </c>
      <c r="AK251" s="25">
        <v>0</v>
      </c>
      <c r="AL251" s="25">
        <v>0</v>
      </c>
      <c r="AM251" s="23" t="s">
        <v>207</v>
      </c>
      <c r="AN251" s="23" t="s">
        <v>92</v>
      </c>
      <c r="AO251" s="25">
        <v>405</v>
      </c>
      <c r="AR251" s="32" t="str">
        <f t="shared" si="516"/>
        <v>2 doors</v>
      </c>
      <c r="AT251" s="23" t="s">
        <v>32</v>
      </c>
      <c r="AU251" s="23" t="str">
        <f t="shared" si="107"/>
        <v>CC</v>
      </c>
      <c r="AV251" s="34">
        <f t="shared" si="517"/>
        <v>5000</v>
      </c>
      <c r="AW251" s="23">
        <v>50</v>
      </c>
      <c r="AX251" s="23">
        <v>0</v>
      </c>
      <c r="AY251" s="23">
        <v>0</v>
      </c>
    </row>
    <row r="252" spans="1:51">
      <c r="A252" s="25">
        <v>405</v>
      </c>
      <c r="D252" s="23">
        <v>2</v>
      </c>
      <c r="E252" s="25" t="s">
        <v>85</v>
      </c>
      <c r="F252" s="25" t="s">
        <v>85</v>
      </c>
      <c r="G252" s="23" t="s">
        <v>27</v>
      </c>
      <c r="H252" s="23" t="s">
        <v>174</v>
      </c>
      <c r="I252" s="25">
        <v>1993</v>
      </c>
      <c r="J252" s="35">
        <v>30</v>
      </c>
      <c r="K252" s="35">
        <v>40</v>
      </c>
      <c r="L252" s="35">
        <v>20</v>
      </c>
      <c r="M252" s="25">
        <v>8</v>
      </c>
      <c r="N252" s="25">
        <v>12</v>
      </c>
      <c r="R252" s="30">
        <f t="shared" si="508"/>
        <v>20</v>
      </c>
      <c r="S252" s="37">
        <v>1</v>
      </c>
      <c r="T252" s="30">
        <f t="shared" si="496"/>
        <v>10.796571428571429</v>
      </c>
      <c r="U252" s="37">
        <v>1</v>
      </c>
      <c r="V252" s="30">
        <f t="shared" si="495"/>
        <v>15.971238095238096</v>
      </c>
      <c r="W252" s="25">
        <v>76</v>
      </c>
      <c r="X252" s="31">
        <f t="shared" si="509"/>
        <v>137.36000000000001</v>
      </c>
      <c r="Y252" s="25">
        <v>101</v>
      </c>
      <c r="Z252" s="25">
        <v>5</v>
      </c>
      <c r="AA252" s="25">
        <v>46</v>
      </c>
      <c r="AB252" s="37">
        <v>1</v>
      </c>
      <c r="AC252" s="30">
        <f t="shared" si="482"/>
        <v>200</v>
      </c>
      <c r="AD252" s="31">
        <f t="shared" si="510"/>
        <v>7</v>
      </c>
      <c r="AE252" s="31" t="str">
        <f t="shared" si="511"/>
        <v/>
      </c>
      <c r="AF252" s="31" t="str">
        <f t="shared" si="512"/>
        <v/>
      </c>
      <c r="AG252" s="31" t="str">
        <f t="shared" si="513"/>
        <v/>
      </c>
      <c r="AH252" s="31" t="str">
        <f t="shared" si="514"/>
        <v/>
      </c>
      <c r="AI252" s="31" t="str">
        <f t="shared" si="515"/>
        <v/>
      </c>
      <c r="AJ252" s="25">
        <v>7</v>
      </c>
      <c r="AK252" s="25">
        <v>0</v>
      </c>
      <c r="AL252" s="25">
        <v>0</v>
      </c>
      <c r="AM252" s="23" t="s">
        <v>207</v>
      </c>
      <c r="AN252" s="23" t="s">
        <v>92</v>
      </c>
      <c r="AO252" s="25">
        <v>405</v>
      </c>
      <c r="AR252" s="32" t="str">
        <f t="shared" si="516"/>
        <v>2 doors</v>
      </c>
      <c r="AT252" s="23" t="s">
        <v>32</v>
      </c>
      <c r="AU252" s="23" t="str">
        <f t="shared" si="107"/>
        <v>Hungary</v>
      </c>
      <c r="AV252" s="34">
        <f t="shared" si="517"/>
        <v>5000.01</v>
      </c>
      <c r="AW252" s="23">
        <v>50</v>
      </c>
      <c r="AX252" s="23">
        <v>0</v>
      </c>
      <c r="AY252" s="23">
        <v>1</v>
      </c>
    </row>
    <row r="253" spans="1:51">
      <c r="A253" s="25">
        <v>415</v>
      </c>
      <c r="B253" s="23" t="s">
        <v>89</v>
      </c>
      <c r="C253" s="23" t="s">
        <v>246</v>
      </c>
      <c r="D253" s="23">
        <v>3</v>
      </c>
      <c r="E253" s="25" t="s">
        <v>30</v>
      </c>
      <c r="F253" s="25" t="s">
        <v>295</v>
      </c>
      <c r="G253" s="23" t="s">
        <v>27</v>
      </c>
      <c r="H253" s="23" t="s">
        <v>178</v>
      </c>
      <c r="I253" s="25">
        <v>1984</v>
      </c>
      <c r="J253" s="35">
        <v>30</v>
      </c>
      <c r="K253" s="35">
        <v>40</v>
      </c>
      <c r="L253" s="35">
        <v>20</v>
      </c>
      <c r="M253" s="25">
        <v>10</v>
      </c>
      <c r="N253" s="25">
        <v>10</v>
      </c>
      <c r="O253" s="25">
        <v>8</v>
      </c>
      <c r="R253" s="30">
        <f t="shared" si="508"/>
        <v>28</v>
      </c>
      <c r="S253" s="37">
        <v>1</v>
      </c>
      <c r="T253" s="30">
        <f t="shared" si="496"/>
        <v>19.968</v>
      </c>
      <c r="U253" s="37">
        <v>1</v>
      </c>
      <c r="V253" s="30">
        <f t="shared" si="495"/>
        <v>27.749333333333333</v>
      </c>
      <c r="W253" s="25">
        <v>71</v>
      </c>
      <c r="X253" s="31">
        <f t="shared" si="509"/>
        <v>239.36</v>
      </c>
      <c r="Y253" s="25">
        <v>176</v>
      </c>
      <c r="Z253" s="25">
        <v>12</v>
      </c>
      <c r="AA253" s="25">
        <v>92</v>
      </c>
      <c r="AB253" s="37">
        <v>1</v>
      </c>
      <c r="AC253" s="30">
        <f t="shared" si="482"/>
        <v>200</v>
      </c>
      <c r="AD253" s="31">
        <f t="shared" si="510"/>
        <v>3</v>
      </c>
      <c r="AE253" s="31">
        <f t="shared" si="511"/>
        <v>8</v>
      </c>
      <c r="AF253" s="31" t="str">
        <f t="shared" si="512"/>
        <v/>
      </c>
      <c r="AG253" s="31" t="str">
        <f t="shared" si="513"/>
        <v/>
      </c>
      <c r="AH253" s="31" t="str">
        <f t="shared" si="514"/>
        <v/>
      </c>
      <c r="AI253" s="31" t="str">
        <f t="shared" si="515"/>
        <v/>
      </c>
      <c r="AJ253" s="25">
        <v>11</v>
      </c>
      <c r="AK253" s="25">
        <v>0</v>
      </c>
      <c r="AL253" s="25">
        <v>0</v>
      </c>
      <c r="AM253" s="23" t="s">
        <v>207</v>
      </c>
      <c r="AN253" s="23" t="s">
        <v>92</v>
      </c>
      <c r="AO253" s="25">
        <v>415</v>
      </c>
      <c r="AR253" s="32" t="str">
        <f t="shared" si="516"/>
        <v>3 doors</v>
      </c>
      <c r="AT253" s="23" t="s">
        <v>32</v>
      </c>
      <c r="AU253" s="23" t="str">
        <f t="shared" si="107"/>
        <v>CC</v>
      </c>
      <c r="AV253" s="34">
        <f t="shared" si="517"/>
        <v>5100</v>
      </c>
      <c r="AW253" s="23">
        <v>51</v>
      </c>
      <c r="AX253" s="23">
        <v>0</v>
      </c>
      <c r="AY253" s="23">
        <v>0</v>
      </c>
    </row>
    <row r="254" spans="1:51">
      <c r="A254" s="25">
        <v>415</v>
      </c>
      <c r="B254" s="23" t="s">
        <v>89</v>
      </c>
      <c r="C254" s="23" t="s">
        <v>128</v>
      </c>
      <c r="D254" s="23">
        <v>3</v>
      </c>
      <c r="E254" s="25" t="s">
        <v>42</v>
      </c>
      <c r="F254" s="25" t="s">
        <v>295</v>
      </c>
      <c r="G254" s="23" t="s">
        <v>27</v>
      </c>
      <c r="H254" s="23" t="s">
        <v>178</v>
      </c>
      <c r="I254" s="25">
        <v>1984</v>
      </c>
      <c r="J254" s="35">
        <v>30</v>
      </c>
      <c r="K254" s="35">
        <v>40</v>
      </c>
      <c r="L254" s="35">
        <v>20</v>
      </c>
      <c r="M254" s="25">
        <v>10</v>
      </c>
      <c r="N254" s="25">
        <v>10</v>
      </c>
      <c r="O254" s="25">
        <v>8</v>
      </c>
      <c r="R254" s="30">
        <f t="shared" si="508"/>
        <v>28</v>
      </c>
      <c r="S254" s="37">
        <v>1.2</v>
      </c>
      <c r="T254" s="30">
        <f t="shared" si="496"/>
        <v>23.961600000000001</v>
      </c>
      <c r="U254" s="37">
        <v>1.1000000000000001</v>
      </c>
      <c r="V254" s="30">
        <f t="shared" si="495"/>
        <v>30.524266666666669</v>
      </c>
      <c r="W254" s="25">
        <v>71</v>
      </c>
      <c r="X254" s="31">
        <f t="shared" si="509"/>
        <v>239.36</v>
      </c>
      <c r="Y254" s="25">
        <v>176</v>
      </c>
      <c r="Z254" s="25">
        <v>12</v>
      </c>
      <c r="AA254" s="25">
        <v>92</v>
      </c>
      <c r="AB254" s="37">
        <v>0.8</v>
      </c>
      <c r="AC254" s="30">
        <f t="shared" si="482"/>
        <v>160</v>
      </c>
      <c r="AD254" s="31">
        <f t="shared" si="510"/>
        <v>3</v>
      </c>
      <c r="AE254" s="31">
        <f t="shared" si="511"/>
        <v>8</v>
      </c>
      <c r="AF254" s="31" t="str">
        <f t="shared" si="512"/>
        <v/>
      </c>
      <c r="AG254" s="31" t="str">
        <f t="shared" si="513"/>
        <v/>
      </c>
      <c r="AH254" s="31" t="str">
        <f t="shared" si="514"/>
        <v/>
      </c>
      <c r="AI254" s="31" t="str">
        <f t="shared" si="515"/>
        <v/>
      </c>
      <c r="AJ254" s="25">
        <v>11</v>
      </c>
      <c r="AK254" s="25">
        <v>0</v>
      </c>
      <c r="AL254" s="25">
        <v>0</v>
      </c>
      <c r="AM254" s="23" t="s">
        <v>207</v>
      </c>
      <c r="AN254" s="23" t="s">
        <v>92</v>
      </c>
      <c r="AO254" s="25">
        <v>415</v>
      </c>
      <c r="AR254" s="32" t="str">
        <f t="shared" si="516"/>
        <v>3 doors</v>
      </c>
      <c r="AS254" s="23" t="s">
        <v>210</v>
      </c>
      <c r="AT254" s="23" t="s">
        <v>32</v>
      </c>
      <c r="AU254" s="23" t="str">
        <f t="shared" si="107"/>
        <v>CC</v>
      </c>
      <c r="AV254" s="34">
        <f t="shared" si="517"/>
        <v>5100.01</v>
      </c>
      <c r="AW254" s="23">
        <v>51</v>
      </c>
      <c r="AX254" s="23">
        <v>0</v>
      </c>
      <c r="AY254" s="23">
        <v>1</v>
      </c>
    </row>
    <row r="255" spans="1:51">
      <c r="A255" s="25">
        <v>415</v>
      </c>
      <c r="B255" s="23" t="s">
        <v>89</v>
      </c>
      <c r="C255" s="23" t="s">
        <v>246</v>
      </c>
      <c r="D255" s="23">
        <v>3</v>
      </c>
      <c r="E255" s="25" t="s">
        <v>85</v>
      </c>
      <c r="F255" s="25" t="s">
        <v>85</v>
      </c>
      <c r="G255" s="23" t="s">
        <v>27</v>
      </c>
      <c r="H255" s="23" t="s">
        <v>178</v>
      </c>
      <c r="I255" s="25">
        <v>1984</v>
      </c>
      <c r="J255" s="35">
        <v>30</v>
      </c>
      <c r="K255" s="35">
        <v>40</v>
      </c>
      <c r="L255" s="35">
        <v>20</v>
      </c>
      <c r="M255" s="25">
        <v>10</v>
      </c>
      <c r="N255" s="25">
        <v>10</v>
      </c>
      <c r="O255" s="25">
        <v>8</v>
      </c>
      <c r="R255" s="30">
        <f t="shared" si="508"/>
        <v>28</v>
      </c>
      <c r="S255" s="37">
        <v>1</v>
      </c>
      <c r="T255" s="30">
        <f t="shared" si="496"/>
        <v>19.968</v>
      </c>
      <c r="U255" s="37">
        <v>1</v>
      </c>
      <c r="V255" s="30">
        <f t="shared" si="495"/>
        <v>27.749333333333333</v>
      </c>
      <c r="W255" s="25">
        <v>71</v>
      </c>
      <c r="X255" s="31">
        <f t="shared" si="509"/>
        <v>239.36</v>
      </c>
      <c r="Y255" s="25">
        <v>176</v>
      </c>
      <c r="Z255" s="25">
        <v>12</v>
      </c>
      <c r="AA255" s="25">
        <v>92</v>
      </c>
      <c r="AB255" s="37">
        <v>1</v>
      </c>
      <c r="AC255" s="30">
        <f t="shared" si="482"/>
        <v>200</v>
      </c>
      <c r="AD255" s="31">
        <f t="shared" si="510"/>
        <v>3</v>
      </c>
      <c r="AE255" s="31">
        <f t="shared" si="511"/>
        <v>8</v>
      </c>
      <c r="AF255" s="31" t="str">
        <f t="shared" si="512"/>
        <v/>
      </c>
      <c r="AG255" s="31" t="str">
        <f t="shared" si="513"/>
        <v/>
      </c>
      <c r="AH255" s="31" t="str">
        <f t="shared" si="514"/>
        <v/>
      </c>
      <c r="AI255" s="31" t="str">
        <f t="shared" si="515"/>
        <v/>
      </c>
      <c r="AJ255" s="25">
        <v>11</v>
      </c>
      <c r="AK255" s="25">
        <v>0</v>
      </c>
      <c r="AL255" s="25">
        <v>0</v>
      </c>
      <c r="AM255" s="23" t="s">
        <v>207</v>
      </c>
      <c r="AN255" s="23" t="s">
        <v>92</v>
      </c>
      <c r="AO255" s="25">
        <v>415</v>
      </c>
      <c r="AR255" s="32" t="str">
        <f t="shared" si="516"/>
        <v>3 doors</v>
      </c>
      <c r="AT255" s="23" t="s">
        <v>32</v>
      </c>
      <c r="AU255" s="23" t="str">
        <f t="shared" si="107"/>
        <v>Hungary</v>
      </c>
      <c r="AV255" s="34">
        <f t="shared" si="517"/>
        <v>5100.0200000000004</v>
      </c>
      <c r="AW255" s="23">
        <v>51</v>
      </c>
      <c r="AX255" s="23">
        <v>0</v>
      </c>
      <c r="AY255" s="23">
        <v>2</v>
      </c>
    </row>
    <row r="256" spans="1:51">
      <c r="A256" s="25">
        <v>415</v>
      </c>
      <c r="B256" s="23" t="s">
        <v>89</v>
      </c>
      <c r="D256" s="23">
        <v>3</v>
      </c>
      <c r="E256" s="25" t="s">
        <v>30</v>
      </c>
      <c r="F256" s="25" t="s">
        <v>295</v>
      </c>
      <c r="G256" s="23" t="s">
        <v>27</v>
      </c>
      <c r="H256" s="23" t="s">
        <v>179</v>
      </c>
      <c r="I256" s="25">
        <v>1992</v>
      </c>
      <c r="J256" s="35">
        <v>30</v>
      </c>
      <c r="K256" s="35">
        <v>40</v>
      </c>
      <c r="L256" s="35">
        <v>20</v>
      </c>
      <c r="M256" s="25">
        <v>10</v>
      </c>
      <c r="N256" s="25">
        <v>10</v>
      </c>
      <c r="O256" s="25">
        <v>6</v>
      </c>
      <c r="R256" s="30">
        <f t="shared" si="508"/>
        <v>26</v>
      </c>
      <c r="S256" s="37">
        <v>1</v>
      </c>
      <c r="T256" s="30">
        <f t="shared" si="496"/>
        <v>20.369142857142858</v>
      </c>
      <c r="U256" s="37">
        <v>1</v>
      </c>
      <c r="V256" s="30">
        <f t="shared" si="495"/>
        <v>28.72780952380953</v>
      </c>
      <c r="W256" s="25">
        <v>72</v>
      </c>
      <c r="X256" s="31">
        <f t="shared" si="509"/>
        <v>250.24</v>
      </c>
      <c r="Y256" s="25">
        <v>184</v>
      </c>
      <c r="Z256" s="25">
        <v>12</v>
      </c>
      <c r="AA256" s="25">
        <v>97</v>
      </c>
      <c r="AB256" s="37">
        <v>1</v>
      </c>
      <c r="AC256" s="30">
        <f t="shared" si="482"/>
        <v>200</v>
      </c>
      <c r="AD256" s="31">
        <f t="shared" si="510"/>
        <v>3</v>
      </c>
      <c r="AE256" s="31">
        <f t="shared" si="511"/>
        <v>8</v>
      </c>
      <c r="AF256" s="31" t="str">
        <f t="shared" si="512"/>
        <v/>
      </c>
      <c r="AG256" s="31" t="str">
        <f t="shared" si="513"/>
        <v/>
      </c>
      <c r="AH256" s="31" t="str">
        <f t="shared" si="514"/>
        <v/>
      </c>
      <c r="AI256" s="31" t="str">
        <f t="shared" si="515"/>
        <v/>
      </c>
      <c r="AJ256" s="25">
        <v>11</v>
      </c>
      <c r="AK256" s="25">
        <v>0</v>
      </c>
      <c r="AL256" s="25">
        <v>0</v>
      </c>
      <c r="AM256" s="23" t="s">
        <v>207</v>
      </c>
      <c r="AN256" s="23" t="s">
        <v>92</v>
      </c>
      <c r="AO256" s="25">
        <v>415</v>
      </c>
      <c r="AR256" s="32" t="str">
        <f t="shared" si="516"/>
        <v>3 doors</v>
      </c>
      <c r="AT256" s="23" t="s">
        <v>32</v>
      </c>
      <c r="AU256" s="23" t="str">
        <f t="shared" si="107"/>
        <v>CC</v>
      </c>
      <c r="AV256" s="34">
        <f t="shared" si="517"/>
        <v>5120</v>
      </c>
      <c r="AW256" s="23">
        <v>51</v>
      </c>
      <c r="AX256" s="23">
        <v>20</v>
      </c>
      <c r="AY256" s="23">
        <v>0</v>
      </c>
    </row>
    <row r="257" spans="1:51">
      <c r="A257" s="25">
        <v>415</v>
      </c>
      <c r="B257" s="23" t="s">
        <v>89</v>
      </c>
      <c r="D257" s="23">
        <v>3</v>
      </c>
      <c r="E257" s="25" t="s">
        <v>85</v>
      </c>
      <c r="F257" s="25" t="s">
        <v>85</v>
      </c>
      <c r="G257" s="23" t="s">
        <v>27</v>
      </c>
      <c r="H257" s="23" t="s">
        <v>179</v>
      </c>
      <c r="I257" s="25">
        <v>1992</v>
      </c>
      <c r="J257" s="35">
        <v>30</v>
      </c>
      <c r="K257" s="35">
        <v>40</v>
      </c>
      <c r="L257" s="35">
        <v>20</v>
      </c>
      <c r="M257" s="25">
        <v>10</v>
      </c>
      <c r="N257" s="25">
        <v>10</v>
      </c>
      <c r="O257" s="25">
        <v>6</v>
      </c>
      <c r="R257" s="30">
        <f t="shared" si="508"/>
        <v>26</v>
      </c>
      <c r="S257" s="37">
        <v>1</v>
      </c>
      <c r="T257" s="30">
        <f t="shared" si="496"/>
        <v>20.369142857142858</v>
      </c>
      <c r="U257" s="37">
        <v>1</v>
      </c>
      <c r="V257" s="30">
        <f t="shared" si="495"/>
        <v>28.72780952380953</v>
      </c>
      <c r="W257" s="25">
        <v>72</v>
      </c>
      <c r="X257" s="31">
        <f t="shared" si="509"/>
        <v>250.24</v>
      </c>
      <c r="Y257" s="25">
        <v>184</v>
      </c>
      <c r="Z257" s="25">
        <v>12</v>
      </c>
      <c r="AA257" s="25">
        <v>97</v>
      </c>
      <c r="AB257" s="37">
        <v>1</v>
      </c>
      <c r="AC257" s="30">
        <f t="shared" si="482"/>
        <v>200</v>
      </c>
      <c r="AD257" s="31">
        <f t="shared" si="510"/>
        <v>3</v>
      </c>
      <c r="AE257" s="31">
        <f t="shared" si="511"/>
        <v>8</v>
      </c>
      <c r="AF257" s="31" t="str">
        <f t="shared" si="512"/>
        <v/>
      </c>
      <c r="AG257" s="31" t="str">
        <f t="shared" si="513"/>
        <v/>
      </c>
      <c r="AH257" s="31" t="str">
        <f t="shared" si="514"/>
        <v/>
      </c>
      <c r="AI257" s="31" t="str">
        <f t="shared" si="515"/>
        <v/>
      </c>
      <c r="AJ257" s="25">
        <v>11</v>
      </c>
      <c r="AK257" s="25">
        <v>0</v>
      </c>
      <c r="AL257" s="25">
        <v>0</v>
      </c>
      <c r="AM257" s="23" t="s">
        <v>207</v>
      </c>
      <c r="AN257" s="23" t="s">
        <v>92</v>
      </c>
      <c r="AO257" s="25">
        <v>415</v>
      </c>
      <c r="AR257" s="32" t="str">
        <f t="shared" si="516"/>
        <v>3 doors</v>
      </c>
      <c r="AT257" s="23" t="s">
        <v>32</v>
      </c>
      <c r="AU257" s="23" t="str">
        <f t="shared" si="107"/>
        <v>Hungary</v>
      </c>
      <c r="AV257" s="34">
        <f t="shared" si="517"/>
        <v>5120.01</v>
      </c>
      <c r="AW257" s="23">
        <v>51</v>
      </c>
      <c r="AX257" s="23">
        <v>20</v>
      </c>
      <c r="AY257" s="23">
        <v>1</v>
      </c>
    </row>
    <row r="258" spans="1:51">
      <c r="A258" s="25">
        <v>415</v>
      </c>
      <c r="B258" s="23" t="s">
        <v>125</v>
      </c>
      <c r="D258" s="23">
        <v>2</v>
      </c>
      <c r="E258" s="25" t="s">
        <v>30</v>
      </c>
      <c r="F258" s="25" t="s">
        <v>302</v>
      </c>
      <c r="G258" s="23" t="s">
        <v>27</v>
      </c>
      <c r="H258" s="23" t="s">
        <v>180</v>
      </c>
      <c r="I258" s="25">
        <v>1992</v>
      </c>
      <c r="J258" s="35">
        <v>30</v>
      </c>
      <c r="K258" s="35">
        <v>40</v>
      </c>
      <c r="L258" s="35">
        <v>20</v>
      </c>
      <c r="M258" s="25">
        <v>10</v>
      </c>
      <c r="N258" s="25">
        <v>10</v>
      </c>
      <c r="R258" s="30">
        <f t="shared" si="508"/>
        <v>20</v>
      </c>
      <c r="S258" s="37">
        <v>1</v>
      </c>
      <c r="T258" s="30">
        <f t="shared" si="496"/>
        <v>19.940571428571428</v>
      </c>
      <c r="U258" s="37">
        <v>1</v>
      </c>
      <c r="V258" s="30">
        <f t="shared" si="495"/>
        <v>28.172571428571427</v>
      </c>
      <c r="W258" s="25">
        <v>92</v>
      </c>
      <c r="X258" s="31">
        <f t="shared" si="509"/>
        <v>250.24</v>
      </c>
      <c r="Y258" s="25">
        <v>184</v>
      </c>
      <c r="Z258" s="25">
        <v>12</v>
      </c>
      <c r="AA258" s="25">
        <v>78</v>
      </c>
      <c r="AB258" s="37">
        <v>1</v>
      </c>
      <c r="AC258" s="30">
        <f t="shared" si="482"/>
        <v>200</v>
      </c>
      <c r="AD258" s="31">
        <f t="shared" si="510"/>
        <v>3</v>
      </c>
      <c r="AE258" s="31">
        <f t="shared" si="511"/>
        <v>8</v>
      </c>
      <c r="AF258" s="31" t="str">
        <f t="shared" si="512"/>
        <v/>
      </c>
      <c r="AG258" s="31" t="str">
        <f t="shared" si="513"/>
        <v/>
      </c>
      <c r="AH258" s="31" t="str">
        <f t="shared" si="514"/>
        <v/>
      </c>
      <c r="AI258" s="31" t="str">
        <f t="shared" si="515"/>
        <v/>
      </c>
      <c r="AJ258" s="25">
        <v>11</v>
      </c>
      <c r="AK258" s="25">
        <v>0</v>
      </c>
      <c r="AL258" s="25">
        <v>0</v>
      </c>
      <c r="AM258" s="23" t="s">
        <v>207</v>
      </c>
      <c r="AN258" s="23" t="s">
        <v>92</v>
      </c>
      <c r="AO258" s="25">
        <v>415</v>
      </c>
      <c r="AR258" s="32" t="str">
        <f t="shared" si="516"/>
        <v>2 doors</v>
      </c>
      <c r="AT258" s="23" t="s">
        <v>270</v>
      </c>
      <c r="AU258" s="23" t="str">
        <f t="shared" si="107"/>
        <v>CC</v>
      </c>
      <c r="AV258" s="34">
        <f t="shared" si="517"/>
        <v>5140</v>
      </c>
      <c r="AW258" s="23">
        <v>51</v>
      </c>
      <c r="AX258" s="23">
        <v>40</v>
      </c>
      <c r="AY258" s="23">
        <v>0</v>
      </c>
    </row>
    <row r="259" spans="1:51">
      <c r="A259" s="25">
        <v>415</v>
      </c>
      <c r="B259" s="23" t="s">
        <v>125</v>
      </c>
      <c r="D259" s="23">
        <v>2</v>
      </c>
      <c r="E259" s="25" t="s">
        <v>46</v>
      </c>
      <c r="F259" s="25" t="s">
        <v>46</v>
      </c>
      <c r="G259" s="23" t="s">
        <v>27</v>
      </c>
      <c r="H259" s="23" t="s">
        <v>180</v>
      </c>
      <c r="I259" s="25">
        <v>1992</v>
      </c>
      <c r="J259" s="35">
        <v>30</v>
      </c>
      <c r="K259" s="35">
        <v>40</v>
      </c>
      <c r="L259" s="35">
        <v>20</v>
      </c>
      <c r="M259" s="25">
        <v>10</v>
      </c>
      <c r="N259" s="25">
        <v>10</v>
      </c>
      <c r="R259" s="30">
        <f t="shared" si="508"/>
        <v>20</v>
      </c>
      <c r="S259" s="37">
        <v>1</v>
      </c>
      <c r="T259" s="30">
        <f t="shared" si="496"/>
        <v>19.940571428571428</v>
      </c>
      <c r="U259" s="37">
        <v>1</v>
      </c>
      <c r="V259" s="30">
        <f t="shared" si="495"/>
        <v>28.172571428571427</v>
      </c>
      <c r="W259" s="25">
        <v>92</v>
      </c>
      <c r="X259" s="31">
        <f t="shared" si="509"/>
        <v>250.24</v>
      </c>
      <c r="Y259" s="25">
        <v>184</v>
      </c>
      <c r="Z259" s="25">
        <v>12</v>
      </c>
      <c r="AA259" s="25">
        <v>78</v>
      </c>
      <c r="AB259" s="37">
        <v>1</v>
      </c>
      <c r="AC259" s="30">
        <f t="shared" si="482"/>
        <v>200</v>
      </c>
      <c r="AD259" s="31">
        <f t="shared" si="510"/>
        <v>3</v>
      </c>
      <c r="AE259" s="31">
        <f t="shared" si="511"/>
        <v>8</v>
      </c>
      <c r="AF259" s="31" t="str">
        <f t="shared" si="512"/>
        <v/>
      </c>
      <c r="AG259" s="31" t="str">
        <f t="shared" si="513"/>
        <v/>
      </c>
      <c r="AH259" s="31" t="str">
        <f t="shared" si="514"/>
        <v/>
      </c>
      <c r="AI259" s="31" t="str">
        <f t="shared" si="515"/>
        <v/>
      </c>
      <c r="AJ259" s="25">
        <v>11</v>
      </c>
      <c r="AK259" s="25">
        <v>0</v>
      </c>
      <c r="AL259" s="25">
        <v>0</v>
      </c>
      <c r="AM259" s="23" t="s">
        <v>207</v>
      </c>
      <c r="AN259" s="23" t="s">
        <v>92</v>
      </c>
      <c r="AO259" s="25">
        <v>415</v>
      </c>
      <c r="AR259" s="32" t="str">
        <f t="shared" si="516"/>
        <v>2 doors</v>
      </c>
      <c r="AT259" s="23" t="s">
        <v>270</v>
      </c>
      <c r="AU259" s="23" t="str">
        <f t="shared" si="107"/>
        <v>Hungary</v>
      </c>
      <c r="AV259" s="34">
        <f t="shared" si="517"/>
        <v>5140.01</v>
      </c>
      <c r="AW259" s="23">
        <v>51</v>
      </c>
      <c r="AX259" s="23">
        <v>40</v>
      </c>
      <c r="AY259" s="23">
        <v>1</v>
      </c>
    </row>
    <row r="260" spans="1:51">
      <c r="A260" s="25">
        <v>415</v>
      </c>
      <c r="B260" s="23" t="s">
        <v>89</v>
      </c>
      <c r="C260" s="23" t="s">
        <v>129</v>
      </c>
      <c r="D260" s="23">
        <v>3</v>
      </c>
      <c r="E260" s="25" t="s">
        <v>30</v>
      </c>
      <c r="F260" s="25" t="s">
        <v>297</v>
      </c>
      <c r="G260" s="23" t="s">
        <v>27</v>
      </c>
      <c r="H260" s="23" t="s">
        <v>181</v>
      </c>
      <c r="I260" s="25">
        <v>1999</v>
      </c>
      <c r="J260" s="35">
        <v>30</v>
      </c>
      <c r="K260" s="35">
        <v>40</v>
      </c>
      <c r="L260" s="35">
        <v>20</v>
      </c>
      <c r="M260" s="25">
        <v>10</v>
      </c>
      <c r="N260" s="25">
        <v>10</v>
      </c>
      <c r="O260" s="25">
        <v>6</v>
      </c>
      <c r="R260" s="30">
        <f t="shared" si="508"/>
        <v>26</v>
      </c>
      <c r="S260" s="37">
        <v>1</v>
      </c>
      <c r="T260" s="30">
        <f t="shared" si="496"/>
        <v>21.797142857142859</v>
      </c>
      <c r="U260" s="37">
        <v>1</v>
      </c>
      <c r="V260" s="30">
        <f t="shared" si="495"/>
        <v>31.610476190476195</v>
      </c>
      <c r="W260" s="25">
        <v>81</v>
      </c>
      <c r="X260" s="31">
        <f t="shared" si="509"/>
        <v>278.8</v>
      </c>
      <c r="Y260" s="25">
        <v>205</v>
      </c>
      <c r="Z260" s="25">
        <v>12</v>
      </c>
      <c r="AA260" s="25">
        <v>101</v>
      </c>
      <c r="AB260" s="37">
        <v>1</v>
      </c>
      <c r="AC260" s="30">
        <f t="shared" si="482"/>
        <v>200</v>
      </c>
      <c r="AD260" s="31">
        <f t="shared" si="510"/>
        <v>3</v>
      </c>
      <c r="AE260" s="31">
        <f t="shared" si="511"/>
        <v>8</v>
      </c>
      <c r="AF260" s="31" t="str">
        <f t="shared" si="512"/>
        <v/>
      </c>
      <c r="AG260" s="31" t="str">
        <f t="shared" si="513"/>
        <v/>
      </c>
      <c r="AH260" s="31" t="str">
        <f t="shared" si="514"/>
        <v/>
      </c>
      <c r="AI260" s="31" t="str">
        <f t="shared" si="515"/>
        <v/>
      </c>
      <c r="AJ260" s="25">
        <v>11</v>
      </c>
      <c r="AK260" s="25">
        <v>0</v>
      </c>
      <c r="AL260" s="25">
        <v>0</v>
      </c>
      <c r="AM260" s="23" t="s">
        <v>207</v>
      </c>
      <c r="AN260" s="23" t="s">
        <v>92</v>
      </c>
      <c r="AO260" s="25">
        <v>415</v>
      </c>
      <c r="AP260" s="28" t="s">
        <v>209</v>
      </c>
      <c r="AR260" s="32" t="str">
        <f t="shared" si="516"/>
        <v>3 doors</v>
      </c>
      <c r="AT260" s="23" t="s">
        <v>32</v>
      </c>
      <c r="AU260" s="23" t="str">
        <f t="shared" si="107"/>
        <v>CC</v>
      </c>
      <c r="AV260" s="34">
        <f t="shared" si="517"/>
        <v>5160</v>
      </c>
      <c r="AW260" s="23">
        <v>51</v>
      </c>
      <c r="AX260" s="23">
        <v>60</v>
      </c>
      <c r="AY260" s="23">
        <v>0</v>
      </c>
    </row>
    <row r="261" spans="1:51">
      <c r="A261" s="25">
        <v>415</v>
      </c>
      <c r="B261" s="23" t="s">
        <v>89</v>
      </c>
      <c r="C261" s="23" t="s">
        <v>129</v>
      </c>
      <c r="D261" s="23">
        <v>3</v>
      </c>
      <c r="E261" s="25" t="s">
        <v>212</v>
      </c>
      <c r="F261" s="25" t="s">
        <v>212</v>
      </c>
      <c r="G261" s="23" t="s">
        <v>27</v>
      </c>
      <c r="H261" s="23" t="s">
        <v>181</v>
      </c>
      <c r="I261" s="25">
        <v>1999</v>
      </c>
      <c r="J261" s="35">
        <v>30</v>
      </c>
      <c r="K261" s="35">
        <v>40</v>
      </c>
      <c r="L261" s="35">
        <v>20</v>
      </c>
      <c r="M261" s="25">
        <v>10</v>
      </c>
      <c r="N261" s="25">
        <v>10</v>
      </c>
      <c r="O261" s="25">
        <v>6</v>
      </c>
      <c r="R261" s="30">
        <f t="shared" si="508"/>
        <v>26</v>
      </c>
      <c r="S261" s="37">
        <v>1</v>
      </c>
      <c r="T261" s="30">
        <f t="shared" si="496"/>
        <v>21.797142857142859</v>
      </c>
      <c r="U261" s="37">
        <v>1</v>
      </c>
      <c r="V261" s="30">
        <f t="shared" si="495"/>
        <v>31.610476190476195</v>
      </c>
      <c r="W261" s="25">
        <v>81</v>
      </c>
      <c r="X261" s="31">
        <f t="shared" si="509"/>
        <v>278.8</v>
      </c>
      <c r="Y261" s="25">
        <v>205</v>
      </c>
      <c r="Z261" s="25">
        <v>12</v>
      </c>
      <c r="AA261" s="25">
        <v>101</v>
      </c>
      <c r="AB261" s="37">
        <v>1</v>
      </c>
      <c r="AC261" s="30">
        <f t="shared" si="482"/>
        <v>200</v>
      </c>
      <c r="AD261" s="31">
        <f t="shared" si="510"/>
        <v>3</v>
      </c>
      <c r="AE261" s="31">
        <f t="shared" si="511"/>
        <v>8</v>
      </c>
      <c r="AF261" s="31" t="str">
        <f t="shared" si="512"/>
        <v/>
      </c>
      <c r="AG261" s="31" t="str">
        <f t="shared" si="513"/>
        <v/>
      </c>
      <c r="AH261" s="31" t="str">
        <f t="shared" si="514"/>
        <v/>
      </c>
      <c r="AI261" s="31" t="str">
        <f t="shared" si="515"/>
        <v/>
      </c>
      <c r="AJ261" s="25">
        <v>11</v>
      </c>
      <c r="AK261" s="25">
        <v>0</v>
      </c>
      <c r="AL261" s="25">
        <v>0</v>
      </c>
      <c r="AM261" s="23" t="s">
        <v>207</v>
      </c>
      <c r="AN261" s="23" t="s">
        <v>92</v>
      </c>
      <c r="AO261" s="25">
        <v>415</v>
      </c>
      <c r="AP261" s="28" t="s">
        <v>209</v>
      </c>
      <c r="AR261" s="32" t="str">
        <f t="shared" si="516"/>
        <v>3 doors</v>
      </c>
      <c r="AT261" s="23" t="s">
        <v>32</v>
      </c>
      <c r="AU261" s="23" t="str">
        <f t="shared" si="107"/>
        <v>Hungary</v>
      </c>
      <c r="AV261" s="34">
        <f t="shared" si="517"/>
        <v>5160.01</v>
      </c>
      <c r="AW261" s="23">
        <v>51</v>
      </c>
      <c r="AX261" s="23">
        <v>60</v>
      </c>
      <c r="AY261" s="23">
        <v>1</v>
      </c>
    </row>
    <row r="262" spans="1:51">
      <c r="A262" s="25">
        <v>435</v>
      </c>
      <c r="B262" s="23" t="s">
        <v>89</v>
      </c>
      <c r="C262" s="23" t="s">
        <v>128</v>
      </c>
      <c r="D262" s="23">
        <v>4</v>
      </c>
      <c r="E262" s="25" t="s">
        <v>30</v>
      </c>
      <c r="F262" s="25" t="s">
        <v>295</v>
      </c>
      <c r="G262" s="23" t="s">
        <v>27</v>
      </c>
      <c r="H262" s="23" t="s">
        <v>185</v>
      </c>
      <c r="I262" s="25">
        <v>1985</v>
      </c>
      <c r="J262" s="35">
        <v>30</v>
      </c>
      <c r="K262" s="35">
        <v>40</v>
      </c>
      <c r="L262" s="35">
        <v>20</v>
      </c>
      <c r="M262" s="25">
        <v>10</v>
      </c>
      <c r="N262" s="25">
        <v>10</v>
      </c>
      <c r="O262" s="25">
        <v>10</v>
      </c>
      <c r="P262" s="25">
        <v>8</v>
      </c>
      <c r="R262" s="30">
        <f t="shared" si="508"/>
        <v>38</v>
      </c>
      <c r="S262" s="37">
        <v>1.2</v>
      </c>
      <c r="T262" s="30">
        <f t="shared" si="496"/>
        <v>27.271542857142858</v>
      </c>
      <c r="U262" s="37">
        <v>1.1000000000000001</v>
      </c>
      <c r="V262" s="30">
        <f t="shared" si="495"/>
        <v>33.46011428571429</v>
      </c>
      <c r="W262" s="25">
        <v>71</v>
      </c>
      <c r="X262" s="31">
        <f t="shared" si="509"/>
        <v>250.24</v>
      </c>
      <c r="Y262" s="25">
        <v>184</v>
      </c>
      <c r="Z262" s="25">
        <v>15</v>
      </c>
      <c r="AA262" s="25">
        <v>177</v>
      </c>
      <c r="AB262" s="37">
        <v>0.8</v>
      </c>
      <c r="AC262" s="30">
        <f t="shared" si="482"/>
        <v>160</v>
      </c>
      <c r="AD262" s="31">
        <f t="shared" si="510"/>
        <v>2</v>
      </c>
      <c r="AE262" s="31">
        <f t="shared" si="511"/>
        <v>8</v>
      </c>
      <c r="AF262" s="31">
        <f t="shared" si="512"/>
        <v>7</v>
      </c>
      <c r="AG262" s="31" t="str">
        <f t="shared" si="513"/>
        <v/>
      </c>
      <c r="AH262" s="31" t="str">
        <f t="shared" si="514"/>
        <v/>
      </c>
      <c r="AI262" s="31" t="str">
        <f t="shared" si="515"/>
        <v/>
      </c>
      <c r="AJ262" s="25">
        <v>10</v>
      </c>
      <c r="AK262" s="25">
        <v>7</v>
      </c>
      <c r="AL262" s="25">
        <v>0</v>
      </c>
      <c r="AM262" s="23" t="s">
        <v>207</v>
      </c>
      <c r="AN262" s="23" t="s">
        <v>92</v>
      </c>
      <c r="AO262" s="25">
        <v>435</v>
      </c>
      <c r="AP262" s="28" t="s">
        <v>210</v>
      </c>
      <c r="AR262" s="32" t="str">
        <f t="shared" si="516"/>
        <v>4 doors</v>
      </c>
      <c r="AT262" s="23" t="s">
        <v>32</v>
      </c>
      <c r="AU262" s="23" t="str">
        <f t="shared" si="107"/>
        <v>CC</v>
      </c>
      <c r="AV262" s="34">
        <f t="shared" si="517"/>
        <v>5200</v>
      </c>
      <c r="AW262" s="23">
        <v>52</v>
      </c>
      <c r="AX262" s="23">
        <v>0</v>
      </c>
      <c r="AY262" s="23">
        <v>0</v>
      </c>
    </row>
    <row r="263" spans="1:51">
      <c r="A263" s="25">
        <v>435</v>
      </c>
      <c r="B263" s="23" t="s">
        <v>89</v>
      </c>
      <c r="D263" s="23">
        <v>4</v>
      </c>
      <c r="E263" s="25" t="s">
        <v>30</v>
      </c>
      <c r="F263" s="25" t="s">
        <v>295</v>
      </c>
      <c r="G263" s="23" t="s">
        <v>27</v>
      </c>
      <c r="H263" s="23" t="s">
        <v>186</v>
      </c>
      <c r="I263" s="25">
        <v>1994</v>
      </c>
      <c r="J263" s="35">
        <v>30</v>
      </c>
      <c r="K263" s="35">
        <v>40</v>
      </c>
      <c r="L263" s="35">
        <v>20</v>
      </c>
      <c r="M263" s="25">
        <v>10</v>
      </c>
      <c r="N263" s="25">
        <v>10</v>
      </c>
      <c r="O263" s="25">
        <v>10</v>
      </c>
      <c r="P263" s="25">
        <v>6</v>
      </c>
      <c r="R263" s="30">
        <f t="shared" si="508"/>
        <v>36</v>
      </c>
      <c r="S263" s="37">
        <v>1</v>
      </c>
      <c r="T263" s="30">
        <f t="shared" si="496"/>
        <v>22.991428571428575</v>
      </c>
      <c r="U263" s="37">
        <v>1</v>
      </c>
      <c r="V263" s="30">
        <f t="shared" si="495"/>
        <v>31.044761904761909</v>
      </c>
      <c r="W263" s="25">
        <v>72</v>
      </c>
      <c r="X263" s="31">
        <f t="shared" si="509"/>
        <v>258.40000000000003</v>
      </c>
      <c r="Y263" s="25">
        <v>190</v>
      </c>
      <c r="Z263" s="25">
        <v>15</v>
      </c>
      <c r="AA263" s="25">
        <v>170</v>
      </c>
      <c r="AB263" s="37">
        <v>1</v>
      </c>
      <c r="AC263" s="30">
        <f t="shared" si="482"/>
        <v>200</v>
      </c>
      <c r="AD263" s="31">
        <f t="shared" si="510"/>
        <v>2</v>
      </c>
      <c r="AE263" s="31">
        <f t="shared" si="511"/>
        <v>8</v>
      </c>
      <c r="AF263" s="31">
        <f t="shared" si="512"/>
        <v>7</v>
      </c>
      <c r="AG263" s="31" t="str">
        <f t="shared" si="513"/>
        <v/>
      </c>
      <c r="AH263" s="31" t="str">
        <f t="shared" si="514"/>
        <v/>
      </c>
      <c r="AI263" s="31" t="str">
        <f t="shared" si="515"/>
        <v/>
      </c>
      <c r="AJ263" s="25">
        <v>10</v>
      </c>
      <c r="AK263" s="25">
        <v>7</v>
      </c>
      <c r="AL263" s="25">
        <v>0</v>
      </c>
      <c r="AM263" s="23" t="s">
        <v>207</v>
      </c>
      <c r="AN263" s="23" t="s">
        <v>92</v>
      </c>
      <c r="AO263" s="25">
        <v>435</v>
      </c>
      <c r="AR263" s="32" t="str">
        <f t="shared" si="516"/>
        <v>4 doors</v>
      </c>
      <c r="AT263" s="23" t="s">
        <v>32</v>
      </c>
      <c r="AU263" s="23" t="str">
        <f t="shared" si="107"/>
        <v>CC</v>
      </c>
      <c r="AV263" s="34">
        <f t="shared" si="517"/>
        <v>5220</v>
      </c>
      <c r="AW263" s="23">
        <v>52</v>
      </c>
      <c r="AX263" s="23">
        <v>20</v>
      </c>
      <c r="AY263" s="23">
        <v>0</v>
      </c>
    </row>
    <row r="264" spans="1:51">
      <c r="A264" s="25">
        <v>435</v>
      </c>
      <c r="B264" s="23" t="s">
        <v>89</v>
      </c>
      <c r="D264" s="23">
        <v>4</v>
      </c>
      <c r="E264" s="25" t="s">
        <v>85</v>
      </c>
      <c r="F264" s="25" t="s">
        <v>85</v>
      </c>
      <c r="G264" s="23" t="s">
        <v>27</v>
      </c>
      <c r="H264" s="23" t="s">
        <v>186</v>
      </c>
      <c r="I264" s="25">
        <v>1994</v>
      </c>
      <c r="J264" s="35">
        <v>30</v>
      </c>
      <c r="K264" s="35">
        <v>40</v>
      </c>
      <c r="L264" s="35">
        <v>20</v>
      </c>
      <c r="M264" s="25">
        <v>10</v>
      </c>
      <c r="N264" s="25">
        <v>10</v>
      </c>
      <c r="O264" s="25">
        <v>10</v>
      </c>
      <c r="P264" s="25">
        <v>6</v>
      </c>
      <c r="R264" s="30">
        <f t="shared" si="508"/>
        <v>36</v>
      </c>
      <c r="S264" s="37">
        <v>1</v>
      </c>
      <c r="T264" s="30">
        <f t="shared" si="496"/>
        <v>22.991428571428575</v>
      </c>
      <c r="U264" s="37">
        <v>1</v>
      </c>
      <c r="V264" s="30">
        <f t="shared" si="495"/>
        <v>31.044761904761909</v>
      </c>
      <c r="W264" s="25">
        <v>72</v>
      </c>
      <c r="X264" s="31">
        <f t="shared" si="509"/>
        <v>258.40000000000003</v>
      </c>
      <c r="Y264" s="25">
        <v>190</v>
      </c>
      <c r="Z264" s="25">
        <v>15</v>
      </c>
      <c r="AA264" s="25">
        <v>170</v>
      </c>
      <c r="AB264" s="37">
        <v>1</v>
      </c>
      <c r="AC264" s="30">
        <f t="shared" si="482"/>
        <v>200</v>
      </c>
      <c r="AD264" s="31">
        <f t="shared" si="510"/>
        <v>2</v>
      </c>
      <c r="AE264" s="31">
        <f t="shared" si="511"/>
        <v>8</v>
      </c>
      <c r="AF264" s="31">
        <f t="shared" si="512"/>
        <v>7</v>
      </c>
      <c r="AG264" s="31" t="str">
        <f t="shared" si="513"/>
        <v/>
      </c>
      <c r="AH264" s="31" t="str">
        <f t="shared" si="514"/>
        <v/>
      </c>
      <c r="AI264" s="31" t="str">
        <f t="shared" si="515"/>
        <v/>
      </c>
      <c r="AJ264" s="25">
        <v>10</v>
      </c>
      <c r="AK264" s="25">
        <v>7</v>
      </c>
      <c r="AL264" s="25">
        <v>0</v>
      </c>
      <c r="AM264" s="23" t="s">
        <v>207</v>
      </c>
      <c r="AN264" s="23" t="s">
        <v>92</v>
      </c>
      <c r="AO264" s="25">
        <v>435</v>
      </c>
      <c r="AR264" s="32" t="str">
        <f t="shared" si="516"/>
        <v>4 doors</v>
      </c>
      <c r="AT264" s="23" t="s">
        <v>32</v>
      </c>
      <c r="AU264" s="23" t="str">
        <f t="shared" si="107"/>
        <v>Hungary</v>
      </c>
      <c r="AV264" s="34">
        <f t="shared" si="517"/>
        <v>5220.01</v>
      </c>
      <c r="AW264" s="23">
        <v>52</v>
      </c>
      <c r="AX264" s="23">
        <v>20</v>
      </c>
      <c r="AY264" s="23">
        <v>1</v>
      </c>
    </row>
    <row r="265" spans="1:51">
      <c r="A265" s="25">
        <v>435</v>
      </c>
      <c r="B265" s="23" t="s">
        <v>125</v>
      </c>
      <c r="D265" s="23">
        <v>3</v>
      </c>
      <c r="E265" s="25" t="s">
        <v>30</v>
      </c>
      <c r="F265" s="25" t="s">
        <v>302</v>
      </c>
      <c r="G265" s="23" t="s">
        <v>27</v>
      </c>
      <c r="H265" s="23" t="s">
        <v>187</v>
      </c>
      <c r="I265" s="25">
        <v>1995</v>
      </c>
      <c r="J265" s="35">
        <v>30</v>
      </c>
      <c r="K265" s="35">
        <v>40</v>
      </c>
      <c r="L265" s="35">
        <v>20</v>
      </c>
      <c r="M265" s="25">
        <v>10</v>
      </c>
      <c r="N265" s="25">
        <v>10</v>
      </c>
      <c r="O265" s="25">
        <v>10</v>
      </c>
      <c r="R265" s="30">
        <f t="shared" si="508"/>
        <v>30</v>
      </c>
      <c r="S265" s="37">
        <v>1</v>
      </c>
      <c r="T265" s="30">
        <f t="shared" si="496"/>
        <v>22.562857142857144</v>
      </c>
      <c r="U265" s="37">
        <v>1</v>
      </c>
      <c r="V265" s="30">
        <f t="shared" si="495"/>
        <v>30.382857142857144</v>
      </c>
      <c r="W265" s="25">
        <v>90</v>
      </c>
      <c r="X265" s="31">
        <f t="shared" si="509"/>
        <v>258.40000000000003</v>
      </c>
      <c r="Y265" s="25">
        <v>190</v>
      </c>
      <c r="Z265" s="25">
        <v>15</v>
      </c>
      <c r="AA265" s="25">
        <v>135</v>
      </c>
      <c r="AB265" s="37">
        <v>1</v>
      </c>
      <c r="AC265" s="30">
        <f t="shared" si="482"/>
        <v>200</v>
      </c>
      <c r="AD265" s="31">
        <f t="shared" si="510"/>
        <v>2</v>
      </c>
      <c r="AE265" s="31">
        <f t="shared" si="511"/>
        <v>8</v>
      </c>
      <c r="AF265" s="31">
        <f t="shared" si="512"/>
        <v>7</v>
      </c>
      <c r="AG265" s="31" t="str">
        <f t="shared" si="513"/>
        <v/>
      </c>
      <c r="AH265" s="31" t="str">
        <f t="shared" si="514"/>
        <v/>
      </c>
      <c r="AI265" s="31" t="str">
        <f t="shared" si="515"/>
        <v/>
      </c>
      <c r="AJ265" s="25">
        <v>10</v>
      </c>
      <c r="AK265" s="25">
        <v>7</v>
      </c>
      <c r="AL265" s="25">
        <v>0</v>
      </c>
      <c r="AM265" s="23" t="s">
        <v>207</v>
      </c>
      <c r="AN265" s="23" t="s">
        <v>92</v>
      </c>
      <c r="AO265" s="25">
        <v>435</v>
      </c>
      <c r="AR265" s="32" t="str">
        <f t="shared" si="516"/>
        <v>3 doors</v>
      </c>
      <c r="AT265" s="23" t="s">
        <v>270</v>
      </c>
      <c r="AU265" s="23" t="str">
        <f t="shared" si="107"/>
        <v>CC</v>
      </c>
      <c r="AV265" s="34">
        <f t="shared" si="517"/>
        <v>5240</v>
      </c>
      <c r="AW265" s="23">
        <v>52</v>
      </c>
      <c r="AX265" s="23">
        <v>40</v>
      </c>
      <c r="AY265" s="23">
        <v>0</v>
      </c>
    </row>
    <row r="266" spans="1:51">
      <c r="A266" s="25">
        <v>435</v>
      </c>
      <c r="B266" s="23" t="s">
        <v>125</v>
      </c>
      <c r="D266" s="23">
        <v>3</v>
      </c>
      <c r="E266" s="25" t="s">
        <v>46</v>
      </c>
      <c r="F266" s="25" t="s">
        <v>46</v>
      </c>
      <c r="G266" s="23" t="s">
        <v>27</v>
      </c>
      <c r="H266" s="23" t="s">
        <v>187</v>
      </c>
      <c r="I266" s="25">
        <v>1992</v>
      </c>
      <c r="J266" s="35">
        <v>30</v>
      </c>
      <c r="K266" s="35">
        <v>40</v>
      </c>
      <c r="L266" s="35">
        <v>20</v>
      </c>
      <c r="M266" s="25">
        <v>10</v>
      </c>
      <c r="N266" s="25">
        <v>10</v>
      </c>
      <c r="O266" s="25">
        <v>10</v>
      </c>
      <c r="R266" s="30">
        <f t="shared" si="508"/>
        <v>30</v>
      </c>
      <c r="S266" s="37">
        <v>1</v>
      </c>
      <c r="T266" s="30">
        <f t="shared" si="496"/>
        <v>22.562857142857144</v>
      </c>
      <c r="U266" s="37">
        <v>1</v>
      </c>
      <c r="V266" s="30">
        <f t="shared" si="495"/>
        <v>30.382857142857144</v>
      </c>
      <c r="W266" s="25">
        <v>90</v>
      </c>
      <c r="X266" s="31">
        <f t="shared" si="509"/>
        <v>258.40000000000003</v>
      </c>
      <c r="Y266" s="25">
        <v>190</v>
      </c>
      <c r="Z266" s="25">
        <v>15</v>
      </c>
      <c r="AA266" s="25">
        <v>135</v>
      </c>
      <c r="AB266" s="37">
        <v>1</v>
      </c>
      <c r="AC266" s="30">
        <f t="shared" si="482"/>
        <v>200</v>
      </c>
      <c r="AD266" s="31">
        <f t="shared" si="510"/>
        <v>2</v>
      </c>
      <c r="AE266" s="31">
        <f t="shared" si="511"/>
        <v>8</v>
      </c>
      <c r="AF266" s="31">
        <f t="shared" si="512"/>
        <v>7</v>
      </c>
      <c r="AG266" s="31" t="str">
        <f t="shared" si="513"/>
        <v/>
      </c>
      <c r="AH266" s="31" t="str">
        <f t="shared" si="514"/>
        <v/>
      </c>
      <c r="AI266" s="31" t="str">
        <f t="shared" si="515"/>
        <v/>
      </c>
      <c r="AJ266" s="25">
        <v>10</v>
      </c>
      <c r="AK266" s="25">
        <v>7</v>
      </c>
      <c r="AL266" s="25">
        <v>0</v>
      </c>
      <c r="AM266" s="23" t="s">
        <v>207</v>
      </c>
      <c r="AN266" s="23" t="s">
        <v>92</v>
      </c>
      <c r="AO266" s="25">
        <v>435</v>
      </c>
      <c r="AR266" s="32" t="str">
        <f t="shared" si="516"/>
        <v>3 doors</v>
      </c>
      <c r="AT266" s="23" t="s">
        <v>270</v>
      </c>
      <c r="AU266" s="23" t="str">
        <f t="shared" si="107"/>
        <v>Hungary</v>
      </c>
      <c r="AV266" s="34">
        <f t="shared" si="517"/>
        <v>5240.01</v>
      </c>
      <c r="AW266" s="23">
        <v>52</v>
      </c>
      <c r="AX266" s="23">
        <v>40</v>
      </c>
      <c r="AY266" s="23">
        <v>1</v>
      </c>
    </row>
    <row r="267" spans="1:51">
      <c r="A267" s="25">
        <v>435</v>
      </c>
      <c r="B267" s="23" t="s">
        <v>89</v>
      </c>
      <c r="C267" s="23" t="s">
        <v>129</v>
      </c>
      <c r="D267" s="23">
        <v>4</v>
      </c>
      <c r="E267" s="25" t="s">
        <v>30</v>
      </c>
      <c r="F267" s="25" t="s">
        <v>297</v>
      </c>
      <c r="G267" s="23" t="s">
        <v>27</v>
      </c>
      <c r="H267" s="23" t="s">
        <v>188</v>
      </c>
      <c r="I267" s="25">
        <v>1999</v>
      </c>
      <c r="J267" s="35">
        <v>30</v>
      </c>
      <c r="K267" s="35">
        <v>40</v>
      </c>
      <c r="L267" s="35">
        <v>20</v>
      </c>
      <c r="M267" s="25">
        <v>10</v>
      </c>
      <c r="N267" s="25">
        <v>10</v>
      </c>
      <c r="O267" s="25">
        <v>10</v>
      </c>
      <c r="P267" s="25">
        <v>6</v>
      </c>
      <c r="R267" s="30">
        <f t="shared" si="508"/>
        <v>36</v>
      </c>
      <c r="S267" s="37">
        <v>1</v>
      </c>
      <c r="T267" s="30">
        <f t="shared" si="496"/>
        <v>24.011428571428574</v>
      </c>
      <c r="U267" s="37">
        <v>1</v>
      </c>
      <c r="V267" s="30">
        <f t="shared" si="495"/>
        <v>33.084761904761905</v>
      </c>
      <c r="W267" s="25">
        <v>81</v>
      </c>
      <c r="X267" s="31">
        <f t="shared" si="509"/>
        <v>278.8</v>
      </c>
      <c r="Y267" s="25">
        <v>205</v>
      </c>
      <c r="Z267" s="25">
        <v>15</v>
      </c>
      <c r="AA267" s="25">
        <v>170</v>
      </c>
      <c r="AB267" s="37">
        <v>1</v>
      </c>
      <c r="AC267" s="30">
        <f t="shared" si="482"/>
        <v>200</v>
      </c>
      <c r="AD267" s="31">
        <f t="shared" si="510"/>
        <v>2</v>
      </c>
      <c r="AE267" s="31">
        <f t="shared" si="511"/>
        <v>8</v>
      </c>
      <c r="AF267" s="31">
        <f t="shared" si="512"/>
        <v>7</v>
      </c>
      <c r="AG267" s="31" t="str">
        <f t="shared" si="513"/>
        <v/>
      </c>
      <c r="AH267" s="31" t="str">
        <f t="shared" si="514"/>
        <v/>
      </c>
      <c r="AI267" s="31" t="str">
        <f t="shared" si="515"/>
        <v/>
      </c>
      <c r="AJ267" s="25">
        <v>10</v>
      </c>
      <c r="AK267" s="25">
        <v>7</v>
      </c>
      <c r="AL267" s="25">
        <v>0</v>
      </c>
      <c r="AM267" s="23" t="s">
        <v>207</v>
      </c>
      <c r="AN267" s="23" t="s">
        <v>92</v>
      </c>
      <c r="AO267" s="25">
        <v>435</v>
      </c>
      <c r="AP267" s="28" t="s">
        <v>209</v>
      </c>
      <c r="AR267" s="32" t="str">
        <f t="shared" si="516"/>
        <v>4 doors</v>
      </c>
      <c r="AT267" s="23" t="s">
        <v>32</v>
      </c>
      <c r="AU267" s="23" t="str">
        <f t="shared" ref="AU267:AU332" si="527">IF(ISNUMBER(SEARCH("CC", E267)), "CC", "Hungary")</f>
        <v>CC</v>
      </c>
      <c r="AV267" s="34">
        <f t="shared" si="517"/>
        <v>5260</v>
      </c>
      <c r="AW267" s="23">
        <v>52</v>
      </c>
      <c r="AX267" s="23">
        <v>60</v>
      </c>
      <c r="AY267" s="23">
        <v>0</v>
      </c>
    </row>
    <row r="268" spans="1:51">
      <c r="A268" s="25">
        <v>435</v>
      </c>
      <c r="B268" s="23" t="s">
        <v>89</v>
      </c>
      <c r="C268" s="23" t="s">
        <v>129</v>
      </c>
      <c r="D268" s="23">
        <v>4</v>
      </c>
      <c r="E268" s="25" t="s">
        <v>212</v>
      </c>
      <c r="F268" s="25" t="s">
        <v>212</v>
      </c>
      <c r="G268" s="23" t="s">
        <v>27</v>
      </c>
      <c r="H268" s="23" t="s">
        <v>188</v>
      </c>
      <c r="I268" s="25">
        <v>1999</v>
      </c>
      <c r="J268" s="35">
        <v>30</v>
      </c>
      <c r="K268" s="35">
        <v>40</v>
      </c>
      <c r="L268" s="35">
        <v>20</v>
      </c>
      <c r="M268" s="25">
        <v>10</v>
      </c>
      <c r="N268" s="25">
        <v>10</v>
      </c>
      <c r="O268" s="25">
        <v>10</v>
      </c>
      <c r="P268" s="25">
        <v>6</v>
      </c>
      <c r="R268" s="30">
        <f t="shared" si="508"/>
        <v>36</v>
      </c>
      <c r="S268" s="37">
        <v>1</v>
      </c>
      <c r="T268" s="30">
        <f t="shared" si="496"/>
        <v>24.011428571428574</v>
      </c>
      <c r="U268" s="37">
        <v>1</v>
      </c>
      <c r="V268" s="30">
        <f t="shared" si="495"/>
        <v>33.084761904761905</v>
      </c>
      <c r="W268" s="25">
        <v>81</v>
      </c>
      <c r="X268" s="31">
        <f t="shared" si="509"/>
        <v>278.8</v>
      </c>
      <c r="Y268" s="25">
        <v>205</v>
      </c>
      <c r="Z268" s="25">
        <v>15</v>
      </c>
      <c r="AA268" s="25">
        <v>170</v>
      </c>
      <c r="AB268" s="37">
        <v>1</v>
      </c>
      <c r="AC268" s="30">
        <f t="shared" si="482"/>
        <v>200</v>
      </c>
      <c r="AD268" s="31">
        <f t="shared" si="510"/>
        <v>2</v>
      </c>
      <c r="AE268" s="31">
        <f t="shared" si="511"/>
        <v>8</v>
      </c>
      <c r="AF268" s="31">
        <f t="shared" si="512"/>
        <v>7</v>
      </c>
      <c r="AG268" s="31" t="str">
        <f t="shared" si="513"/>
        <v/>
      </c>
      <c r="AH268" s="31" t="str">
        <f t="shared" si="514"/>
        <v/>
      </c>
      <c r="AI268" s="31" t="str">
        <f t="shared" si="515"/>
        <v/>
      </c>
      <c r="AJ268" s="25">
        <v>10</v>
      </c>
      <c r="AK268" s="25">
        <v>7</v>
      </c>
      <c r="AL268" s="25">
        <v>0</v>
      </c>
      <c r="AM268" s="23" t="s">
        <v>207</v>
      </c>
      <c r="AN268" s="23" t="s">
        <v>92</v>
      </c>
      <c r="AO268" s="25">
        <v>435</v>
      </c>
      <c r="AP268" s="28" t="s">
        <v>209</v>
      </c>
      <c r="AR268" s="32" t="str">
        <f t="shared" si="516"/>
        <v>4 doors</v>
      </c>
      <c r="AT268" s="23" t="s">
        <v>32</v>
      </c>
      <c r="AU268" s="23" t="str">
        <f t="shared" si="527"/>
        <v>Hungary</v>
      </c>
      <c r="AV268" s="34">
        <f t="shared" si="517"/>
        <v>5260.01</v>
      </c>
      <c r="AW268" s="23">
        <v>52</v>
      </c>
      <c r="AX268" s="23">
        <v>60</v>
      </c>
      <c r="AY268" s="23">
        <v>1</v>
      </c>
    </row>
    <row r="269" spans="1:51">
      <c r="A269" s="25">
        <v>411</v>
      </c>
      <c r="D269" s="23">
        <v>3</v>
      </c>
      <c r="E269" s="25" t="s">
        <v>30</v>
      </c>
      <c r="F269" s="25" t="s">
        <v>301</v>
      </c>
      <c r="G269" s="23" t="s">
        <v>27</v>
      </c>
      <c r="H269" s="23" t="s">
        <v>175</v>
      </c>
      <c r="I269" s="25">
        <v>1993</v>
      </c>
      <c r="J269" s="35">
        <v>30</v>
      </c>
      <c r="K269" s="35">
        <v>40</v>
      </c>
      <c r="L269" s="35">
        <v>20</v>
      </c>
      <c r="M269" s="25">
        <v>14</v>
      </c>
      <c r="N269" s="25">
        <v>14</v>
      </c>
      <c r="O269" s="25">
        <v>7</v>
      </c>
      <c r="R269" s="30">
        <f t="shared" si="508"/>
        <v>35</v>
      </c>
      <c r="S269" s="37">
        <v>1</v>
      </c>
      <c r="T269" s="30">
        <f t="shared" si="496"/>
        <v>19.672000000000001</v>
      </c>
      <c r="U269" s="37">
        <v>1</v>
      </c>
      <c r="V269" s="30">
        <f t="shared" si="495"/>
        <v>28.510666666666669</v>
      </c>
      <c r="W269" s="25">
        <v>80</v>
      </c>
      <c r="X269" s="31">
        <f t="shared" si="509"/>
        <v>243.44000000000003</v>
      </c>
      <c r="Y269" s="25">
        <v>179</v>
      </c>
      <c r="Z269" s="25">
        <v>10</v>
      </c>
      <c r="AA269" s="25">
        <v>100</v>
      </c>
      <c r="AB269" s="37">
        <v>1</v>
      </c>
      <c r="AC269" s="30">
        <f t="shared" si="482"/>
        <v>200</v>
      </c>
      <c r="AD269" s="31">
        <f t="shared" si="510"/>
        <v>2</v>
      </c>
      <c r="AE269" s="31">
        <f t="shared" si="511"/>
        <v>8</v>
      </c>
      <c r="AF269" s="31" t="str">
        <f t="shared" si="512"/>
        <v/>
      </c>
      <c r="AG269" s="31" t="str">
        <f t="shared" si="513"/>
        <v/>
      </c>
      <c r="AH269" s="31" t="str">
        <f t="shared" si="514"/>
        <v/>
      </c>
      <c r="AI269" s="31" t="str">
        <f t="shared" si="515"/>
        <v/>
      </c>
      <c r="AJ269" s="25">
        <v>10</v>
      </c>
      <c r="AK269" s="25">
        <v>0</v>
      </c>
      <c r="AL269" s="25">
        <v>0</v>
      </c>
      <c r="AM269" s="23" t="s">
        <v>207</v>
      </c>
      <c r="AN269" s="23" t="s">
        <v>92</v>
      </c>
      <c r="AO269" s="25">
        <v>411</v>
      </c>
      <c r="AR269" s="32" t="str">
        <f t="shared" si="516"/>
        <v>3 doors</v>
      </c>
      <c r="AT269" s="23" t="s">
        <v>32</v>
      </c>
      <c r="AU269" s="23" t="str">
        <f t="shared" si="527"/>
        <v>CC</v>
      </c>
      <c r="AV269" s="34">
        <f t="shared" si="517"/>
        <v>5300</v>
      </c>
      <c r="AW269" s="23">
        <v>53</v>
      </c>
      <c r="AX269" s="23">
        <v>0</v>
      </c>
      <c r="AY269" s="23">
        <v>0</v>
      </c>
    </row>
    <row r="270" spans="1:51">
      <c r="A270" s="25">
        <v>412</v>
      </c>
      <c r="B270" s="23" t="s">
        <v>89</v>
      </c>
      <c r="D270" s="23">
        <v>3</v>
      </c>
      <c r="E270" s="25" t="s">
        <v>30</v>
      </c>
      <c r="F270" s="25" t="s">
        <v>320</v>
      </c>
      <c r="G270" s="23" t="s">
        <v>27</v>
      </c>
      <c r="H270" s="23" t="s">
        <v>176</v>
      </c>
      <c r="I270" s="25">
        <v>1996</v>
      </c>
      <c r="J270" s="35">
        <v>30</v>
      </c>
      <c r="K270" s="35">
        <v>40</v>
      </c>
      <c r="L270" s="35">
        <v>20</v>
      </c>
      <c r="M270" s="25">
        <v>14</v>
      </c>
      <c r="N270" s="25">
        <v>14</v>
      </c>
      <c r="O270" s="25">
        <v>7</v>
      </c>
      <c r="R270" s="30">
        <f t="shared" si="508"/>
        <v>35</v>
      </c>
      <c r="S270" s="37">
        <v>1</v>
      </c>
      <c r="T270" s="30">
        <f t="shared" si="496"/>
        <v>18.880000000000003</v>
      </c>
      <c r="U270" s="37">
        <v>1</v>
      </c>
      <c r="V270" s="30">
        <f t="shared" si="495"/>
        <v>26.033333333333339</v>
      </c>
      <c r="W270" s="25">
        <v>72</v>
      </c>
      <c r="X270" s="31">
        <f t="shared" si="509"/>
        <v>217.60000000000002</v>
      </c>
      <c r="Y270" s="25">
        <v>160</v>
      </c>
      <c r="Z270" s="25">
        <v>11</v>
      </c>
      <c r="AA270" s="25">
        <v>101</v>
      </c>
      <c r="AB270" s="37">
        <v>1</v>
      </c>
      <c r="AC270" s="30">
        <f t="shared" si="482"/>
        <v>200</v>
      </c>
      <c r="AD270" s="31">
        <f t="shared" si="510"/>
        <v>3</v>
      </c>
      <c r="AE270" s="31">
        <f t="shared" si="511"/>
        <v>8</v>
      </c>
      <c r="AF270" s="31" t="str">
        <f t="shared" si="512"/>
        <v/>
      </c>
      <c r="AG270" s="31" t="str">
        <f t="shared" si="513"/>
        <v/>
      </c>
      <c r="AH270" s="31" t="str">
        <f t="shared" si="514"/>
        <v/>
      </c>
      <c r="AI270" s="31" t="str">
        <f t="shared" si="515"/>
        <v/>
      </c>
      <c r="AJ270" s="25">
        <v>11</v>
      </c>
      <c r="AK270" s="25">
        <v>0</v>
      </c>
      <c r="AL270" s="25">
        <v>0</v>
      </c>
      <c r="AM270" s="23" t="s">
        <v>207</v>
      </c>
      <c r="AN270" s="23" t="s">
        <v>92</v>
      </c>
      <c r="AO270" s="25">
        <v>412</v>
      </c>
      <c r="AR270" s="32" t="str">
        <f t="shared" si="516"/>
        <v>3 doors</v>
      </c>
      <c r="AT270" s="23" t="s">
        <v>32</v>
      </c>
      <c r="AU270" s="23" t="str">
        <f t="shared" si="527"/>
        <v>CC</v>
      </c>
      <c r="AV270" s="34">
        <f t="shared" si="517"/>
        <v>5320</v>
      </c>
      <c r="AW270" s="23">
        <v>53</v>
      </c>
      <c r="AX270" s="23">
        <v>20</v>
      </c>
      <c r="AY270" s="23">
        <v>0</v>
      </c>
    </row>
    <row r="271" spans="1:51">
      <c r="A271" s="25">
        <v>412</v>
      </c>
      <c r="B271" s="23" t="s">
        <v>89</v>
      </c>
      <c r="D271" s="23">
        <v>3</v>
      </c>
      <c r="E271" s="25" t="s">
        <v>42</v>
      </c>
      <c r="F271" s="25" t="s">
        <v>295</v>
      </c>
      <c r="G271" s="23" t="s">
        <v>27</v>
      </c>
      <c r="H271" s="23" t="s">
        <v>176</v>
      </c>
      <c r="I271" s="25">
        <v>2008</v>
      </c>
      <c r="J271" s="35">
        <v>30</v>
      </c>
      <c r="K271" s="35">
        <v>40</v>
      </c>
      <c r="L271" s="35">
        <v>20</v>
      </c>
      <c r="M271" s="25">
        <v>14</v>
      </c>
      <c r="N271" s="25">
        <v>14</v>
      </c>
      <c r="O271" s="25">
        <v>7</v>
      </c>
      <c r="R271" s="30">
        <f t="shared" si="508"/>
        <v>35</v>
      </c>
      <c r="S271" s="37">
        <v>1</v>
      </c>
      <c r="T271" s="30">
        <f t="shared" si="496"/>
        <v>18.880000000000003</v>
      </c>
      <c r="U271" s="37">
        <v>1</v>
      </c>
      <c r="V271" s="30">
        <f t="shared" si="495"/>
        <v>26.033333333333339</v>
      </c>
      <c r="W271" s="25">
        <v>72</v>
      </c>
      <c r="X271" s="31">
        <f t="shared" si="509"/>
        <v>217.60000000000002</v>
      </c>
      <c r="Y271" s="25">
        <v>160</v>
      </c>
      <c r="Z271" s="25">
        <v>11</v>
      </c>
      <c r="AA271" s="25">
        <v>101</v>
      </c>
      <c r="AB271" s="37">
        <v>1</v>
      </c>
      <c r="AC271" s="30">
        <f t="shared" si="482"/>
        <v>200</v>
      </c>
      <c r="AD271" s="31">
        <f t="shared" si="510"/>
        <v>3</v>
      </c>
      <c r="AE271" s="31">
        <f t="shared" si="511"/>
        <v>8</v>
      </c>
      <c r="AF271" s="31" t="str">
        <f t="shared" si="512"/>
        <v/>
      </c>
      <c r="AG271" s="31" t="str">
        <f t="shared" si="513"/>
        <v/>
      </c>
      <c r="AH271" s="31" t="str">
        <f t="shared" si="514"/>
        <v/>
      </c>
      <c r="AI271" s="31" t="str">
        <f t="shared" si="515"/>
        <v/>
      </c>
      <c r="AJ271" s="25">
        <v>11</v>
      </c>
      <c r="AK271" s="25">
        <v>0</v>
      </c>
      <c r="AL271" s="25">
        <v>0</v>
      </c>
      <c r="AM271" s="23" t="s">
        <v>207</v>
      </c>
      <c r="AN271" s="23" t="s">
        <v>92</v>
      </c>
      <c r="AO271" s="25">
        <v>412</v>
      </c>
      <c r="AR271" s="32" t="str">
        <f t="shared" si="516"/>
        <v>3 doors</v>
      </c>
      <c r="AT271" s="23" t="s">
        <v>32</v>
      </c>
      <c r="AU271" s="23" t="str">
        <f t="shared" si="527"/>
        <v>CC</v>
      </c>
      <c r="AV271" s="34">
        <f t="shared" si="517"/>
        <v>5320.01</v>
      </c>
      <c r="AW271" s="23">
        <v>53</v>
      </c>
      <c r="AX271" s="23">
        <v>20</v>
      </c>
      <c r="AY271" s="23">
        <v>1</v>
      </c>
    </row>
    <row r="272" spans="1:51">
      <c r="A272" s="25">
        <v>412</v>
      </c>
      <c r="B272" s="23" t="s">
        <v>89</v>
      </c>
      <c r="D272" s="23">
        <v>3</v>
      </c>
      <c r="E272" s="25" t="s">
        <v>43</v>
      </c>
      <c r="F272" s="25" t="s">
        <v>301</v>
      </c>
      <c r="G272" s="23" t="s">
        <v>27</v>
      </c>
      <c r="H272" s="23" t="s">
        <v>176</v>
      </c>
      <c r="I272" s="25">
        <v>2012</v>
      </c>
      <c r="J272" s="35">
        <v>30</v>
      </c>
      <c r="K272" s="35">
        <v>40</v>
      </c>
      <c r="L272" s="35">
        <v>20</v>
      </c>
      <c r="M272" s="25">
        <v>14</v>
      </c>
      <c r="N272" s="25">
        <v>14</v>
      </c>
      <c r="O272" s="25">
        <v>7</v>
      </c>
      <c r="R272" s="30">
        <f t="shared" si="508"/>
        <v>35</v>
      </c>
      <c r="S272" s="37">
        <v>1</v>
      </c>
      <c r="T272" s="30">
        <f t="shared" si="496"/>
        <v>18.880000000000003</v>
      </c>
      <c r="U272" s="37">
        <v>1</v>
      </c>
      <c r="V272" s="30">
        <f t="shared" si="495"/>
        <v>26.033333333333339</v>
      </c>
      <c r="W272" s="25">
        <v>72</v>
      </c>
      <c r="X272" s="31">
        <f t="shared" si="509"/>
        <v>217.60000000000002</v>
      </c>
      <c r="Y272" s="25">
        <v>160</v>
      </c>
      <c r="Z272" s="25">
        <v>11</v>
      </c>
      <c r="AA272" s="25">
        <v>101</v>
      </c>
      <c r="AB272" s="37">
        <v>1</v>
      </c>
      <c r="AC272" s="30">
        <f t="shared" si="482"/>
        <v>200</v>
      </c>
      <c r="AD272" s="31">
        <f t="shared" si="510"/>
        <v>3</v>
      </c>
      <c r="AE272" s="31">
        <f t="shared" si="511"/>
        <v>8</v>
      </c>
      <c r="AF272" s="31" t="str">
        <f t="shared" si="512"/>
        <v/>
      </c>
      <c r="AG272" s="31" t="str">
        <f t="shared" si="513"/>
        <v/>
      </c>
      <c r="AH272" s="31" t="str">
        <f t="shared" si="514"/>
        <v/>
      </c>
      <c r="AI272" s="31" t="str">
        <f t="shared" si="515"/>
        <v/>
      </c>
      <c r="AJ272" s="25">
        <v>11</v>
      </c>
      <c r="AK272" s="25">
        <v>0</v>
      </c>
      <c r="AL272" s="25">
        <v>0</v>
      </c>
      <c r="AM272" s="23" t="s">
        <v>207</v>
      </c>
      <c r="AN272" s="23" t="s">
        <v>92</v>
      </c>
      <c r="AO272" s="25">
        <v>412</v>
      </c>
      <c r="AR272" s="32" t="str">
        <f t="shared" si="516"/>
        <v>3 doors</v>
      </c>
      <c r="AT272" s="23" t="s">
        <v>32</v>
      </c>
      <c r="AU272" s="23" t="str">
        <f t="shared" si="527"/>
        <v>CC</v>
      </c>
      <c r="AV272" s="34">
        <f t="shared" si="517"/>
        <v>5320.02</v>
      </c>
      <c r="AW272" s="23">
        <v>53</v>
      </c>
      <c r="AX272" s="23">
        <v>20</v>
      </c>
      <c r="AY272" s="23">
        <v>2</v>
      </c>
    </row>
    <row r="273" spans="1:51">
      <c r="A273" s="25">
        <v>412</v>
      </c>
      <c r="B273" s="23" t="s">
        <v>125</v>
      </c>
      <c r="D273" s="23">
        <v>2</v>
      </c>
      <c r="E273" s="25" t="s">
        <v>30</v>
      </c>
      <c r="F273" s="25" t="s">
        <v>305</v>
      </c>
      <c r="G273" s="23" t="s">
        <v>27</v>
      </c>
      <c r="H273" s="23" t="s">
        <v>177</v>
      </c>
      <c r="I273" s="25">
        <v>1996</v>
      </c>
      <c r="J273" s="35">
        <v>30</v>
      </c>
      <c r="K273" s="35">
        <v>40</v>
      </c>
      <c r="L273" s="35">
        <v>20</v>
      </c>
      <c r="M273" s="25">
        <v>14</v>
      </c>
      <c r="N273" s="25">
        <v>14</v>
      </c>
      <c r="R273" s="30">
        <f t="shared" si="508"/>
        <v>28</v>
      </c>
      <c r="S273" s="37">
        <v>1</v>
      </c>
      <c r="T273" s="30">
        <f t="shared" si="496"/>
        <v>18.516000000000002</v>
      </c>
      <c r="U273" s="37">
        <v>1</v>
      </c>
      <c r="V273" s="30">
        <f t="shared" si="495"/>
        <v>25.598666666666666</v>
      </c>
      <c r="W273" s="25">
        <v>100</v>
      </c>
      <c r="X273" s="31">
        <f t="shared" si="509"/>
        <v>220.32000000000002</v>
      </c>
      <c r="Y273" s="25">
        <v>162</v>
      </c>
      <c r="Z273" s="25">
        <v>11</v>
      </c>
      <c r="AA273" s="25">
        <v>70</v>
      </c>
      <c r="AB273" s="37">
        <v>1</v>
      </c>
      <c r="AC273" s="30">
        <f t="shared" si="482"/>
        <v>200</v>
      </c>
      <c r="AD273" s="31">
        <f t="shared" si="510"/>
        <v>3</v>
      </c>
      <c r="AE273" s="31">
        <f t="shared" si="511"/>
        <v>8</v>
      </c>
      <c r="AF273" s="31" t="str">
        <f t="shared" si="512"/>
        <v/>
      </c>
      <c r="AG273" s="31" t="str">
        <f t="shared" si="513"/>
        <v/>
      </c>
      <c r="AH273" s="31" t="str">
        <f t="shared" si="514"/>
        <v/>
      </c>
      <c r="AI273" s="31" t="str">
        <f t="shared" si="515"/>
        <v/>
      </c>
      <c r="AJ273" s="25">
        <v>11</v>
      </c>
      <c r="AK273" s="25">
        <v>0</v>
      </c>
      <c r="AL273" s="25">
        <v>0</v>
      </c>
      <c r="AM273" s="23" t="s">
        <v>207</v>
      </c>
      <c r="AN273" s="23" t="s">
        <v>92</v>
      </c>
      <c r="AO273" s="25">
        <v>412</v>
      </c>
      <c r="AR273" s="32" t="str">
        <f t="shared" si="516"/>
        <v>2 doors</v>
      </c>
      <c r="AT273" s="23" t="s">
        <v>270</v>
      </c>
      <c r="AU273" s="23" t="str">
        <f t="shared" si="527"/>
        <v>CC</v>
      </c>
      <c r="AV273" s="34">
        <f t="shared" si="517"/>
        <v>5340</v>
      </c>
      <c r="AW273" s="23">
        <v>53</v>
      </c>
      <c r="AX273" s="23">
        <v>40</v>
      </c>
      <c r="AY273" s="23">
        <v>0</v>
      </c>
    </row>
    <row r="274" spans="1:51">
      <c r="A274" s="25">
        <v>412</v>
      </c>
      <c r="B274" s="23" t="s">
        <v>125</v>
      </c>
      <c r="D274" s="23">
        <v>2</v>
      </c>
      <c r="E274" s="25" t="s">
        <v>42</v>
      </c>
      <c r="F274" s="25" t="s">
        <v>302</v>
      </c>
      <c r="G274" s="23" t="s">
        <v>27</v>
      </c>
      <c r="H274" s="23" t="s">
        <v>177</v>
      </c>
      <c r="I274" s="25">
        <v>1996</v>
      </c>
      <c r="J274" s="35">
        <v>30</v>
      </c>
      <c r="K274" s="35">
        <v>40</v>
      </c>
      <c r="L274" s="35">
        <v>20</v>
      </c>
      <c r="M274" s="25">
        <v>14</v>
      </c>
      <c r="N274" s="25">
        <v>14</v>
      </c>
      <c r="R274" s="30">
        <f t="shared" si="508"/>
        <v>28</v>
      </c>
      <c r="S274" s="37">
        <v>1</v>
      </c>
      <c r="T274" s="30">
        <f t="shared" si="496"/>
        <v>18.516000000000002</v>
      </c>
      <c r="U274" s="37">
        <v>1</v>
      </c>
      <c r="V274" s="30">
        <f t="shared" si="495"/>
        <v>25.598666666666666</v>
      </c>
      <c r="W274" s="25">
        <v>100</v>
      </c>
      <c r="X274" s="31">
        <f t="shared" si="509"/>
        <v>220.32000000000002</v>
      </c>
      <c r="Y274" s="25">
        <v>162</v>
      </c>
      <c r="Z274" s="25">
        <v>11</v>
      </c>
      <c r="AA274" s="25">
        <v>70</v>
      </c>
      <c r="AB274" s="37">
        <v>1</v>
      </c>
      <c r="AC274" s="30">
        <f t="shared" si="482"/>
        <v>200</v>
      </c>
      <c r="AD274" s="31">
        <f t="shared" si="510"/>
        <v>3</v>
      </c>
      <c r="AE274" s="31">
        <f t="shared" si="511"/>
        <v>8</v>
      </c>
      <c r="AF274" s="31" t="str">
        <f t="shared" si="512"/>
        <v/>
      </c>
      <c r="AG274" s="31" t="str">
        <f t="shared" si="513"/>
        <v/>
      </c>
      <c r="AH274" s="31" t="str">
        <f t="shared" si="514"/>
        <v/>
      </c>
      <c r="AI274" s="31" t="str">
        <f t="shared" si="515"/>
        <v/>
      </c>
      <c r="AJ274" s="25">
        <v>11</v>
      </c>
      <c r="AK274" s="25">
        <v>0</v>
      </c>
      <c r="AL274" s="25">
        <v>0</v>
      </c>
      <c r="AM274" s="23" t="s">
        <v>207</v>
      </c>
      <c r="AN274" s="23" t="s">
        <v>92</v>
      </c>
      <c r="AO274" s="25">
        <v>412</v>
      </c>
      <c r="AR274" s="32" t="str">
        <f t="shared" si="516"/>
        <v>2 doors</v>
      </c>
      <c r="AT274" s="23" t="s">
        <v>270</v>
      </c>
      <c r="AU274" s="23" t="str">
        <f t="shared" si="527"/>
        <v>CC</v>
      </c>
      <c r="AV274" s="34">
        <f t="shared" si="517"/>
        <v>5340.01</v>
      </c>
      <c r="AW274" s="23">
        <v>53</v>
      </c>
      <c r="AX274" s="23">
        <v>40</v>
      </c>
      <c r="AY274" s="23">
        <v>1</v>
      </c>
    </row>
    <row r="275" spans="1:51">
      <c r="A275" s="25">
        <v>417</v>
      </c>
      <c r="B275" s="23" t="s">
        <v>89</v>
      </c>
      <c r="D275" s="23">
        <v>4</v>
      </c>
      <c r="E275" s="25" t="s">
        <v>30</v>
      </c>
      <c r="F275" s="25" t="s">
        <v>297</v>
      </c>
      <c r="G275" s="23" t="s">
        <v>27</v>
      </c>
      <c r="H275" s="23" t="s">
        <v>183</v>
      </c>
      <c r="I275" s="25">
        <v>1994</v>
      </c>
      <c r="J275" s="35">
        <v>30</v>
      </c>
      <c r="K275" s="35">
        <v>40</v>
      </c>
      <c r="L275" s="35">
        <v>20</v>
      </c>
      <c r="M275" s="25">
        <v>14</v>
      </c>
      <c r="N275" s="25">
        <v>14</v>
      </c>
      <c r="O275" s="25">
        <v>14</v>
      </c>
      <c r="P275" s="25">
        <v>7</v>
      </c>
      <c r="R275" s="30">
        <f t="shared" si="508"/>
        <v>49</v>
      </c>
      <c r="S275" s="37">
        <v>1</v>
      </c>
      <c r="T275" s="30">
        <f t="shared" si="496"/>
        <v>23.988</v>
      </c>
      <c r="U275" s="37">
        <v>1</v>
      </c>
      <c r="V275" s="30">
        <f t="shared" si="495"/>
        <v>32.109333333333332</v>
      </c>
      <c r="W275" s="25">
        <v>72</v>
      </c>
      <c r="X275" s="31">
        <f t="shared" si="509"/>
        <v>259.76</v>
      </c>
      <c r="Y275" s="25">
        <v>191</v>
      </c>
      <c r="Z275" s="25">
        <v>15</v>
      </c>
      <c r="AA275" s="25">
        <v>170</v>
      </c>
      <c r="AB275" s="37">
        <v>1</v>
      </c>
      <c r="AC275" s="30">
        <f t="shared" si="482"/>
        <v>200</v>
      </c>
      <c r="AD275" s="31">
        <f t="shared" si="510"/>
        <v>2</v>
      </c>
      <c r="AE275" s="31">
        <f t="shared" si="511"/>
        <v>8</v>
      </c>
      <c r="AF275" s="31">
        <f t="shared" si="512"/>
        <v>7</v>
      </c>
      <c r="AG275" s="31" t="str">
        <f t="shared" si="513"/>
        <v/>
      </c>
      <c r="AH275" s="31" t="str">
        <f t="shared" si="514"/>
        <v/>
      </c>
      <c r="AI275" s="31" t="str">
        <f t="shared" si="515"/>
        <v/>
      </c>
      <c r="AJ275" s="25">
        <v>10</v>
      </c>
      <c r="AK275" s="25">
        <v>7</v>
      </c>
      <c r="AL275" s="25">
        <v>0</v>
      </c>
      <c r="AM275" s="23" t="s">
        <v>207</v>
      </c>
      <c r="AN275" s="23" t="s">
        <v>92</v>
      </c>
      <c r="AO275" s="25">
        <v>417</v>
      </c>
      <c r="AR275" s="32" t="str">
        <f t="shared" si="516"/>
        <v>4 doors</v>
      </c>
      <c r="AT275" s="23" t="s">
        <v>32</v>
      </c>
      <c r="AU275" s="23" t="str">
        <f t="shared" si="527"/>
        <v>CC</v>
      </c>
      <c r="AV275" s="34">
        <f t="shared" si="517"/>
        <v>5400</v>
      </c>
      <c r="AW275" s="23">
        <v>54</v>
      </c>
      <c r="AX275" s="23">
        <v>0</v>
      </c>
      <c r="AY275" s="23">
        <v>0</v>
      </c>
    </row>
    <row r="276" spans="1:51">
      <c r="A276" s="25">
        <v>417</v>
      </c>
      <c r="B276" s="23" t="s">
        <v>89</v>
      </c>
      <c r="D276" s="23">
        <v>4</v>
      </c>
      <c r="E276" s="25" t="s">
        <v>42</v>
      </c>
      <c r="F276" s="25" t="s">
        <v>320</v>
      </c>
      <c r="G276" s="23" t="s">
        <v>27</v>
      </c>
      <c r="H276" s="23" t="s">
        <v>183</v>
      </c>
      <c r="I276" s="25">
        <v>1998</v>
      </c>
      <c r="J276" s="35">
        <v>30</v>
      </c>
      <c r="K276" s="35">
        <v>40</v>
      </c>
      <c r="L276" s="35">
        <v>20</v>
      </c>
      <c r="M276" s="25">
        <v>14</v>
      </c>
      <c r="N276" s="25">
        <v>14</v>
      </c>
      <c r="O276" s="25">
        <v>14</v>
      </c>
      <c r="P276" s="25">
        <v>7</v>
      </c>
      <c r="R276" s="30">
        <f t="shared" si="508"/>
        <v>49</v>
      </c>
      <c r="S276" s="37">
        <v>1</v>
      </c>
      <c r="T276" s="30">
        <f t="shared" si="496"/>
        <v>23.988</v>
      </c>
      <c r="U276" s="37">
        <v>1</v>
      </c>
      <c r="V276" s="30">
        <f t="shared" si="495"/>
        <v>32.109333333333332</v>
      </c>
      <c r="W276" s="25">
        <v>72</v>
      </c>
      <c r="X276" s="31">
        <f t="shared" si="509"/>
        <v>259.76</v>
      </c>
      <c r="Y276" s="25">
        <v>191</v>
      </c>
      <c r="Z276" s="25">
        <v>15</v>
      </c>
      <c r="AA276" s="25">
        <v>170</v>
      </c>
      <c r="AB276" s="37">
        <v>1</v>
      </c>
      <c r="AC276" s="30">
        <f t="shared" si="482"/>
        <v>200</v>
      </c>
      <c r="AD276" s="31">
        <f t="shared" si="510"/>
        <v>2</v>
      </c>
      <c r="AE276" s="31">
        <f t="shared" si="511"/>
        <v>8</v>
      </c>
      <c r="AF276" s="31">
        <f t="shared" si="512"/>
        <v>7</v>
      </c>
      <c r="AG276" s="31" t="str">
        <f t="shared" si="513"/>
        <v/>
      </c>
      <c r="AH276" s="31" t="str">
        <f t="shared" si="514"/>
        <v/>
      </c>
      <c r="AI276" s="31" t="str">
        <f t="shared" si="515"/>
        <v/>
      </c>
      <c r="AJ276" s="25">
        <v>10</v>
      </c>
      <c r="AK276" s="25">
        <v>7</v>
      </c>
      <c r="AL276" s="25">
        <v>0</v>
      </c>
      <c r="AM276" s="23" t="s">
        <v>207</v>
      </c>
      <c r="AN276" s="23" t="s">
        <v>92</v>
      </c>
      <c r="AO276" s="25">
        <v>417</v>
      </c>
      <c r="AR276" s="32" t="str">
        <f t="shared" si="516"/>
        <v>4 doors</v>
      </c>
      <c r="AT276" s="23" t="s">
        <v>32</v>
      </c>
      <c r="AU276" s="23" t="str">
        <f t="shared" si="527"/>
        <v>CC</v>
      </c>
      <c r="AV276" s="34">
        <f t="shared" si="517"/>
        <v>5400.01</v>
      </c>
      <c r="AW276" s="23">
        <v>54</v>
      </c>
      <c r="AX276" s="23">
        <v>0</v>
      </c>
      <c r="AY276" s="23">
        <v>1</v>
      </c>
    </row>
    <row r="277" spans="1:51">
      <c r="A277" s="25">
        <v>417</v>
      </c>
      <c r="B277" s="23" t="s">
        <v>89</v>
      </c>
      <c r="D277" s="23">
        <v>4</v>
      </c>
      <c r="E277" s="25" t="s">
        <v>43</v>
      </c>
      <c r="F277" s="25" t="s">
        <v>301</v>
      </c>
      <c r="G277" s="23" t="s">
        <v>27</v>
      </c>
      <c r="H277" s="23" t="s">
        <v>183</v>
      </c>
      <c r="I277" s="25">
        <v>2012</v>
      </c>
      <c r="J277" s="35">
        <v>30</v>
      </c>
      <c r="K277" s="35">
        <v>40</v>
      </c>
      <c r="L277" s="35">
        <v>20</v>
      </c>
      <c r="M277" s="25">
        <v>14</v>
      </c>
      <c r="N277" s="25">
        <v>14</v>
      </c>
      <c r="O277" s="25">
        <v>14</v>
      </c>
      <c r="P277" s="25">
        <v>7</v>
      </c>
      <c r="R277" s="30">
        <f t="shared" ref="R277:R308" si="528">SUM(M277:Q277)</f>
        <v>49</v>
      </c>
      <c r="S277" s="37">
        <v>1</v>
      </c>
      <c r="T277" s="30">
        <f t="shared" si="496"/>
        <v>23.988</v>
      </c>
      <c r="U277" s="37">
        <v>1</v>
      </c>
      <c r="V277" s="30">
        <f t="shared" si="495"/>
        <v>32.109333333333332</v>
      </c>
      <c r="W277" s="25">
        <v>72</v>
      </c>
      <c r="X277" s="31">
        <f t="shared" ref="X277:X308" si="529">Y277*1.36</f>
        <v>259.76</v>
      </c>
      <c r="Y277" s="25">
        <v>191</v>
      </c>
      <c r="Z277" s="25">
        <v>15</v>
      </c>
      <c r="AA277" s="25">
        <v>170</v>
      </c>
      <c r="AB277" s="37">
        <v>1</v>
      </c>
      <c r="AC277" s="30">
        <f t="shared" si="482"/>
        <v>200</v>
      </c>
      <c r="AD277" s="31">
        <f t="shared" ref="AD277:AD309" si="530">IF(AJ277&gt;8, AJ277-8, AJ277)</f>
        <v>2</v>
      </c>
      <c r="AE277" s="31">
        <f t="shared" ref="AE277:AE309" si="531">IF(AJ277&gt;8, 8, "")</f>
        <v>8</v>
      </c>
      <c r="AF277" s="31">
        <f t="shared" ref="AF277:AF309" si="532">IF(AK277&gt;8, AK277-8, IF(AK277=0, "", AK277))</f>
        <v>7</v>
      </c>
      <c r="AG277" s="31" t="str">
        <f t="shared" ref="AG277:AG309" si="533">IF(AK277&gt;8, 8, "")</f>
        <v/>
      </c>
      <c r="AH277" s="31" t="str">
        <f t="shared" ref="AH277:AH309" si="534">IF(AL277&gt;8, AL277-8, IF(AL277=0, "", AL277))</f>
        <v/>
      </c>
      <c r="AI277" s="31" t="str">
        <f t="shared" ref="AI277:AI309" si="535">IF(AL277&gt;8, 8, "")</f>
        <v/>
      </c>
      <c r="AJ277" s="25">
        <v>10</v>
      </c>
      <c r="AK277" s="25">
        <v>7</v>
      </c>
      <c r="AL277" s="25">
        <v>0</v>
      </c>
      <c r="AM277" s="23" t="s">
        <v>207</v>
      </c>
      <c r="AN277" s="23" t="s">
        <v>92</v>
      </c>
      <c r="AO277" s="25">
        <v>417</v>
      </c>
      <c r="AR277" s="32" t="str">
        <f t="shared" ref="AR277:AR310" si="536">IF(Q277&gt;0, "5 doors", IF(P277&gt;0, "4 doors", IF(O277&gt;0, "3 doors", IF(N277&gt;0, "2 doors", "1 door"))))</f>
        <v>4 doors</v>
      </c>
      <c r="AT277" s="23" t="s">
        <v>32</v>
      </c>
      <c r="AU277" s="23" t="str">
        <f t="shared" si="527"/>
        <v>CC</v>
      </c>
      <c r="AV277" s="34">
        <f t="shared" ref="AV277:AV308" si="537">(AW277*100)+AX277+(AY277/100)</f>
        <v>5400.02</v>
      </c>
      <c r="AW277" s="23">
        <v>54</v>
      </c>
      <c r="AX277" s="23">
        <v>0</v>
      </c>
      <c r="AY277" s="23">
        <v>2</v>
      </c>
    </row>
    <row r="278" spans="1:51">
      <c r="A278" s="25">
        <v>417</v>
      </c>
      <c r="B278" s="23" t="s">
        <v>125</v>
      </c>
      <c r="D278" s="23">
        <v>3</v>
      </c>
      <c r="E278" s="25" t="s">
        <v>30</v>
      </c>
      <c r="F278" s="25" t="s">
        <v>305</v>
      </c>
      <c r="G278" s="23" t="s">
        <v>27</v>
      </c>
      <c r="H278" s="23" t="s">
        <v>184</v>
      </c>
      <c r="I278" s="25">
        <v>1995</v>
      </c>
      <c r="J278" s="35">
        <v>30</v>
      </c>
      <c r="K278" s="35">
        <v>40</v>
      </c>
      <c r="L278" s="35">
        <v>20</v>
      </c>
      <c r="M278" s="25">
        <v>14</v>
      </c>
      <c r="N278" s="25">
        <v>14</v>
      </c>
      <c r="O278" s="25">
        <v>14</v>
      </c>
      <c r="R278" s="30">
        <f t="shared" si="528"/>
        <v>42</v>
      </c>
      <c r="S278" s="37">
        <v>1</v>
      </c>
      <c r="T278" s="30">
        <f t="shared" si="496"/>
        <v>26.004000000000001</v>
      </c>
      <c r="U278" s="37">
        <v>1</v>
      </c>
      <c r="V278" s="30">
        <f t="shared" si="495"/>
        <v>36.334666666666671</v>
      </c>
      <c r="W278" s="25">
        <v>90</v>
      </c>
      <c r="X278" s="31">
        <f t="shared" si="529"/>
        <v>310.08000000000004</v>
      </c>
      <c r="Y278" s="25">
        <v>228</v>
      </c>
      <c r="Z278" s="25">
        <v>15</v>
      </c>
      <c r="AA278" s="25">
        <v>124</v>
      </c>
      <c r="AB278" s="37">
        <v>1</v>
      </c>
      <c r="AC278" s="30">
        <f t="shared" si="482"/>
        <v>200</v>
      </c>
      <c r="AD278" s="31">
        <f t="shared" si="530"/>
        <v>2</v>
      </c>
      <c r="AE278" s="31">
        <f t="shared" si="531"/>
        <v>8</v>
      </c>
      <c r="AF278" s="31">
        <f t="shared" si="532"/>
        <v>7</v>
      </c>
      <c r="AG278" s="31" t="str">
        <f t="shared" si="533"/>
        <v/>
      </c>
      <c r="AH278" s="31" t="str">
        <f t="shared" si="534"/>
        <v/>
      </c>
      <c r="AI278" s="31" t="str">
        <f t="shared" si="535"/>
        <v/>
      </c>
      <c r="AJ278" s="25">
        <v>10</v>
      </c>
      <c r="AK278" s="25">
        <v>7</v>
      </c>
      <c r="AL278" s="25">
        <v>0</v>
      </c>
      <c r="AM278" s="23" t="s">
        <v>207</v>
      </c>
      <c r="AN278" s="23" t="s">
        <v>92</v>
      </c>
      <c r="AO278" s="25">
        <v>417</v>
      </c>
      <c r="AR278" s="32" t="str">
        <f t="shared" si="536"/>
        <v>3 doors</v>
      </c>
      <c r="AT278" s="23" t="s">
        <v>270</v>
      </c>
      <c r="AU278" s="23" t="str">
        <f t="shared" si="527"/>
        <v>CC</v>
      </c>
      <c r="AV278" s="34">
        <f t="shared" si="537"/>
        <v>5420</v>
      </c>
      <c r="AW278" s="23">
        <v>54</v>
      </c>
      <c r="AX278" s="23">
        <v>20</v>
      </c>
      <c r="AY278" s="23">
        <v>0</v>
      </c>
    </row>
    <row r="279" spans="1:51">
      <c r="A279" s="25">
        <v>417</v>
      </c>
      <c r="B279" s="23" t="s">
        <v>125</v>
      </c>
      <c r="D279" s="23">
        <v>3</v>
      </c>
      <c r="E279" s="25" t="s">
        <v>42</v>
      </c>
      <c r="F279" s="25" t="s">
        <v>302</v>
      </c>
      <c r="G279" s="23" t="s">
        <v>27</v>
      </c>
      <c r="H279" s="23" t="s">
        <v>184</v>
      </c>
      <c r="I279" s="25">
        <v>2001</v>
      </c>
      <c r="J279" s="35">
        <v>30</v>
      </c>
      <c r="K279" s="35">
        <v>40</v>
      </c>
      <c r="L279" s="35">
        <v>20</v>
      </c>
      <c r="M279" s="25">
        <v>14</v>
      </c>
      <c r="N279" s="25">
        <v>14</v>
      </c>
      <c r="O279" s="25">
        <v>14</v>
      </c>
      <c r="R279" s="30">
        <f t="shared" si="528"/>
        <v>42</v>
      </c>
      <c r="S279" s="37">
        <v>1</v>
      </c>
      <c r="T279" s="30">
        <f t="shared" si="496"/>
        <v>26.004000000000001</v>
      </c>
      <c r="U279" s="37">
        <v>1</v>
      </c>
      <c r="V279" s="30">
        <f t="shared" si="495"/>
        <v>36.334666666666671</v>
      </c>
      <c r="W279" s="25">
        <v>90</v>
      </c>
      <c r="X279" s="31">
        <f t="shared" si="529"/>
        <v>310.08000000000004</v>
      </c>
      <c r="Y279" s="25">
        <v>228</v>
      </c>
      <c r="Z279" s="25">
        <v>15</v>
      </c>
      <c r="AA279" s="25">
        <v>124</v>
      </c>
      <c r="AB279" s="37">
        <v>1</v>
      </c>
      <c r="AC279" s="30">
        <f t="shared" si="482"/>
        <v>200</v>
      </c>
      <c r="AD279" s="31">
        <f t="shared" si="530"/>
        <v>2</v>
      </c>
      <c r="AE279" s="31">
        <f t="shared" si="531"/>
        <v>8</v>
      </c>
      <c r="AF279" s="31">
        <f t="shared" si="532"/>
        <v>7</v>
      </c>
      <c r="AG279" s="31" t="str">
        <f t="shared" si="533"/>
        <v/>
      </c>
      <c r="AH279" s="31" t="str">
        <f t="shared" si="534"/>
        <v/>
      </c>
      <c r="AI279" s="31" t="str">
        <f t="shared" si="535"/>
        <v/>
      </c>
      <c r="AJ279" s="25">
        <v>10</v>
      </c>
      <c r="AK279" s="25">
        <v>7</v>
      </c>
      <c r="AL279" s="25">
        <v>0</v>
      </c>
      <c r="AM279" s="23" t="s">
        <v>207</v>
      </c>
      <c r="AN279" s="23" t="s">
        <v>92</v>
      </c>
      <c r="AO279" s="25">
        <v>417</v>
      </c>
      <c r="AR279" s="32" t="str">
        <f t="shared" si="536"/>
        <v>3 doors</v>
      </c>
      <c r="AT279" s="23" t="s">
        <v>270</v>
      </c>
      <c r="AU279" s="23" t="str">
        <f t="shared" si="527"/>
        <v>CC</v>
      </c>
      <c r="AV279" s="34">
        <f t="shared" si="537"/>
        <v>5420.01</v>
      </c>
      <c r="AW279" s="23">
        <v>54</v>
      </c>
      <c r="AX279" s="23">
        <v>20</v>
      </c>
      <c r="AY279" s="23">
        <v>1</v>
      </c>
    </row>
    <row r="280" spans="1:51">
      <c r="A280" s="25" t="s">
        <v>111</v>
      </c>
      <c r="D280" s="23">
        <v>4</v>
      </c>
      <c r="E280" s="25" t="s">
        <v>30</v>
      </c>
      <c r="F280" s="25" t="s">
        <v>301</v>
      </c>
      <c r="G280" s="23" t="s">
        <v>27</v>
      </c>
      <c r="H280" s="23" t="s">
        <v>182</v>
      </c>
      <c r="I280" s="25">
        <v>2020</v>
      </c>
      <c r="J280" s="35">
        <v>30</v>
      </c>
      <c r="K280" s="35">
        <v>40</v>
      </c>
      <c r="L280" s="35">
        <v>20</v>
      </c>
      <c r="M280" s="25">
        <v>14</v>
      </c>
      <c r="N280" s="25">
        <v>14</v>
      </c>
      <c r="O280" s="25">
        <v>14</v>
      </c>
      <c r="P280" s="25">
        <v>14</v>
      </c>
      <c r="R280" s="30">
        <f t="shared" si="528"/>
        <v>56</v>
      </c>
      <c r="S280" s="37">
        <v>1.2</v>
      </c>
      <c r="T280" s="30">
        <f t="shared" si="496"/>
        <v>40.814399999999999</v>
      </c>
      <c r="U280" s="37">
        <v>1.1000000000000001</v>
      </c>
      <c r="V280" s="30">
        <f t="shared" si="495"/>
        <v>54.439733333333344</v>
      </c>
      <c r="W280" s="25">
        <v>78</v>
      </c>
      <c r="X280" s="31">
        <f t="shared" si="529"/>
        <v>420.24</v>
      </c>
      <c r="Y280" s="25">
        <v>309</v>
      </c>
      <c r="Z280" s="25">
        <v>18</v>
      </c>
      <c r="AA280" s="25">
        <v>250</v>
      </c>
      <c r="AB280" s="37">
        <v>0.8</v>
      </c>
      <c r="AC280" s="30">
        <f t="shared" si="482"/>
        <v>160</v>
      </c>
      <c r="AD280" s="31">
        <f t="shared" si="530"/>
        <v>2</v>
      </c>
      <c r="AE280" s="31">
        <f t="shared" si="531"/>
        <v>8</v>
      </c>
      <c r="AF280" s="31">
        <f t="shared" si="532"/>
        <v>6</v>
      </c>
      <c r="AG280" s="31" t="str">
        <f t="shared" si="533"/>
        <v/>
      </c>
      <c r="AH280" s="31">
        <f t="shared" si="534"/>
        <v>7</v>
      </c>
      <c r="AI280" s="31" t="str">
        <f t="shared" si="535"/>
        <v/>
      </c>
      <c r="AJ280" s="25">
        <v>10</v>
      </c>
      <c r="AK280" s="25">
        <v>6</v>
      </c>
      <c r="AL280" s="25">
        <v>7</v>
      </c>
      <c r="AM280" s="23" t="s">
        <v>207</v>
      </c>
      <c r="AN280" s="23" t="s">
        <v>92</v>
      </c>
      <c r="AO280" s="25" t="s">
        <v>111</v>
      </c>
      <c r="AR280" s="32" t="str">
        <f t="shared" si="536"/>
        <v>4 doors</v>
      </c>
      <c r="AT280" s="23" t="s">
        <v>32</v>
      </c>
      <c r="AU280" s="23" t="str">
        <f t="shared" si="527"/>
        <v>CC</v>
      </c>
      <c r="AV280" s="34">
        <f t="shared" si="537"/>
        <v>5900</v>
      </c>
      <c r="AW280" s="23">
        <v>59</v>
      </c>
      <c r="AX280" s="23">
        <v>0</v>
      </c>
      <c r="AY280" s="23">
        <v>0</v>
      </c>
    </row>
    <row r="281" spans="1:51">
      <c r="A281" s="25" t="s">
        <v>119</v>
      </c>
      <c r="D281" s="23">
        <v>2</v>
      </c>
      <c r="E281" s="25" t="s">
        <v>30</v>
      </c>
      <c r="F281" s="25" t="s">
        <v>308</v>
      </c>
      <c r="G281" s="23" t="s">
        <v>27</v>
      </c>
      <c r="H281" s="23" t="s">
        <v>202</v>
      </c>
      <c r="I281" s="25">
        <v>1992</v>
      </c>
      <c r="J281" s="35">
        <v>30</v>
      </c>
      <c r="K281" s="35">
        <v>40</v>
      </c>
      <c r="L281" s="35">
        <v>20</v>
      </c>
      <c r="M281" s="25">
        <v>5</v>
      </c>
      <c r="N281" s="25">
        <v>5</v>
      </c>
      <c r="R281" s="30">
        <f t="shared" si="528"/>
        <v>10</v>
      </c>
      <c r="S281" s="37">
        <v>1.2</v>
      </c>
      <c r="T281" s="30">
        <f t="shared" si="496"/>
        <v>27.233142857142859</v>
      </c>
      <c r="U281" s="37">
        <v>1.1000000000000001</v>
      </c>
      <c r="V281" s="30">
        <f t="shared" si="495"/>
        <v>37.760380952380956</v>
      </c>
      <c r="W281" s="25">
        <v>130</v>
      </c>
      <c r="X281" s="31">
        <f t="shared" si="529"/>
        <v>319.60000000000002</v>
      </c>
      <c r="Y281" s="25">
        <v>235</v>
      </c>
      <c r="Z281" s="25">
        <v>12</v>
      </c>
      <c r="AA281" s="25">
        <v>68</v>
      </c>
      <c r="AB281" s="37">
        <v>0.8</v>
      </c>
      <c r="AC281" s="30">
        <f t="shared" si="482"/>
        <v>120</v>
      </c>
      <c r="AD281" s="31">
        <f t="shared" si="530"/>
        <v>3</v>
      </c>
      <c r="AE281" s="31">
        <f t="shared" si="531"/>
        <v>8</v>
      </c>
      <c r="AF281" s="31" t="str">
        <f t="shared" si="532"/>
        <v/>
      </c>
      <c r="AG281" s="31" t="str">
        <f t="shared" si="533"/>
        <v/>
      </c>
      <c r="AH281" s="31" t="str">
        <f t="shared" si="534"/>
        <v/>
      </c>
      <c r="AI281" s="31" t="str">
        <f t="shared" si="535"/>
        <v/>
      </c>
      <c r="AJ281" s="25">
        <v>11</v>
      </c>
      <c r="AK281" s="25">
        <v>0</v>
      </c>
      <c r="AL281" s="25">
        <v>0</v>
      </c>
      <c r="AM281" s="23" t="s">
        <v>208</v>
      </c>
      <c r="AN281" s="23" t="s">
        <v>92</v>
      </c>
      <c r="AO281" s="25" t="s">
        <v>119</v>
      </c>
      <c r="AR281" s="32" t="str">
        <f t="shared" si="536"/>
        <v>2 doors</v>
      </c>
      <c r="AT281" s="23" t="s">
        <v>47</v>
      </c>
      <c r="AU281" s="23" t="str">
        <f t="shared" si="527"/>
        <v>CC</v>
      </c>
      <c r="AV281" s="34">
        <f t="shared" si="537"/>
        <v>7000</v>
      </c>
      <c r="AW281" s="23">
        <v>70</v>
      </c>
      <c r="AX281" s="23">
        <v>0</v>
      </c>
      <c r="AY281" s="23">
        <v>0</v>
      </c>
    </row>
    <row r="282" spans="1:51">
      <c r="A282" s="25" t="s">
        <v>119</v>
      </c>
      <c r="D282" s="23">
        <v>2</v>
      </c>
      <c r="E282" s="25" t="s">
        <v>42</v>
      </c>
      <c r="F282" s="25" t="s">
        <v>304</v>
      </c>
      <c r="G282" s="23" t="s">
        <v>27</v>
      </c>
      <c r="H282" s="23" t="s">
        <v>202</v>
      </c>
      <c r="I282" s="25">
        <v>1992</v>
      </c>
      <c r="J282" s="35">
        <v>30</v>
      </c>
      <c r="K282" s="35">
        <v>40</v>
      </c>
      <c r="L282" s="35">
        <v>20</v>
      </c>
      <c r="M282" s="25">
        <v>5</v>
      </c>
      <c r="N282" s="25">
        <v>5</v>
      </c>
      <c r="R282" s="30">
        <f t="shared" si="528"/>
        <v>10</v>
      </c>
      <c r="S282" s="37">
        <v>1.2</v>
      </c>
      <c r="T282" s="30">
        <f t="shared" si="496"/>
        <v>27.233142857142859</v>
      </c>
      <c r="U282" s="37">
        <v>1.1000000000000001</v>
      </c>
      <c r="V282" s="30">
        <f t="shared" si="495"/>
        <v>37.760380952380956</v>
      </c>
      <c r="W282" s="25">
        <v>130</v>
      </c>
      <c r="X282" s="31">
        <f t="shared" si="529"/>
        <v>319.60000000000002</v>
      </c>
      <c r="Y282" s="25">
        <v>235</v>
      </c>
      <c r="Z282" s="25">
        <v>12</v>
      </c>
      <c r="AA282" s="25">
        <v>68</v>
      </c>
      <c r="AB282" s="37">
        <v>0.8</v>
      </c>
      <c r="AC282" s="30">
        <f t="shared" si="482"/>
        <v>120</v>
      </c>
      <c r="AD282" s="31">
        <f t="shared" si="530"/>
        <v>3</v>
      </c>
      <c r="AE282" s="31">
        <f t="shared" si="531"/>
        <v>8</v>
      </c>
      <c r="AF282" s="31" t="str">
        <f t="shared" si="532"/>
        <v/>
      </c>
      <c r="AG282" s="31" t="str">
        <f t="shared" si="533"/>
        <v/>
      </c>
      <c r="AH282" s="31" t="str">
        <f t="shared" si="534"/>
        <v/>
      </c>
      <c r="AI282" s="31" t="str">
        <f t="shared" si="535"/>
        <v/>
      </c>
      <c r="AJ282" s="25">
        <v>11</v>
      </c>
      <c r="AK282" s="25">
        <v>0</v>
      </c>
      <c r="AL282" s="25">
        <v>0</v>
      </c>
      <c r="AM282" s="23" t="s">
        <v>208</v>
      </c>
      <c r="AN282" s="23" t="s">
        <v>92</v>
      </c>
      <c r="AO282" s="25" t="s">
        <v>119</v>
      </c>
      <c r="AR282" s="32" t="str">
        <f t="shared" si="536"/>
        <v>2 doors</v>
      </c>
      <c r="AT282" s="23" t="s">
        <v>47</v>
      </c>
      <c r="AU282" s="23" t="str">
        <f t="shared" si="527"/>
        <v>CC</v>
      </c>
      <c r="AV282" s="34">
        <f t="shared" si="537"/>
        <v>7000.01</v>
      </c>
      <c r="AW282" s="23">
        <v>70</v>
      </c>
      <c r="AX282" s="23">
        <v>0</v>
      </c>
      <c r="AY282" s="23">
        <v>1</v>
      </c>
    </row>
    <row r="283" spans="1:51">
      <c r="A283" s="25" t="s">
        <v>119</v>
      </c>
      <c r="D283" s="23">
        <v>2</v>
      </c>
      <c r="E283" s="25" t="s">
        <v>214</v>
      </c>
      <c r="F283" s="25" t="s">
        <v>46</v>
      </c>
      <c r="G283" s="23" t="s">
        <v>27</v>
      </c>
      <c r="H283" s="23" t="s">
        <v>202</v>
      </c>
      <c r="I283" s="25">
        <v>1992</v>
      </c>
      <c r="J283" s="35">
        <v>30</v>
      </c>
      <c r="K283" s="35">
        <v>40</v>
      </c>
      <c r="L283" s="35">
        <v>20</v>
      </c>
      <c r="M283" s="25">
        <v>5</v>
      </c>
      <c r="N283" s="25">
        <v>5</v>
      </c>
      <c r="R283" s="30">
        <f t="shared" si="528"/>
        <v>10</v>
      </c>
      <c r="S283" s="37">
        <v>1.2</v>
      </c>
      <c r="T283" s="30">
        <f t="shared" si="496"/>
        <v>27.233142857142859</v>
      </c>
      <c r="U283" s="37">
        <v>1.1000000000000001</v>
      </c>
      <c r="V283" s="30">
        <f t="shared" si="495"/>
        <v>37.760380952380956</v>
      </c>
      <c r="W283" s="25">
        <v>130</v>
      </c>
      <c r="X283" s="31">
        <f t="shared" si="529"/>
        <v>319.60000000000002</v>
      </c>
      <c r="Y283" s="25">
        <v>235</v>
      </c>
      <c r="Z283" s="25">
        <v>12</v>
      </c>
      <c r="AA283" s="25">
        <v>68</v>
      </c>
      <c r="AB283" s="37">
        <v>0.8</v>
      </c>
      <c r="AC283" s="30">
        <f t="shared" si="482"/>
        <v>120</v>
      </c>
      <c r="AD283" s="31">
        <f t="shared" si="530"/>
        <v>3</v>
      </c>
      <c r="AE283" s="31">
        <f t="shared" si="531"/>
        <v>8</v>
      </c>
      <c r="AF283" s="31" t="str">
        <f t="shared" si="532"/>
        <v/>
      </c>
      <c r="AG283" s="31" t="str">
        <f t="shared" si="533"/>
        <v/>
      </c>
      <c r="AH283" s="31" t="str">
        <f t="shared" si="534"/>
        <v/>
      </c>
      <c r="AI283" s="31" t="str">
        <f t="shared" si="535"/>
        <v/>
      </c>
      <c r="AJ283" s="25">
        <v>11</v>
      </c>
      <c r="AK283" s="25">
        <v>0</v>
      </c>
      <c r="AL283" s="25">
        <v>0</v>
      </c>
      <c r="AM283" s="23" t="s">
        <v>208</v>
      </c>
      <c r="AN283" s="23" t="s">
        <v>92</v>
      </c>
      <c r="AO283" s="25" t="s">
        <v>119</v>
      </c>
      <c r="AR283" s="32" t="str">
        <f t="shared" si="536"/>
        <v>2 doors</v>
      </c>
      <c r="AT283" s="23" t="s">
        <v>47</v>
      </c>
      <c r="AU283" s="23" t="str">
        <f t="shared" si="527"/>
        <v>Hungary</v>
      </c>
      <c r="AV283" s="34">
        <f t="shared" si="537"/>
        <v>7000.02</v>
      </c>
      <c r="AW283" s="23">
        <v>70</v>
      </c>
      <c r="AX283" s="23">
        <v>0</v>
      </c>
      <c r="AY283" s="23">
        <v>2</v>
      </c>
    </row>
    <row r="284" spans="1:51">
      <c r="A284" s="25" t="s">
        <v>119</v>
      </c>
      <c r="D284" s="23">
        <v>2</v>
      </c>
      <c r="E284" s="25" t="s">
        <v>215</v>
      </c>
      <c r="F284" s="25" t="s">
        <v>46</v>
      </c>
      <c r="G284" s="23" t="s">
        <v>27</v>
      </c>
      <c r="H284" s="23" t="s">
        <v>202</v>
      </c>
      <c r="I284" s="25">
        <v>1992</v>
      </c>
      <c r="J284" s="35">
        <v>30</v>
      </c>
      <c r="K284" s="35">
        <v>40</v>
      </c>
      <c r="L284" s="35">
        <v>20</v>
      </c>
      <c r="M284" s="25">
        <v>5</v>
      </c>
      <c r="N284" s="25">
        <v>5</v>
      </c>
      <c r="R284" s="30">
        <f t="shared" si="528"/>
        <v>10</v>
      </c>
      <c r="S284" s="37">
        <v>1.2</v>
      </c>
      <c r="T284" s="30">
        <f t="shared" si="496"/>
        <v>27.233142857142859</v>
      </c>
      <c r="U284" s="37">
        <v>1.1000000000000001</v>
      </c>
      <c r="V284" s="30">
        <f t="shared" si="495"/>
        <v>37.760380952380956</v>
      </c>
      <c r="W284" s="25">
        <v>130</v>
      </c>
      <c r="X284" s="31">
        <f t="shared" si="529"/>
        <v>319.60000000000002</v>
      </c>
      <c r="Y284" s="25">
        <v>235</v>
      </c>
      <c r="Z284" s="25">
        <v>12</v>
      </c>
      <c r="AA284" s="25">
        <v>68</v>
      </c>
      <c r="AB284" s="37">
        <v>0.8</v>
      </c>
      <c r="AC284" s="30">
        <f t="shared" si="482"/>
        <v>120</v>
      </c>
      <c r="AD284" s="31">
        <f t="shared" si="530"/>
        <v>3</v>
      </c>
      <c r="AE284" s="31">
        <f t="shared" si="531"/>
        <v>8</v>
      </c>
      <c r="AF284" s="31" t="str">
        <f t="shared" si="532"/>
        <v/>
      </c>
      <c r="AG284" s="31" t="str">
        <f t="shared" si="533"/>
        <v/>
      </c>
      <c r="AH284" s="31" t="str">
        <f t="shared" si="534"/>
        <v/>
      </c>
      <c r="AI284" s="31" t="str">
        <f t="shared" si="535"/>
        <v/>
      </c>
      <c r="AJ284" s="25">
        <v>11</v>
      </c>
      <c r="AK284" s="25">
        <v>0</v>
      </c>
      <c r="AL284" s="25">
        <v>0</v>
      </c>
      <c r="AM284" s="23" t="s">
        <v>208</v>
      </c>
      <c r="AN284" s="23" t="s">
        <v>92</v>
      </c>
      <c r="AO284" s="25" t="s">
        <v>119</v>
      </c>
      <c r="AR284" s="32" t="str">
        <f t="shared" si="536"/>
        <v>2 doors</v>
      </c>
      <c r="AT284" s="23" t="s">
        <v>47</v>
      </c>
      <c r="AU284" s="23" t="str">
        <f t="shared" si="527"/>
        <v>Hungary</v>
      </c>
      <c r="AV284" s="34">
        <f t="shared" si="537"/>
        <v>7000.03</v>
      </c>
      <c r="AW284" s="23">
        <v>70</v>
      </c>
      <c r="AX284" s="23">
        <v>0</v>
      </c>
      <c r="AY284" s="23">
        <v>3</v>
      </c>
    </row>
    <row r="285" spans="1:51">
      <c r="A285" s="25" t="s">
        <v>112</v>
      </c>
      <c r="D285" s="23">
        <v>2</v>
      </c>
      <c r="E285" s="25" t="s">
        <v>30</v>
      </c>
      <c r="F285" s="25" t="s">
        <v>302</v>
      </c>
      <c r="G285" s="23" t="s">
        <v>27</v>
      </c>
      <c r="H285" s="23" t="s">
        <v>193</v>
      </c>
      <c r="I285" s="25">
        <v>1998</v>
      </c>
      <c r="J285" s="35">
        <v>30</v>
      </c>
      <c r="K285" s="35">
        <v>40</v>
      </c>
      <c r="L285" s="35">
        <v>20</v>
      </c>
      <c r="M285" s="25">
        <v>4</v>
      </c>
      <c r="N285" s="25">
        <v>4</v>
      </c>
      <c r="R285" s="30">
        <f t="shared" si="528"/>
        <v>8</v>
      </c>
      <c r="S285" s="37">
        <v>1.2</v>
      </c>
      <c r="T285" s="30">
        <f t="shared" si="496"/>
        <v>15.085714285714285</v>
      </c>
      <c r="U285" s="37">
        <v>1.1000000000000001</v>
      </c>
      <c r="V285" s="30">
        <f t="shared" si="495"/>
        <v>20.289238095238101</v>
      </c>
      <c r="W285" s="25">
        <v>117</v>
      </c>
      <c r="X285" s="31">
        <f t="shared" si="529"/>
        <v>170</v>
      </c>
      <c r="Y285" s="25">
        <v>125</v>
      </c>
      <c r="Z285" s="25">
        <v>7</v>
      </c>
      <c r="AA285" s="25">
        <v>26</v>
      </c>
      <c r="AB285" s="37">
        <v>0.8</v>
      </c>
      <c r="AC285" s="30">
        <f t="shared" si="482"/>
        <v>80</v>
      </c>
      <c r="AD285" s="31">
        <f t="shared" si="530"/>
        <v>8</v>
      </c>
      <c r="AE285" s="31" t="str">
        <f t="shared" si="531"/>
        <v/>
      </c>
      <c r="AF285" s="31" t="str">
        <f t="shared" si="532"/>
        <v/>
      </c>
      <c r="AG285" s="31" t="str">
        <f t="shared" si="533"/>
        <v/>
      </c>
      <c r="AH285" s="31" t="str">
        <f t="shared" si="534"/>
        <v/>
      </c>
      <c r="AI285" s="31" t="str">
        <f t="shared" si="535"/>
        <v/>
      </c>
      <c r="AJ285" s="25">
        <v>8</v>
      </c>
      <c r="AK285" s="25">
        <v>0</v>
      </c>
      <c r="AL285" s="25">
        <v>0</v>
      </c>
      <c r="AM285" s="23" t="s">
        <v>208</v>
      </c>
      <c r="AN285" s="23" t="s">
        <v>92</v>
      </c>
      <c r="AO285" s="25" t="s">
        <v>112</v>
      </c>
      <c r="AR285" s="32" t="str">
        <f t="shared" si="536"/>
        <v>2 doors</v>
      </c>
      <c r="AT285" s="23" t="s">
        <v>48</v>
      </c>
      <c r="AU285" s="23" t="str">
        <f t="shared" si="527"/>
        <v>CC</v>
      </c>
      <c r="AV285" s="34">
        <f t="shared" si="537"/>
        <v>7040</v>
      </c>
      <c r="AW285" s="23">
        <v>70</v>
      </c>
      <c r="AX285" s="23">
        <v>40</v>
      </c>
      <c r="AY285" s="23">
        <v>0</v>
      </c>
    </row>
    <row r="286" spans="1:51">
      <c r="A286" s="25" t="s">
        <v>112</v>
      </c>
      <c r="D286" s="23">
        <v>2</v>
      </c>
      <c r="E286" s="25" t="s">
        <v>211</v>
      </c>
      <c r="F286" s="25" t="s">
        <v>211</v>
      </c>
      <c r="G286" s="23" t="s">
        <v>27</v>
      </c>
      <c r="H286" s="23" t="s">
        <v>193</v>
      </c>
      <c r="I286" s="25">
        <v>1998</v>
      </c>
      <c r="J286" s="35">
        <v>30</v>
      </c>
      <c r="K286" s="35">
        <v>40</v>
      </c>
      <c r="L286" s="35">
        <v>20</v>
      </c>
      <c r="M286" s="25">
        <v>4</v>
      </c>
      <c r="N286" s="25">
        <v>4</v>
      </c>
      <c r="R286" s="30">
        <f t="shared" si="528"/>
        <v>8</v>
      </c>
      <c r="S286" s="37">
        <v>1.2</v>
      </c>
      <c r="T286" s="30">
        <f t="shared" si="496"/>
        <v>15.085714285714285</v>
      </c>
      <c r="U286" s="37">
        <v>1.1000000000000001</v>
      </c>
      <c r="V286" s="30">
        <f t="shared" si="495"/>
        <v>20.289238095238101</v>
      </c>
      <c r="W286" s="25">
        <v>117</v>
      </c>
      <c r="X286" s="31">
        <f t="shared" si="529"/>
        <v>170</v>
      </c>
      <c r="Y286" s="25">
        <v>125</v>
      </c>
      <c r="Z286" s="25">
        <v>7</v>
      </c>
      <c r="AA286" s="25">
        <v>26</v>
      </c>
      <c r="AB286" s="37">
        <v>0.8</v>
      </c>
      <c r="AC286" s="30">
        <f t="shared" si="482"/>
        <v>80</v>
      </c>
      <c r="AD286" s="31">
        <f t="shared" si="530"/>
        <v>8</v>
      </c>
      <c r="AE286" s="31" t="str">
        <f t="shared" si="531"/>
        <v/>
      </c>
      <c r="AF286" s="31" t="str">
        <f t="shared" si="532"/>
        <v/>
      </c>
      <c r="AG286" s="31" t="str">
        <f t="shared" si="533"/>
        <v/>
      </c>
      <c r="AH286" s="31" t="str">
        <f t="shared" si="534"/>
        <v/>
      </c>
      <c r="AI286" s="31" t="str">
        <f t="shared" si="535"/>
        <v/>
      </c>
      <c r="AJ286" s="25">
        <v>8</v>
      </c>
      <c r="AK286" s="25">
        <v>0</v>
      </c>
      <c r="AL286" s="25">
        <v>0</v>
      </c>
      <c r="AM286" s="23" t="s">
        <v>208</v>
      </c>
      <c r="AN286" s="23" t="s">
        <v>92</v>
      </c>
      <c r="AO286" s="25" t="s">
        <v>112</v>
      </c>
      <c r="AR286" s="32" t="str">
        <f t="shared" si="536"/>
        <v>2 doors</v>
      </c>
      <c r="AT286" s="23" t="s">
        <v>48</v>
      </c>
      <c r="AU286" s="23" t="str">
        <f t="shared" si="527"/>
        <v>Hungary</v>
      </c>
      <c r="AV286" s="34">
        <f t="shared" si="537"/>
        <v>7040.01</v>
      </c>
      <c r="AW286" s="23">
        <v>70</v>
      </c>
      <c r="AX286" s="23">
        <v>40</v>
      </c>
      <c r="AY286" s="23">
        <v>1</v>
      </c>
    </row>
    <row r="287" spans="1:51">
      <c r="A287" s="25" t="s">
        <v>118</v>
      </c>
      <c r="D287" s="23">
        <v>2</v>
      </c>
      <c r="E287" s="25" t="s">
        <v>30</v>
      </c>
      <c r="F287" s="25" t="s">
        <v>302</v>
      </c>
      <c r="G287" s="23" t="s">
        <v>27</v>
      </c>
      <c r="H287" s="23" t="s">
        <v>200</v>
      </c>
      <c r="I287" s="25">
        <v>1993</v>
      </c>
      <c r="J287" s="35">
        <v>30</v>
      </c>
      <c r="K287" s="35">
        <v>40</v>
      </c>
      <c r="L287" s="35">
        <v>20</v>
      </c>
      <c r="M287" s="25">
        <v>14</v>
      </c>
      <c r="N287" s="25">
        <v>12</v>
      </c>
      <c r="R287" s="30">
        <f t="shared" si="528"/>
        <v>26</v>
      </c>
      <c r="S287" s="37">
        <v>1</v>
      </c>
      <c r="T287" s="30">
        <f t="shared" si="496"/>
        <v>23.361142857142859</v>
      </c>
      <c r="U287" s="37">
        <v>1</v>
      </c>
      <c r="V287" s="30">
        <f t="shared" si="495"/>
        <v>34.591809523809523</v>
      </c>
      <c r="W287" s="25">
        <v>112</v>
      </c>
      <c r="X287" s="31">
        <f t="shared" si="529"/>
        <v>310.08000000000004</v>
      </c>
      <c r="Y287" s="25">
        <v>228</v>
      </c>
      <c r="Z287" s="25">
        <v>12</v>
      </c>
      <c r="AA287" s="25">
        <v>79</v>
      </c>
      <c r="AB287" s="37">
        <v>1</v>
      </c>
      <c r="AC287" s="30">
        <f t="shared" si="482"/>
        <v>185</v>
      </c>
      <c r="AD287" s="31">
        <f t="shared" si="530"/>
        <v>3</v>
      </c>
      <c r="AE287" s="31">
        <f t="shared" si="531"/>
        <v>8</v>
      </c>
      <c r="AF287" s="31" t="str">
        <f t="shared" si="532"/>
        <v/>
      </c>
      <c r="AG287" s="31" t="str">
        <f t="shared" si="533"/>
        <v/>
      </c>
      <c r="AH287" s="31" t="str">
        <f t="shared" si="534"/>
        <v/>
      </c>
      <c r="AI287" s="31" t="str">
        <f t="shared" si="535"/>
        <v/>
      </c>
      <c r="AJ287" s="25">
        <v>11</v>
      </c>
      <c r="AK287" s="25">
        <v>0</v>
      </c>
      <c r="AL287" s="25">
        <v>0</v>
      </c>
      <c r="AM287" s="23" t="s">
        <v>208</v>
      </c>
      <c r="AN287" s="23" t="s">
        <v>92</v>
      </c>
      <c r="AO287" s="25" t="s">
        <v>118</v>
      </c>
      <c r="AR287" s="32" t="str">
        <f t="shared" si="536"/>
        <v>2 doors</v>
      </c>
      <c r="AT287" s="23" t="s">
        <v>33</v>
      </c>
      <c r="AU287" s="23" t="str">
        <f t="shared" si="527"/>
        <v>CC</v>
      </c>
      <c r="AV287" s="34">
        <f t="shared" si="537"/>
        <v>7100</v>
      </c>
      <c r="AW287" s="23">
        <v>71</v>
      </c>
      <c r="AX287" s="23">
        <v>0</v>
      </c>
      <c r="AY287" s="23">
        <v>0</v>
      </c>
    </row>
    <row r="288" spans="1:51">
      <c r="A288" s="25" t="s">
        <v>118</v>
      </c>
      <c r="D288" s="23">
        <v>2</v>
      </c>
      <c r="E288" s="25" t="s">
        <v>42</v>
      </c>
      <c r="F288" s="25" t="s">
        <v>302</v>
      </c>
      <c r="G288" s="23" t="s">
        <v>27</v>
      </c>
      <c r="H288" s="23" t="s">
        <v>200</v>
      </c>
      <c r="I288" s="25">
        <v>1993</v>
      </c>
      <c r="J288" s="35">
        <v>30</v>
      </c>
      <c r="K288" s="35">
        <v>40</v>
      </c>
      <c r="L288" s="35">
        <v>20</v>
      </c>
      <c r="M288" s="25">
        <v>14</v>
      </c>
      <c r="N288" s="25">
        <v>12</v>
      </c>
      <c r="R288" s="30">
        <f t="shared" si="528"/>
        <v>26</v>
      </c>
      <c r="S288" s="37">
        <v>1</v>
      </c>
      <c r="T288" s="30">
        <f t="shared" si="496"/>
        <v>23.361142857142859</v>
      </c>
      <c r="U288" s="37">
        <v>1</v>
      </c>
      <c r="V288" s="30">
        <f t="shared" si="495"/>
        <v>34.591809523809523</v>
      </c>
      <c r="W288" s="25">
        <v>112</v>
      </c>
      <c r="X288" s="31">
        <f t="shared" si="529"/>
        <v>310.08000000000004</v>
      </c>
      <c r="Y288" s="25">
        <v>228</v>
      </c>
      <c r="Z288" s="25">
        <v>12</v>
      </c>
      <c r="AA288" s="25">
        <v>79</v>
      </c>
      <c r="AB288" s="37">
        <v>1</v>
      </c>
      <c r="AC288" s="30">
        <f t="shared" ref="AC288:AC332" si="538">AB288*IF(AT288="Regional", 185, IF(AT288="Intercity", 150, IF(AT288="Tourist", 100, 200)))</f>
        <v>185</v>
      </c>
      <c r="AD288" s="31">
        <f t="shared" si="530"/>
        <v>3</v>
      </c>
      <c r="AE288" s="31">
        <f t="shared" si="531"/>
        <v>8</v>
      </c>
      <c r="AF288" s="31" t="str">
        <f t="shared" si="532"/>
        <v/>
      </c>
      <c r="AG288" s="31" t="str">
        <f t="shared" si="533"/>
        <v/>
      </c>
      <c r="AH288" s="31" t="str">
        <f t="shared" si="534"/>
        <v/>
      </c>
      <c r="AI288" s="31" t="str">
        <f t="shared" si="535"/>
        <v/>
      </c>
      <c r="AJ288" s="25">
        <v>11</v>
      </c>
      <c r="AK288" s="25">
        <v>0</v>
      </c>
      <c r="AL288" s="25">
        <v>0</v>
      </c>
      <c r="AM288" s="23" t="s">
        <v>208</v>
      </c>
      <c r="AN288" s="23" t="s">
        <v>92</v>
      </c>
      <c r="AO288" s="25" t="s">
        <v>118</v>
      </c>
      <c r="AR288" s="32" t="str">
        <f t="shared" si="536"/>
        <v>2 doors</v>
      </c>
      <c r="AT288" s="23" t="s">
        <v>33</v>
      </c>
      <c r="AU288" s="23" t="str">
        <f t="shared" si="527"/>
        <v>CC</v>
      </c>
      <c r="AV288" s="34">
        <f t="shared" si="537"/>
        <v>7100.01</v>
      </c>
      <c r="AW288" s="23">
        <v>71</v>
      </c>
      <c r="AX288" s="23">
        <v>0</v>
      </c>
      <c r="AY288" s="23">
        <v>1</v>
      </c>
    </row>
    <row r="289" spans="1:51">
      <c r="A289" s="25" t="s">
        <v>118</v>
      </c>
      <c r="D289" s="23">
        <v>2</v>
      </c>
      <c r="E289" s="25" t="s">
        <v>46</v>
      </c>
      <c r="F289" s="25" t="s">
        <v>46</v>
      </c>
      <c r="G289" s="23" t="s">
        <v>27</v>
      </c>
      <c r="H289" s="23" t="s">
        <v>200</v>
      </c>
      <c r="I289" s="25">
        <v>1993</v>
      </c>
      <c r="J289" s="35">
        <v>30</v>
      </c>
      <c r="K289" s="35">
        <v>40</v>
      </c>
      <c r="L289" s="35">
        <v>20</v>
      </c>
      <c r="M289" s="25">
        <v>14</v>
      </c>
      <c r="N289" s="25">
        <v>12</v>
      </c>
      <c r="R289" s="30">
        <f t="shared" si="528"/>
        <v>26</v>
      </c>
      <c r="S289" s="37">
        <v>1</v>
      </c>
      <c r="T289" s="30">
        <f t="shared" si="496"/>
        <v>23.361142857142859</v>
      </c>
      <c r="U289" s="37">
        <v>1</v>
      </c>
      <c r="V289" s="30">
        <f t="shared" si="495"/>
        <v>34.591809523809523</v>
      </c>
      <c r="W289" s="25">
        <v>112</v>
      </c>
      <c r="X289" s="31">
        <f t="shared" si="529"/>
        <v>310.08000000000004</v>
      </c>
      <c r="Y289" s="25">
        <v>228</v>
      </c>
      <c r="Z289" s="25">
        <v>12</v>
      </c>
      <c r="AA289" s="25">
        <v>79</v>
      </c>
      <c r="AB289" s="37">
        <v>1</v>
      </c>
      <c r="AC289" s="30">
        <f t="shared" si="538"/>
        <v>185</v>
      </c>
      <c r="AD289" s="31">
        <f t="shared" si="530"/>
        <v>3</v>
      </c>
      <c r="AE289" s="31">
        <f t="shared" si="531"/>
        <v>8</v>
      </c>
      <c r="AF289" s="31" t="str">
        <f t="shared" si="532"/>
        <v/>
      </c>
      <c r="AG289" s="31" t="str">
        <f t="shared" si="533"/>
        <v/>
      </c>
      <c r="AH289" s="31" t="str">
        <f t="shared" si="534"/>
        <v/>
      </c>
      <c r="AI289" s="31" t="str">
        <f t="shared" si="535"/>
        <v/>
      </c>
      <c r="AJ289" s="25">
        <v>11</v>
      </c>
      <c r="AK289" s="25">
        <v>0</v>
      </c>
      <c r="AL289" s="25">
        <v>0</v>
      </c>
      <c r="AM289" s="23" t="s">
        <v>208</v>
      </c>
      <c r="AN289" s="23" t="s">
        <v>92</v>
      </c>
      <c r="AO289" s="25" t="s">
        <v>118</v>
      </c>
      <c r="AR289" s="32" t="str">
        <f t="shared" si="536"/>
        <v>2 doors</v>
      </c>
      <c r="AT289" s="23" t="s">
        <v>33</v>
      </c>
      <c r="AU289" s="23" t="str">
        <f t="shared" si="527"/>
        <v>Hungary</v>
      </c>
      <c r="AV289" s="34">
        <f t="shared" si="537"/>
        <v>7100.02</v>
      </c>
      <c r="AW289" s="23">
        <v>71</v>
      </c>
      <c r="AX289" s="23">
        <v>0</v>
      </c>
      <c r="AY289" s="23">
        <v>2</v>
      </c>
    </row>
    <row r="290" spans="1:51">
      <c r="A290" s="25" t="s">
        <v>118</v>
      </c>
      <c r="C290" s="23" t="s">
        <v>130</v>
      </c>
      <c r="D290" s="23">
        <v>2</v>
      </c>
      <c r="E290" s="25" t="s">
        <v>30</v>
      </c>
      <c r="F290" s="25" t="s">
        <v>302</v>
      </c>
      <c r="G290" s="23" t="s">
        <v>27</v>
      </c>
      <c r="H290" s="23" t="s">
        <v>201</v>
      </c>
      <c r="I290" s="25">
        <v>1993</v>
      </c>
      <c r="J290" s="35">
        <v>30</v>
      </c>
      <c r="K290" s="35">
        <v>40</v>
      </c>
      <c r="L290" s="35">
        <v>20</v>
      </c>
      <c r="M290" s="25">
        <v>14</v>
      </c>
      <c r="N290" s="25">
        <v>12</v>
      </c>
      <c r="R290" s="30">
        <f t="shared" si="528"/>
        <v>26</v>
      </c>
      <c r="S290" s="37">
        <v>1.2</v>
      </c>
      <c r="T290" s="30">
        <f t="shared" si="496"/>
        <v>28.033371428571431</v>
      </c>
      <c r="U290" s="37">
        <v>1.1000000000000001</v>
      </c>
      <c r="V290" s="30">
        <f t="shared" si="495"/>
        <v>38.050990476190478</v>
      </c>
      <c r="W290" s="25">
        <v>112</v>
      </c>
      <c r="X290" s="31">
        <f t="shared" si="529"/>
        <v>310.08000000000004</v>
      </c>
      <c r="Y290" s="25">
        <v>228</v>
      </c>
      <c r="Z290" s="25">
        <v>12</v>
      </c>
      <c r="AA290" s="25">
        <v>79</v>
      </c>
      <c r="AB290" s="37">
        <v>0.8</v>
      </c>
      <c r="AC290" s="30">
        <f t="shared" si="538"/>
        <v>148</v>
      </c>
      <c r="AD290" s="31">
        <f t="shared" si="530"/>
        <v>3</v>
      </c>
      <c r="AE290" s="31">
        <f t="shared" si="531"/>
        <v>8</v>
      </c>
      <c r="AF290" s="31" t="str">
        <f t="shared" si="532"/>
        <v/>
      </c>
      <c r="AG290" s="31" t="str">
        <f t="shared" si="533"/>
        <v/>
      </c>
      <c r="AH290" s="31" t="str">
        <f t="shared" si="534"/>
        <v/>
      </c>
      <c r="AI290" s="31" t="str">
        <f t="shared" si="535"/>
        <v/>
      </c>
      <c r="AJ290" s="25">
        <v>11</v>
      </c>
      <c r="AK290" s="25">
        <v>0</v>
      </c>
      <c r="AL290" s="25">
        <v>0</v>
      </c>
      <c r="AM290" s="23" t="s">
        <v>208</v>
      </c>
      <c r="AN290" s="23" t="s">
        <v>92</v>
      </c>
      <c r="AO290" s="25" t="s">
        <v>118</v>
      </c>
      <c r="AR290" s="32" t="str">
        <f t="shared" si="536"/>
        <v>2 doors</v>
      </c>
      <c r="AT290" s="23" t="s">
        <v>33</v>
      </c>
      <c r="AU290" s="23" t="str">
        <f t="shared" si="527"/>
        <v>CC</v>
      </c>
      <c r="AV290" s="34">
        <f t="shared" si="537"/>
        <v>7130</v>
      </c>
      <c r="AW290" s="23">
        <v>71</v>
      </c>
      <c r="AX290" s="23">
        <v>30</v>
      </c>
      <c r="AY290" s="23">
        <v>0</v>
      </c>
    </row>
    <row r="291" spans="1:51">
      <c r="A291" s="25" t="s">
        <v>118</v>
      </c>
      <c r="C291" s="23" t="s">
        <v>130</v>
      </c>
      <c r="D291" s="23">
        <v>2</v>
      </c>
      <c r="E291" s="25" t="s">
        <v>42</v>
      </c>
      <c r="F291" s="25" t="s">
        <v>302</v>
      </c>
      <c r="G291" s="23" t="s">
        <v>27</v>
      </c>
      <c r="H291" s="23" t="s">
        <v>201</v>
      </c>
      <c r="I291" s="25">
        <v>1993</v>
      </c>
      <c r="J291" s="35">
        <v>30</v>
      </c>
      <c r="K291" s="35">
        <v>40</v>
      </c>
      <c r="L291" s="35">
        <v>20</v>
      </c>
      <c r="M291" s="25">
        <v>14</v>
      </c>
      <c r="N291" s="25">
        <v>12</v>
      </c>
      <c r="R291" s="30">
        <f t="shared" si="528"/>
        <v>26</v>
      </c>
      <c r="S291" s="37">
        <v>1.2</v>
      </c>
      <c r="T291" s="30">
        <f t="shared" si="496"/>
        <v>28.033371428571431</v>
      </c>
      <c r="U291" s="37">
        <v>1.1000000000000001</v>
      </c>
      <c r="V291" s="30">
        <f t="shared" si="495"/>
        <v>38.050990476190478</v>
      </c>
      <c r="W291" s="25">
        <v>112</v>
      </c>
      <c r="X291" s="31">
        <f t="shared" si="529"/>
        <v>310.08000000000004</v>
      </c>
      <c r="Y291" s="25">
        <v>228</v>
      </c>
      <c r="Z291" s="25">
        <v>12</v>
      </c>
      <c r="AA291" s="25">
        <v>79</v>
      </c>
      <c r="AB291" s="37">
        <v>0.8</v>
      </c>
      <c r="AC291" s="30">
        <f t="shared" si="538"/>
        <v>148</v>
      </c>
      <c r="AD291" s="31">
        <f t="shared" si="530"/>
        <v>3</v>
      </c>
      <c r="AE291" s="31">
        <f t="shared" si="531"/>
        <v>8</v>
      </c>
      <c r="AF291" s="31" t="str">
        <f t="shared" si="532"/>
        <v/>
      </c>
      <c r="AG291" s="31" t="str">
        <f t="shared" si="533"/>
        <v/>
      </c>
      <c r="AH291" s="31" t="str">
        <f t="shared" si="534"/>
        <v/>
      </c>
      <c r="AI291" s="31" t="str">
        <f t="shared" si="535"/>
        <v/>
      </c>
      <c r="AJ291" s="25">
        <v>11</v>
      </c>
      <c r="AK291" s="25">
        <v>0</v>
      </c>
      <c r="AL291" s="25">
        <v>0</v>
      </c>
      <c r="AM291" s="23" t="s">
        <v>208</v>
      </c>
      <c r="AN291" s="23" t="s">
        <v>92</v>
      </c>
      <c r="AO291" s="25" t="s">
        <v>118</v>
      </c>
      <c r="AR291" s="32" t="str">
        <f t="shared" si="536"/>
        <v>2 doors</v>
      </c>
      <c r="AT291" s="23" t="s">
        <v>33</v>
      </c>
      <c r="AU291" s="23" t="str">
        <f t="shared" si="527"/>
        <v>CC</v>
      </c>
      <c r="AV291" s="34">
        <f t="shared" si="537"/>
        <v>7130.01</v>
      </c>
      <c r="AW291" s="23">
        <v>71</v>
      </c>
      <c r="AX291" s="23">
        <v>30</v>
      </c>
      <c r="AY291" s="23">
        <v>1</v>
      </c>
    </row>
    <row r="292" spans="1:51">
      <c r="A292" s="25" t="s">
        <v>118</v>
      </c>
      <c r="C292" s="23" t="s">
        <v>130</v>
      </c>
      <c r="D292" s="23">
        <v>2</v>
      </c>
      <c r="E292" s="25" t="s">
        <v>46</v>
      </c>
      <c r="F292" s="25" t="s">
        <v>46</v>
      </c>
      <c r="G292" s="23" t="s">
        <v>27</v>
      </c>
      <c r="H292" s="23" t="s">
        <v>201</v>
      </c>
      <c r="I292" s="25">
        <v>1993</v>
      </c>
      <c r="J292" s="35">
        <v>30</v>
      </c>
      <c r="K292" s="35">
        <v>40</v>
      </c>
      <c r="L292" s="35">
        <v>20</v>
      </c>
      <c r="M292" s="25">
        <v>14</v>
      </c>
      <c r="N292" s="25">
        <v>12</v>
      </c>
      <c r="R292" s="30">
        <f t="shared" si="528"/>
        <v>26</v>
      </c>
      <c r="S292" s="37">
        <v>1.2</v>
      </c>
      <c r="T292" s="30">
        <f t="shared" si="496"/>
        <v>28.033371428571431</v>
      </c>
      <c r="U292" s="37">
        <v>1.1000000000000001</v>
      </c>
      <c r="V292" s="30">
        <f t="shared" si="495"/>
        <v>38.050990476190478</v>
      </c>
      <c r="W292" s="25">
        <v>112</v>
      </c>
      <c r="X292" s="31">
        <f t="shared" si="529"/>
        <v>310.08000000000004</v>
      </c>
      <c r="Y292" s="25">
        <v>228</v>
      </c>
      <c r="Z292" s="25">
        <v>12</v>
      </c>
      <c r="AA292" s="25">
        <v>79</v>
      </c>
      <c r="AB292" s="37">
        <v>0.8</v>
      </c>
      <c r="AC292" s="30">
        <f t="shared" si="538"/>
        <v>148</v>
      </c>
      <c r="AD292" s="31">
        <f t="shared" si="530"/>
        <v>3</v>
      </c>
      <c r="AE292" s="31">
        <f t="shared" si="531"/>
        <v>8</v>
      </c>
      <c r="AF292" s="31" t="str">
        <f t="shared" si="532"/>
        <v/>
      </c>
      <c r="AG292" s="31" t="str">
        <f t="shared" si="533"/>
        <v/>
      </c>
      <c r="AH292" s="31" t="str">
        <f t="shared" si="534"/>
        <v/>
      </c>
      <c r="AI292" s="31" t="str">
        <f t="shared" si="535"/>
        <v/>
      </c>
      <c r="AJ292" s="25">
        <v>11</v>
      </c>
      <c r="AK292" s="25">
        <v>0</v>
      </c>
      <c r="AL292" s="25">
        <v>0</v>
      </c>
      <c r="AM292" s="23" t="s">
        <v>208</v>
      </c>
      <c r="AN292" s="23" t="s">
        <v>92</v>
      </c>
      <c r="AO292" s="25" t="s">
        <v>118</v>
      </c>
      <c r="AR292" s="32" t="str">
        <f t="shared" si="536"/>
        <v>2 doors</v>
      </c>
      <c r="AT292" s="23" t="s">
        <v>33</v>
      </c>
      <c r="AU292" s="23" t="str">
        <f t="shared" si="527"/>
        <v>Hungary</v>
      </c>
      <c r="AV292" s="34">
        <f t="shared" si="537"/>
        <v>7130.02</v>
      </c>
      <c r="AW292" s="23">
        <v>71</v>
      </c>
      <c r="AX292" s="23">
        <v>30</v>
      </c>
      <c r="AY292" s="23">
        <v>2</v>
      </c>
    </row>
    <row r="293" spans="1:51">
      <c r="A293" s="25" t="s">
        <v>115</v>
      </c>
      <c r="D293" s="23">
        <v>2</v>
      </c>
      <c r="E293" s="25" t="s">
        <v>30</v>
      </c>
      <c r="F293" s="25" t="s">
        <v>302</v>
      </c>
      <c r="G293" s="23" t="s">
        <v>27</v>
      </c>
      <c r="H293" s="23" t="s">
        <v>197</v>
      </c>
      <c r="I293" s="25">
        <v>2001</v>
      </c>
      <c r="J293" s="35">
        <v>30</v>
      </c>
      <c r="K293" s="35">
        <v>40</v>
      </c>
      <c r="L293" s="35">
        <v>20</v>
      </c>
      <c r="M293" s="25">
        <v>14</v>
      </c>
      <c r="N293" s="25">
        <v>14</v>
      </c>
      <c r="R293" s="30">
        <f t="shared" si="528"/>
        <v>28</v>
      </c>
      <c r="S293" s="37">
        <v>1.2</v>
      </c>
      <c r="T293" s="30">
        <f t="shared" si="496"/>
        <v>22.219200000000001</v>
      </c>
      <c r="U293" s="37">
        <v>1.1000000000000001</v>
      </c>
      <c r="V293" s="30">
        <f t="shared" si="495"/>
        <v>28.18053333333334</v>
      </c>
      <c r="W293" s="25">
        <v>98</v>
      </c>
      <c r="X293" s="31">
        <f t="shared" si="529"/>
        <v>220.32000000000002</v>
      </c>
      <c r="Y293" s="25">
        <v>162</v>
      </c>
      <c r="Z293" s="25">
        <v>11</v>
      </c>
      <c r="AA293" s="25">
        <v>73</v>
      </c>
      <c r="AB293" s="37">
        <v>0.8</v>
      </c>
      <c r="AC293" s="30">
        <f t="shared" si="538"/>
        <v>148</v>
      </c>
      <c r="AD293" s="31">
        <f t="shared" si="530"/>
        <v>3</v>
      </c>
      <c r="AE293" s="31">
        <f t="shared" si="531"/>
        <v>8</v>
      </c>
      <c r="AF293" s="31" t="str">
        <f t="shared" si="532"/>
        <v/>
      </c>
      <c r="AG293" s="31" t="str">
        <f t="shared" si="533"/>
        <v/>
      </c>
      <c r="AH293" s="31" t="str">
        <f t="shared" si="534"/>
        <v/>
      </c>
      <c r="AI293" s="31" t="str">
        <f t="shared" si="535"/>
        <v/>
      </c>
      <c r="AJ293" s="25">
        <v>11</v>
      </c>
      <c r="AK293" s="25">
        <v>0</v>
      </c>
      <c r="AL293" s="25">
        <v>0</v>
      </c>
      <c r="AM293" s="23" t="s">
        <v>208</v>
      </c>
      <c r="AN293" s="23" t="s">
        <v>92</v>
      </c>
      <c r="AO293" s="25" t="s">
        <v>118</v>
      </c>
      <c r="AP293" s="28" t="s">
        <v>209</v>
      </c>
      <c r="AR293" s="32" t="str">
        <f t="shared" si="536"/>
        <v>2 doors</v>
      </c>
      <c r="AT293" s="23" t="s">
        <v>33</v>
      </c>
      <c r="AU293" s="23" t="str">
        <f t="shared" si="527"/>
        <v>CC</v>
      </c>
      <c r="AV293" s="34">
        <f t="shared" si="537"/>
        <v>7150</v>
      </c>
      <c r="AW293" s="23">
        <v>71</v>
      </c>
      <c r="AX293" s="23">
        <v>50</v>
      </c>
      <c r="AY293" s="23">
        <v>0</v>
      </c>
    </row>
    <row r="294" spans="1:51">
      <c r="A294" s="25" t="s">
        <v>115</v>
      </c>
      <c r="D294" s="23">
        <v>2</v>
      </c>
      <c r="E294" s="25" t="s">
        <v>46</v>
      </c>
      <c r="F294" s="25" t="s">
        <v>46</v>
      </c>
      <c r="G294" s="23" t="s">
        <v>27</v>
      </c>
      <c r="H294" s="23" t="s">
        <v>197</v>
      </c>
      <c r="I294" s="25">
        <v>2001</v>
      </c>
      <c r="J294" s="35">
        <v>30</v>
      </c>
      <c r="K294" s="35">
        <v>40</v>
      </c>
      <c r="L294" s="35">
        <v>20</v>
      </c>
      <c r="M294" s="25">
        <v>14</v>
      </c>
      <c r="N294" s="25">
        <v>14</v>
      </c>
      <c r="R294" s="30">
        <f t="shared" si="528"/>
        <v>28</v>
      </c>
      <c r="S294" s="37">
        <v>1.2</v>
      </c>
      <c r="T294" s="30">
        <f t="shared" si="496"/>
        <v>22.219200000000001</v>
      </c>
      <c r="U294" s="37">
        <v>1.1000000000000001</v>
      </c>
      <c r="V294" s="30">
        <f t="shared" si="495"/>
        <v>28.18053333333334</v>
      </c>
      <c r="W294" s="25">
        <v>98</v>
      </c>
      <c r="X294" s="31">
        <f t="shared" si="529"/>
        <v>220.32000000000002</v>
      </c>
      <c r="Y294" s="25">
        <v>162</v>
      </c>
      <c r="Z294" s="25">
        <v>11</v>
      </c>
      <c r="AA294" s="25">
        <v>73</v>
      </c>
      <c r="AB294" s="37">
        <v>0.8</v>
      </c>
      <c r="AC294" s="30">
        <f t="shared" si="538"/>
        <v>148</v>
      </c>
      <c r="AD294" s="31">
        <f t="shared" si="530"/>
        <v>3</v>
      </c>
      <c r="AE294" s="31">
        <f t="shared" si="531"/>
        <v>8</v>
      </c>
      <c r="AF294" s="31" t="str">
        <f t="shared" si="532"/>
        <v/>
      </c>
      <c r="AG294" s="31" t="str">
        <f t="shared" si="533"/>
        <v/>
      </c>
      <c r="AH294" s="31" t="str">
        <f t="shared" si="534"/>
        <v/>
      </c>
      <c r="AI294" s="31" t="str">
        <f t="shared" si="535"/>
        <v/>
      </c>
      <c r="AJ294" s="25">
        <v>11</v>
      </c>
      <c r="AK294" s="25">
        <v>0</v>
      </c>
      <c r="AL294" s="25">
        <v>0</v>
      </c>
      <c r="AM294" s="23" t="s">
        <v>208</v>
      </c>
      <c r="AN294" s="23" t="s">
        <v>92</v>
      </c>
      <c r="AO294" s="25" t="s">
        <v>118</v>
      </c>
      <c r="AP294" s="28" t="s">
        <v>209</v>
      </c>
      <c r="AR294" s="32" t="str">
        <f t="shared" si="536"/>
        <v>2 doors</v>
      </c>
      <c r="AT294" s="23" t="s">
        <v>33</v>
      </c>
      <c r="AU294" s="23" t="str">
        <f t="shared" si="527"/>
        <v>Hungary</v>
      </c>
      <c r="AV294" s="34">
        <f t="shared" si="537"/>
        <v>7150.01</v>
      </c>
      <c r="AW294" s="23">
        <v>71</v>
      </c>
      <c r="AX294" s="23">
        <v>50</v>
      </c>
      <c r="AY294" s="23">
        <v>1</v>
      </c>
    </row>
    <row r="295" spans="1:51">
      <c r="A295" s="25" t="s">
        <v>117</v>
      </c>
      <c r="D295" s="23">
        <v>3</v>
      </c>
      <c r="E295" s="25" t="s">
        <v>30</v>
      </c>
      <c r="F295" s="25" t="s">
        <v>302</v>
      </c>
      <c r="G295" s="23" t="s">
        <v>27</v>
      </c>
      <c r="H295" s="23" t="s">
        <v>199</v>
      </c>
      <c r="I295" s="25">
        <v>2006</v>
      </c>
      <c r="J295" s="35">
        <v>30</v>
      </c>
      <c r="K295" s="35">
        <v>40</v>
      </c>
      <c r="L295" s="35">
        <v>20</v>
      </c>
      <c r="M295" s="25">
        <v>14</v>
      </c>
      <c r="N295" s="25">
        <v>14</v>
      </c>
      <c r="O295" s="25">
        <v>7</v>
      </c>
      <c r="R295" s="30">
        <f t="shared" si="528"/>
        <v>35</v>
      </c>
      <c r="S295" s="37">
        <v>1.2</v>
      </c>
      <c r="T295" s="30">
        <f t="shared" si="496"/>
        <v>32.832000000000001</v>
      </c>
      <c r="U295" s="37">
        <v>1.1000000000000001</v>
      </c>
      <c r="V295" s="30">
        <f t="shared" si="495"/>
        <v>45.510666666666673</v>
      </c>
      <c r="W295" s="25">
        <v>104</v>
      </c>
      <c r="X295" s="31">
        <f t="shared" si="529"/>
        <v>367.20000000000005</v>
      </c>
      <c r="Y295" s="25">
        <v>270</v>
      </c>
      <c r="Z295" s="25">
        <v>13</v>
      </c>
      <c r="AA295" s="25">
        <v>128</v>
      </c>
      <c r="AB295" s="37">
        <v>0.8</v>
      </c>
      <c r="AC295" s="30">
        <f t="shared" si="538"/>
        <v>148</v>
      </c>
      <c r="AD295" s="31">
        <f t="shared" si="530"/>
        <v>5</v>
      </c>
      <c r="AE295" s="31">
        <f t="shared" si="531"/>
        <v>8</v>
      </c>
      <c r="AF295" s="31" t="str">
        <f t="shared" si="532"/>
        <v/>
      </c>
      <c r="AG295" s="31" t="str">
        <f t="shared" si="533"/>
        <v/>
      </c>
      <c r="AH295" s="31" t="str">
        <f t="shared" si="534"/>
        <v/>
      </c>
      <c r="AI295" s="31" t="str">
        <f t="shared" si="535"/>
        <v/>
      </c>
      <c r="AJ295" s="25">
        <v>13</v>
      </c>
      <c r="AK295" s="25">
        <v>0</v>
      </c>
      <c r="AL295" s="25">
        <v>0</v>
      </c>
      <c r="AM295" s="23" t="s">
        <v>208</v>
      </c>
      <c r="AN295" s="23" t="s">
        <v>92</v>
      </c>
      <c r="AO295" s="25" t="s">
        <v>227</v>
      </c>
      <c r="AP295" s="28" t="s">
        <v>209</v>
      </c>
      <c r="AR295" s="32" t="str">
        <f t="shared" si="536"/>
        <v>3 doors</v>
      </c>
      <c r="AT295" s="23" t="s">
        <v>33</v>
      </c>
      <c r="AU295" s="23" t="str">
        <f t="shared" si="527"/>
        <v>CC</v>
      </c>
      <c r="AV295" s="34">
        <f t="shared" si="537"/>
        <v>7170</v>
      </c>
      <c r="AW295" s="23">
        <v>71</v>
      </c>
      <c r="AX295" s="23">
        <v>70</v>
      </c>
      <c r="AY295" s="23">
        <v>0</v>
      </c>
    </row>
    <row r="296" spans="1:51">
      <c r="A296" s="25" t="s">
        <v>117</v>
      </c>
      <c r="D296" s="23">
        <v>3</v>
      </c>
      <c r="E296" s="25" t="s">
        <v>46</v>
      </c>
      <c r="F296" s="25" t="s">
        <v>46</v>
      </c>
      <c r="G296" s="23" t="s">
        <v>27</v>
      </c>
      <c r="H296" s="23" t="s">
        <v>199</v>
      </c>
      <c r="I296" s="25">
        <v>2006</v>
      </c>
      <c r="J296" s="35">
        <v>30</v>
      </c>
      <c r="K296" s="35">
        <v>40</v>
      </c>
      <c r="L296" s="35">
        <v>20</v>
      </c>
      <c r="M296" s="25">
        <v>14</v>
      </c>
      <c r="N296" s="25">
        <v>14</v>
      </c>
      <c r="O296" s="25">
        <v>7</v>
      </c>
      <c r="R296" s="30">
        <f t="shared" si="528"/>
        <v>35</v>
      </c>
      <c r="S296" s="37">
        <v>1.2</v>
      </c>
      <c r="T296" s="30">
        <f t="shared" si="496"/>
        <v>32.832000000000001</v>
      </c>
      <c r="U296" s="37">
        <v>1.1000000000000001</v>
      </c>
      <c r="V296" s="30">
        <f t="shared" si="495"/>
        <v>45.510666666666673</v>
      </c>
      <c r="W296" s="25">
        <v>104</v>
      </c>
      <c r="X296" s="31">
        <f t="shared" si="529"/>
        <v>367.20000000000005</v>
      </c>
      <c r="Y296" s="25">
        <v>270</v>
      </c>
      <c r="Z296" s="25">
        <v>13</v>
      </c>
      <c r="AA296" s="25">
        <v>128</v>
      </c>
      <c r="AB296" s="37">
        <v>0.8</v>
      </c>
      <c r="AC296" s="30">
        <f t="shared" si="538"/>
        <v>148</v>
      </c>
      <c r="AD296" s="31">
        <f t="shared" si="530"/>
        <v>5</v>
      </c>
      <c r="AE296" s="31">
        <f t="shared" si="531"/>
        <v>8</v>
      </c>
      <c r="AF296" s="31" t="str">
        <f t="shared" si="532"/>
        <v/>
      </c>
      <c r="AG296" s="31" t="str">
        <f t="shared" si="533"/>
        <v/>
      </c>
      <c r="AH296" s="31" t="str">
        <f t="shared" si="534"/>
        <v/>
      </c>
      <c r="AI296" s="31" t="str">
        <f t="shared" si="535"/>
        <v/>
      </c>
      <c r="AJ296" s="25">
        <v>13</v>
      </c>
      <c r="AK296" s="25">
        <v>0</v>
      </c>
      <c r="AL296" s="25">
        <v>0</v>
      </c>
      <c r="AM296" s="23" t="s">
        <v>208</v>
      </c>
      <c r="AN296" s="23" t="s">
        <v>92</v>
      </c>
      <c r="AO296" s="25" t="s">
        <v>227</v>
      </c>
      <c r="AP296" s="28" t="s">
        <v>209</v>
      </c>
      <c r="AR296" s="32" t="str">
        <f t="shared" si="536"/>
        <v>3 doors</v>
      </c>
      <c r="AT296" s="23" t="s">
        <v>33</v>
      </c>
      <c r="AU296" s="23" t="str">
        <f t="shared" si="527"/>
        <v>Hungary</v>
      </c>
      <c r="AV296" s="34">
        <f t="shared" si="537"/>
        <v>7170.01</v>
      </c>
      <c r="AW296" s="23">
        <v>71</v>
      </c>
      <c r="AX296" s="23">
        <v>70</v>
      </c>
      <c r="AY296" s="23">
        <v>1</v>
      </c>
    </row>
    <row r="297" spans="1:51">
      <c r="A297" s="25" t="s">
        <v>116</v>
      </c>
      <c r="D297" s="23">
        <v>3</v>
      </c>
      <c r="E297" s="25" t="s">
        <v>30</v>
      </c>
      <c r="F297" s="25" t="s">
        <v>302</v>
      </c>
      <c r="G297" s="23" t="s">
        <v>27</v>
      </c>
      <c r="H297" s="23" t="s">
        <v>198</v>
      </c>
      <c r="I297" s="25">
        <v>1997</v>
      </c>
      <c r="J297" s="35">
        <v>30</v>
      </c>
      <c r="K297" s="35">
        <v>40</v>
      </c>
      <c r="L297" s="35">
        <v>20</v>
      </c>
      <c r="M297" s="25">
        <v>12</v>
      </c>
      <c r="N297" s="25">
        <v>12</v>
      </c>
      <c r="O297" s="25">
        <v>12</v>
      </c>
      <c r="R297" s="30">
        <f t="shared" si="528"/>
        <v>36</v>
      </c>
      <c r="S297" s="37">
        <v>1.2</v>
      </c>
      <c r="T297" s="30">
        <f t="shared" si="496"/>
        <v>34.933714285714288</v>
      </c>
      <c r="U297" s="37">
        <v>1.1000000000000001</v>
      </c>
      <c r="V297" s="30">
        <f t="shared" si="495"/>
        <v>47.429904761904766</v>
      </c>
      <c r="W297" s="25">
        <v>94</v>
      </c>
      <c r="X297" s="31">
        <f t="shared" si="529"/>
        <v>380.8</v>
      </c>
      <c r="Y297" s="25">
        <v>280</v>
      </c>
      <c r="Z297" s="25">
        <v>15</v>
      </c>
      <c r="AA297" s="25">
        <v>145</v>
      </c>
      <c r="AB297" s="37">
        <v>0.8</v>
      </c>
      <c r="AC297" s="30">
        <f t="shared" si="538"/>
        <v>148</v>
      </c>
      <c r="AD297" s="31">
        <f t="shared" si="530"/>
        <v>2</v>
      </c>
      <c r="AE297" s="31">
        <f t="shared" si="531"/>
        <v>8</v>
      </c>
      <c r="AF297" s="31">
        <f t="shared" si="532"/>
        <v>7</v>
      </c>
      <c r="AG297" s="31" t="str">
        <f t="shared" si="533"/>
        <v/>
      </c>
      <c r="AH297" s="31" t="str">
        <f t="shared" si="534"/>
        <v/>
      </c>
      <c r="AI297" s="31" t="str">
        <f t="shared" si="535"/>
        <v/>
      </c>
      <c r="AJ297" s="25">
        <v>10</v>
      </c>
      <c r="AK297" s="25">
        <v>7</v>
      </c>
      <c r="AL297" s="25">
        <v>0</v>
      </c>
      <c r="AM297" s="23" t="s">
        <v>208</v>
      </c>
      <c r="AN297" s="23" t="s">
        <v>92</v>
      </c>
      <c r="AO297" s="25" t="s">
        <v>116</v>
      </c>
      <c r="AR297" s="32" t="str">
        <f t="shared" si="536"/>
        <v>3 doors</v>
      </c>
      <c r="AT297" s="23" t="s">
        <v>33</v>
      </c>
      <c r="AU297" s="23" t="str">
        <f t="shared" si="527"/>
        <v>CC</v>
      </c>
      <c r="AV297" s="34">
        <f t="shared" si="537"/>
        <v>7180</v>
      </c>
      <c r="AW297" s="23">
        <v>71</v>
      </c>
      <c r="AX297" s="23">
        <v>80</v>
      </c>
      <c r="AY297" s="23">
        <v>0</v>
      </c>
    </row>
    <row r="298" spans="1:51">
      <c r="A298" s="25" t="s">
        <v>116</v>
      </c>
      <c r="D298" s="23">
        <v>3</v>
      </c>
      <c r="E298" s="25" t="s">
        <v>46</v>
      </c>
      <c r="F298" s="25" t="s">
        <v>46</v>
      </c>
      <c r="G298" s="23" t="s">
        <v>27</v>
      </c>
      <c r="H298" s="23" t="s">
        <v>198</v>
      </c>
      <c r="I298" s="25">
        <v>1997</v>
      </c>
      <c r="J298" s="35">
        <v>30</v>
      </c>
      <c r="K298" s="35">
        <v>40</v>
      </c>
      <c r="L298" s="35">
        <v>20</v>
      </c>
      <c r="M298" s="25">
        <v>12</v>
      </c>
      <c r="N298" s="25">
        <v>12</v>
      </c>
      <c r="O298" s="25">
        <v>12</v>
      </c>
      <c r="R298" s="30">
        <f t="shared" si="528"/>
        <v>36</v>
      </c>
      <c r="S298" s="37">
        <v>1.2</v>
      </c>
      <c r="T298" s="30">
        <f t="shared" si="496"/>
        <v>34.933714285714288</v>
      </c>
      <c r="U298" s="37">
        <v>1.1000000000000001</v>
      </c>
      <c r="V298" s="30">
        <f t="shared" si="495"/>
        <v>47.429904761904766</v>
      </c>
      <c r="W298" s="25">
        <v>94</v>
      </c>
      <c r="X298" s="31">
        <f t="shared" si="529"/>
        <v>380.8</v>
      </c>
      <c r="Y298" s="25">
        <v>280</v>
      </c>
      <c r="Z298" s="25">
        <v>15</v>
      </c>
      <c r="AA298" s="25">
        <v>145</v>
      </c>
      <c r="AB298" s="37">
        <v>0.8</v>
      </c>
      <c r="AC298" s="30">
        <f t="shared" si="538"/>
        <v>148</v>
      </c>
      <c r="AD298" s="31">
        <f t="shared" si="530"/>
        <v>2</v>
      </c>
      <c r="AE298" s="31">
        <f t="shared" si="531"/>
        <v>8</v>
      </c>
      <c r="AF298" s="31">
        <f t="shared" si="532"/>
        <v>7</v>
      </c>
      <c r="AG298" s="31" t="str">
        <f t="shared" si="533"/>
        <v/>
      </c>
      <c r="AH298" s="31" t="str">
        <f t="shared" si="534"/>
        <v/>
      </c>
      <c r="AI298" s="31" t="str">
        <f t="shared" si="535"/>
        <v/>
      </c>
      <c r="AJ298" s="25">
        <v>10</v>
      </c>
      <c r="AK298" s="25">
        <v>7</v>
      </c>
      <c r="AL298" s="25">
        <v>0</v>
      </c>
      <c r="AM298" s="23" t="s">
        <v>208</v>
      </c>
      <c r="AN298" s="23" t="s">
        <v>92</v>
      </c>
      <c r="AO298" s="25" t="s">
        <v>116</v>
      </c>
      <c r="AR298" s="32" t="str">
        <f t="shared" si="536"/>
        <v>3 doors</v>
      </c>
      <c r="AT298" s="23" t="s">
        <v>33</v>
      </c>
      <c r="AU298" s="23" t="str">
        <f t="shared" si="527"/>
        <v>Hungary</v>
      </c>
      <c r="AV298" s="34">
        <f t="shared" si="537"/>
        <v>7180.01</v>
      </c>
      <c r="AW298" s="23">
        <v>71</v>
      </c>
      <c r="AX298" s="23">
        <v>80</v>
      </c>
      <c r="AY298" s="23">
        <v>1</v>
      </c>
    </row>
    <row r="299" spans="1:51">
      <c r="A299" s="25" t="s">
        <v>113</v>
      </c>
      <c r="D299" s="23">
        <v>2</v>
      </c>
      <c r="E299" s="25" t="s">
        <v>30</v>
      </c>
      <c r="F299" s="25" t="s">
        <v>302</v>
      </c>
      <c r="G299" s="23" t="s">
        <v>27</v>
      </c>
      <c r="H299" s="23" t="s">
        <v>194</v>
      </c>
      <c r="I299" s="25">
        <v>1997</v>
      </c>
      <c r="J299" s="35">
        <v>30</v>
      </c>
      <c r="K299" s="35">
        <v>40</v>
      </c>
      <c r="L299" s="35">
        <v>20</v>
      </c>
      <c r="M299" s="25">
        <v>7</v>
      </c>
      <c r="N299" s="25">
        <v>14</v>
      </c>
      <c r="R299" s="30">
        <f t="shared" si="528"/>
        <v>21</v>
      </c>
      <c r="S299" s="37">
        <v>1.2</v>
      </c>
      <c r="T299" s="30">
        <f t="shared" si="496"/>
        <v>15.3024</v>
      </c>
      <c r="U299" s="37">
        <v>1.1000000000000001</v>
      </c>
      <c r="V299" s="30">
        <f t="shared" ref="V299:V332" si="539">U299*IF(G299="petrol", ((Z299+(AA299/15)+X299)/10*1.5)+(R299/14), IF(G299="diesel", ((Z299+(AA299/15)+X299)/10)+(R299/14), IF(OR(G299="cng", G299="hybrid"), ((Z299+(AA299/15)+X299)/10*0.8)+(R299/14), IF(OR(G299="hydrogen", G299="electric"), ((Z299+(AA299/15)+X299)/10*0.5)+(R299/14), 0))))</f>
        <v>19.738400000000006</v>
      </c>
      <c r="W299" s="25">
        <v>70</v>
      </c>
      <c r="X299" s="31">
        <f t="shared" si="529"/>
        <v>155.04000000000002</v>
      </c>
      <c r="Y299" s="25">
        <v>114</v>
      </c>
      <c r="Z299" s="25">
        <v>7</v>
      </c>
      <c r="AA299" s="25">
        <v>36</v>
      </c>
      <c r="AB299" s="37">
        <v>0.8</v>
      </c>
      <c r="AC299" s="30">
        <f t="shared" si="538"/>
        <v>148</v>
      </c>
      <c r="AD299" s="31">
        <f t="shared" si="530"/>
        <v>8</v>
      </c>
      <c r="AE299" s="31" t="str">
        <f t="shared" si="531"/>
        <v/>
      </c>
      <c r="AF299" s="31" t="str">
        <f t="shared" si="532"/>
        <v/>
      </c>
      <c r="AG299" s="31" t="str">
        <f t="shared" si="533"/>
        <v/>
      </c>
      <c r="AH299" s="31" t="str">
        <f t="shared" si="534"/>
        <v/>
      </c>
      <c r="AI299" s="31" t="str">
        <f t="shared" si="535"/>
        <v/>
      </c>
      <c r="AJ299" s="25">
        <v>8</v>
      </c>
      <c r="AK299" s="25">
        <v>0</v>
      </c>
      <c r="AL299" s="25">
        <v>0</v>
      </c>
      <c r="AM299" s="23" t="s">
        <v>208</v>
      </c>
      <c r="AN299" s="23" t="s">
        <v>92</v>
      </c>
      <c r="AO299" s="25" t="s">
        <v>113</v>
      </c>
      <c r="AR299" s="32" t="str">
        <f t="shared" si="536"/>
        <v>2 doors</v>
      </c>
      <c r="AT299" s="23" t="s">
        <v>33</v>
      </c>
      <c r="AU299" s="23" t="str">
        <f t="shared" si="527"/>
        <v>CC</v>
      </c>
      <c r="AV299" s="34">
        <f t="shared" si="537"/>
        <v>7200</v>
      </c>
      <c r="AW299" s="23">
        <v>72</v>
      </c>
      <c r="AX299" s="23">
        <v>0</v>
      </c>
      <c r="AY299" s="23">
        <v>0</v>
      </c>
    </row>
    <row r="300" spans="1:51">
      <c r="A300" s="25" t="s">
        <v>113</v>
      </c>
      <c r="C300" s="23" t="s">
        <v>129</v>
      </c>
      <c r="D300" s="23">
        <v>2</v>
      </c>
      <c r="E300" s="25" t="s">
        <v>30</v>
      </c>
      <c r="F300" s="25" t="s">
        <v>302</v>
      </c>
      <c r="G300" s="23" t="s">
        <v>27</v>
      </c>
      <c r="H300" s="23" t="s">
        <v>195</v>
      </c>
      <c r="I300" s="25">
        <v>2000</v>
      </c>
      <c r="J300" s="35">
        <v>30</v>
      </c>
      <c r="K300" s="35">
        <v>40</v>
      </c>
      <c r="L300" s="35">
        <v>20</v>
      </c>
      <c r="M300" s="25">
        <v>7</v>
      </c>
      <c r="N300" s="25">
        <v>14</v>
      </c>
      <c r="R300" s="30">
        <f t="shared" si="528"/>
        <v>21</v>
      </c>
      <c r="S300" s="37">
        <v>1.2</v>
      </c>
      <c r="T300" s="30">
        <f t="shared" ref="T300:T332" si="540">S300*IF(OR(G300="diesel", G300="petrol"), ((Z300+(X300/10))/2)+(R300/14), IF(OR(G300="cng", G300="hybrid"), ((Z300+(X300/10))/2*1.2)+(R300/14), IF(OR(G300="hydrogen", G300="electric"), ((Z300+(X300/10))/2*1.5)+(R300/14), 0)))</f>
        <v>16.2</v>
      </c>
      <c r="U300" s="37">
        <v>1.1000000000000001</v>
      </c>
      <c r="V300" s="30">
        <f t="shared" si="539"/>
        <v>21.384000000000004</v>
      </c>
      <c r="W300" s="25">
        <v>70</v>
      </c>
      <c r="X300" s="31">
        <f t="shared" si="529"/>
        <v>170</v>
      </c>
      <c r="Y300" s="25">
        <v>125</v>
      </c>
      <c r="Z300" s="25">
        <v>7</v>
      </c>
      <c r="AA300" s="25">
        <v>36</v>
      </c>
      <c r="AB300" s="37">
        <v>0.8</v>
      </c>
      <c r="AC300" s="30">
        <f t="shared" si="538"/>
        <v>148</v>
      </c>
      <c r="AD300" s="31">
        <f t="shared" si="530"/>
        <v>8</v>
      </c>
      <c r="AE300" s="31" t="str">
        <f t="shared" si="531"/>
        <v/>
      </c>
      <c r="AF300" s="31" t="str">
        <f t="shared" si="532"/>
        <v/>
      </c>
      <c r="AG300" s="31" t="str">
        <f t="shared" si="533"/>
        <v/>
      </c>
      <c r="AH300" s="31" t="str">
        <f t="shared" si="534"/>
        <v/>
      </c>
      <c r="AI300" s="31" t="str">
        <f t="shared" si="535"/>
        <v/>
      </c>
      <c r="AJ300" s="25">
        <v>8</v>
      </c>
      <c r="AK300" s="25">
        <v>0</v>
      </c>
      <c r="AL300" s="25">
        <v>0</v>
      </c>
      <c r="AM300" s="23" t="s">
        <v>208</v>
      </c>
      <c r="AN300" s="23" t="s">
        <v>92</v>
      </c>
      <c r="AO300" s="25" t="s">
        <v>113</v>
      </c>
      <c r="AP300" s="28" t="s">
        <v>209</v>
      </c>
      <c r="AR300" s="32" t="str">
        <f t="shared" si="536"/>
        <v>2 doors</v>
      </c>
      <c r="AT300" s="23" t="s">
        <v>33</v>
      </c>
      <c r="AU300" s="23" t="str">
        <f t="shared" si="527"/>
        <v>CC</v>
      </c>
      <c r="AV300" s="34">
        <f t="shared" si="537"/>
        <v>7220</v>
      </c>
      <c r="AW300" s="23">
        <v>72</v>
      </c>
      <c r="AX300" s="23">
        <v>20</v>
      </c>
      <c r="AY300" s="23">
        <v>0</v>
      </c>
    </row>
    <row r="301" spans="1:51">
      <c r="A301" s="25" t="s">
        <v>113</v>
      </c>
      <c r="C301" s="23" t="s">
        <v>129</v>
      </c>
      <c r="D301" s="23">
        <v>2</v>
      </c>
      <c r="E301" s="25" t="s">
        <v>46</v>
      </c>
      <c r="F301" s="25" t="s">
        <v>46</v>
      </c>
      <c r="G301" s="23" t="s">
        <v>27</v>
      </c>
      <c r="H301" s="23" t="s">
        <v>195</v>
      </c>
      <c r="I301" s="25">
        <v>2000</v>
      </c>
      <c r="J301" s="35">
        <v>30</v>
      </c>
      <c r="K301" s="35">
        <v>40</v>
      </c>
      <c r="L301" s="35">
        <v>20</v>
      </c>
      <c r="M301" s="25">
        <v>7</v>
      </c>
      <c r="N301" s="25">
        <v>14</v>
      </c>
      <c r="R301" s="30">
        <f t="shared" si="528"/>
        <v>21</v>
      </c>
      <c r="S301" s="37">
        <v>1.2</v>
      </c>
      <c r="T301" s="30">
        <f t="shared" si="540"/>
        <v>16.2</v>
      </c>
      <c r="U301" s="37">
        <v>1.1000000000000001</v>
      </c>
      <c r="V301" s="30">
        <f t="shared" si="539"/>
        <v>21.384000000000004</v>
      </c>
      <c r="W301" s="25">
        <v>70</v>
      </c>
      <c r="X301" s="31">
        <f t="shared" si="529"/>
        <v>170</v>
      </c>
      <c r="Y301" s="25">
        <v>125</v>
      </c>
      <c r="Z301" s="25">
        <v>7</v>
      </c>
      <c r="AA301" s="25">
        <v>36</v>
      </c>
      <c r="AB301" s="37">
        <v>0.8</v>
      </c>
      <c r="AC301" s="30">
        <f t="shared" si="538"/>
        <v>148</v>
      </c>
      <c r="AD301" s="31">
        <f t="shared" si="530"/>
        <v>8</v>
      </c>
      <c r="AE301" s="31" t="str">
        <f t="shared" si="531"/>
        <v/>
      </c>
      <c r="AF301" s="31" t="str">
        <f t="shared" si="532"/>
        <v/>
      </c>
      <c r="AG301" s="31" t="str">
        <f t="shared" si="533"/>
        <v/>
      </c>
      <c r="AH301" s="31" t="str">
        <f t="shared" si="534"/>
        <v/>
      </c>
      <c r="AI301" s="31" t="str">
        <f t="shared" si="535"/>
        <v/>
      </c>
      <c r="AJ301" s="25">
        <v>8</v>
      </c>
      <c r="AK301" s="25">
        <v>0</v>
      </c>
      <c r="AL301" s="25">
        <v>0</v>
      </c>
      <c r="AM301" s="23" t="s">
        <v>208</v>
      </c>
      <c r="AN301" s="23" t="s">
        <v>92</v>
      </c>
      <c r="AO301" s="25" t="s">
        <v>113</v>
      </c>
      <c r="AP301" s="28" t="s">
        <v>209</v>
      </c>
      <c r="AR301" s="32" t="str">
        <f t="shared" si="536"/>
        <v>2 doors</v>
      </c>
      <c r="AT301" s="23" t="s">
        <v>33</v>
      </c>
      <c r="AU301" s="23" t="str">
        <f t="shared" si="527"/>
        <v>Hungary</v>
      </c>
      <c r="AV301" s="34">
        <f t="shared" si="537"/>
        <v>7220.01</v>
      </c>
      <c r="AW301" s="23">
        <v>72</v>
      </c>
      <c r="AX301" s="23">
        <v>20</v>
      </c>
      <c r="AY301" s="23">
        <v>1</v>
      </c>
    </row>
    <row r="302" spans="1:51">
      <c r="A302" s="25" t="s">
        <v>114</v>
      </c>
      <c r="D302" s="23">
        <v>3</v>
      </c>
      <c r="E302" s="25" t="s">
        <v>30</v>
      </c>
      <c r="F302" s="25" t="s">
        <v>305</v>
      </c>
      <c r="G302" s="23" t="s">
        <v>27</v>
      </c>
      <c r="H302" s="23" t="s">
        <v>196</v>
      </c>
      <c r="I302" s="25">
        <v>1999</v>
      </c>
      <c r="J302" s="35">
        <v>30</v>
      </c>
      <c r="K302" s="35">
        <v>40</v>
      </c>
      <c r="L302" s="35">
        <v>20</v>
      </c>
      <c r="M302" s="25">
        <v>6</v>
      </c>
      <c r="N302" s="25">
        <v>12</v>
      </c>
      <c r="O302" s="25">
        <v>6</v>
      </c>
      <c r="R302" s="30">
        <f t="shared" si="528"/>
        <v>24</v>
      </c>
      <c r="S302" s="37">
        <v>1</v>
      </c>
      <c r="T302" s="30">
        <f t="shared" si="540"/>
        <v>14.826285714285714</v>
      </c>
      <c r="U302" s="37">
        <v>1</v>
      </c>
      <c r="V302" s="30">
        <f t="shared" si="539"/>
        <v>21.144952380952382</v>
      </c>
      <c r="W302" s="25">
        <v>76</v>
      </c>
      <c r="X302" s="31">
        <f t="shared" si="529"/>
        <v>182.24</v>
      </c>
      <c r="Y302" s="25">
        <v>134</v>
      </c>
      <c r="Z302" s="25">
        <v>8</v>
      </c>
      <c r="AA302" s="25">
        <v>61</v>
      </c>
      <c r="AB302" s="37">
        <v>1</v>
      </c>
      <c r="AC302" s="30">
        <f t="shared" si="538"/>
        <v>185</v>
      </c>
      <c r="AD302" s="31">
        <f t="shared" si="530"/>
        <v>8</v>
      </c>
      <c r="AE302" s="31" t="str">
        <f t="shared" si="531"/>
        <v/>
      </c>
      <c r="AF302" s="31" t="str">
        <f t="shared" si="532"/>
        <v/>
      </c>
      <c r="AG302" s="31" t="str">
        <f t="shared" si="533"/>
        <v/>
      </c>
      <c r="AH302" s="31" t="str">
        <f t="shared" si="534"/>
        <v/>
      </c>
      <c r="AI302" s="31" t="str">
        <f t="shared" si="535"/>
        <v/>
      </c>
      <c r="AJ302" s="25">
        <v>8</v>
      </c>
      <c r="AK302" s="25">
        <v>0</v>
      </c>
      <c r="AL302" s="25">
        <v>0</v>
      </c>
      <c r="AM302" s="23" t="s">
        <v>208</v>
      </c>
      <c r="AN302" s="23" t="s">
        <v>92</v>
      </c>
      <c r="AO302" s="25" t="s">
        <v>114</v>
      </c>
      <c r="AR302" s="32" t="str">
        <f t="shared" si="536"/>
        <v>3 doors</v>
      </c>
      <c r="AS302" s="23" t="s">
        <v>247</v>
      </c>
      <c r="AT302" s="23" t="s">
        <v>33</v>
      </c>
      <c r="AU302" s="23" t="str">
        <f t="shared" si="527"/>
        <v>CC</v>
      </c>
      <c r="AV302" s="34">
        <f t="shared" si="537"/>
        <v>7240</v>
      </c>
      <c r="AW302" s="23">
        <v>72</v>
      </c>
      <c r="AX302" s="23">
        <v>40</v>
      </c>
      <c r="AY302" s="23">
        <v>0</v>
      </c>
    </row>
    <row r="303" spans="1:51">
      <c r="A303" s="25" t="s">
        <v>114</v>
      </c>
      <c r="D303" s="23">
        <v>3</v>
      </c>
      <c r="E303" s="25" t="s">
        <v>213</v>
      </c>
      <c r="F303" s="25" t="s">
        <v>213</v>
      </c>
      <c r="G303" s="23" t="s">
        <v>27</v>
      </c>
      <c r="H303" s="23" t="s">
        <v>196</v>
      </c>
      <c r="I303" s="25">
        <v>1999</v>
      </c>
      <c r="J303" s="35">
        <v>30</v>
      </c>
      <c r="K303" s="35">
        <v>40</v>
      </c>
      <c r="L303" s="35">
        <v>20</v>
      </c>
      <c r="M303" s="25">
        <v>6</v>
      </c>
      <c r="N303" s="25">
        <v>12</v>
      </c>
      <c r="O303" s="25">
        <v>6</v>
      </c>
      <c r="R303" s="30">
        <f t="shared" si="528"/>
        <v>24</v>
      </c>
      <c r="S303" s="37">
        <v>1</v>
      </c>
      <c r="T303" s="30">
        <f t="shared" si="540"/>
        <v>14.826285714285714</v>
      </c>
      <c r="U303" s="37">
        <v>1</v>
      </c>
      <c r="V303" s="30">
        <f t="shared" si="539"/>
        <v>21.144952380952382</v>
      </c>
      <c r="W303" s="25">
        <v>76</v>
      </c>
      <c r="X303" s="31">
        <f t="shared" si="529"/>
        <v>182.24</v>
      </c>
      <c r="Y303" s="25">
        <v>134</v>
      </c>
      <c r="Z303" s="25">
        <v>8</v>
      </c>
      <c r="AA303" s="25">
        <v>61</v>
      </c>
      <c r="AB303" s="37">
        <v>1</v>
      </c>
      <c r="AC303" s="30">
        <f t="shared" si="538"/>
        <v>185</v>
      </c>
      <c r="AD303" s="31">
        <f t="shared" si="530"/>
        <v>8</v>
      </c>
      <c r="AE303" s="31" t="str">
        <f t="shared" si="531"/>
        <v/>
      </c>
      <c r="AF303" s="31" t="str">
        <f t="shared" si="532"/>
        <v/>
      </c>
      <c r="AG303" s="31" t="str">
        <f t="shared" si="533"/>
        <v/>
      </c>
      <c r="AH303" s="31" t="str">
        <f t="shared" si="534"/>
        <v/>
      </c>
      <c r="AI303" s="31" t="str">
        <f t="shared" si="535"/>
        <v/>
      </c>
      <c r="AJ303" s="25">
        <v>8</v>
      </c>
      <c r="AK303" s="25">
        <v>0</v>
      </c>
      <c r="AL303" s="25">
        <v>0</v>
      </c>
      <c r="AM303" s="23" t="s">
        <v>208</v>
      </c>
      <c r="AN303" s="23" t="s">
        <v>92</v>
      </c>
      <c r="AO303" s="25" t="s">
        <v>114</v>
      </c>
      <c r="AR303" s="32" t="str">
        <f t="shared" si="536"/>
        <v>3 doors</v>
      </c>
      <c r="AS303" s="23" t="s">
        <v>247</v>
      </c>
      <c r="AT303" s="23" t="s">
        <v>33</v>
      </c>
      <c r="AU303" s="23" t="str">
        <f t="shared" si="527"/>
        <v>Hungary</v>
      </c>
      <c r="AV303" s="34">
        <f t="shared" si="537"/>
        <v>7240.01</v>
      </c>
      <c r="AW303" s="23">
        <v>72</v>
      </c>
      <c r="AX303" s="23">
        <v>40</v>
      </c>
      <c r="AY303" s="23">
        <v>1</v>
      </c>
    </row>
    <row r="304" spans="1:51">
      <c r="A304" s="25" t="s">
        <v>93</v>
      </c>
      <c r="D304" s="23">
        <v>2</v>
      </c>
      <c r="E304" s="25" t="s">
        <v>30</v>
      </c>
      <c r="F304" s="25" t="s">
        <v>308</v>
      </c>
      <c r="G304" s="23" t="s">
        <v>27</v>
      </c>
      <c r="H304" s="23" t="s">
        <v>203</v>
      </c>
      <c r="I304" s="25">
        <v>1993</v>
      </c>
      <c r="J304" s="35">
        <v>30</v>
      </c>
      <c r="K304" s="35">
        <v>40</v>
      </c>
      <c r="L304" s="35">
        <v>20</v>
      </c>
      <c r="M304" s="25">
        <v>4</v>
      </c>
      <c r="N304" s="25">
        <v>4</v>
      </c>
      <c r="R304" s="30">
        <f t="shared" si="528"/>
        <v>8</v>
      </c>
      <c r="S304" s="37">
        <v>1.2</v>
      </c>
      <c r="T304" s="30">
        <f t="shared" si="540"/>
        <v>32.476114285714289</v>
      </c>
      <c r="U304" s="37">
        <v>1.1000000000000001</v>
      </c>
      <c r="V304" s="30">
        <f t="shared" si="539"/>
        <v>46.392971428571428</v>
      </c>
      <c r="W304" s="25">
        <v>145</v>
      </c>
      <c r="X304" s="31">
        <f t="shared" si="529"/>
        <v>399.84000000000003</v>
      </c>
      <c r="Y304" s="25">
        <v>294</v>
      </c>
      <c r="Z304" s="25">
        <v>13</v>
      </c>
      <c r="AA304" s="25">
        <v>48</v>
      </c>
      <c r="AB304" s="37">
        <v>0.8</v>
      </c>
      <c r="AC304" s="30">
        <f t="shared" si="538"/>
        <v>120</v>
      </c>
      <c r="AD304" s="31">
        <f t="shared" si="530"/>
        <v>3</v>
      </c>
      <c r="AE304" s="31">
        <f t="shared" si="531"/>
        <v>8</v>
      </c>
      <c r="AF304" s="31" t="str">
        <f t="shared" si="532"/>
        <v/>
      </c>
      <c r="AG304" s="31" t="str">
        <f t="shared" si="533"/>
        <v/>
      </c>
      <c r="AH304" s="31" t="str">
        <f t="shared" si="534"/>
        <v/>
      </c>
      <c r="AI304" s="31" t="str">
        <f t="shared" si="535"/>
        <v/>
      </c>
      <c r="AJ304" s="25">
        <v>11</v>
      </c>
      <c r="AK304" s="25">
        <v>0</v>
      </c>
      <c r="AL304" s="25">
        <v>0</v>
      </c>
      <c r="AM304" s="23" t="s">
        <v>208</v>
      </c>
      <c r="AN304" s="23" t="s">
        <v>92</v>
      </c>
      <c r="AO304" s="25" t="s">
        <v>93</v>
      </c>
      <c r="AR304" s="32" t="str">
        <f t="shared" si="536"/>
        <v>2 doors</v>
      </c>
      <c r="AT304" s="23" t="s">
        <v>47</v>
      </c>
      <c r="AU304" s="23" t="str">
        <f t="shared" si="527"/>
        <v>CC</v>
      </c>
      <c r="AV304" s="34">
        <f t="shared" si="537"/>
        <v>7300</v>
      </c>
      <c r="AW304" s="23">
        <v>73</v>
      </c>
      <c r="AX304" s="23">
        <v>0</v>
      </c>
      <c r="AY304" s="23">
        <v>0</v>
      </c>
    </row>
    <row r="305" spans="1:51">
      <c r="A305" s="25" t="s">
        <v>93</v>
      </c>
      <c r="D305" s="23">
        <v>2</v>
      </c>
      <c r="E305" s="25" t="s">
        <v>46</v>
      </c>
      <c r="F305" s="25" t="s">
        <v>46</v>
      </c>
      <c r="G305" s="23" t="s">
        <v>27</v>
      </c>
      <c r="H305" s="23" t="s">
        <v>203</v>
      </c>
      <c r="I305" s="25">
        <v>1993</v>
      </c>
      <c r="J305" s="35">
        <v>30</v>
      </c>
      <c r="K305" s="35">
        <v>40</v>
      </c>
      <c r="L305" s="35">
        <v>20</v>
      </c>
      <c r="M305" s="25">
        <v>4</v>
      </c>
      <c r="N305" s="25">
        <v>4</v>
      </c>
      <c r="R305" s="30">
        <f t="shared" si="528"/>
        <v>8</v>
      </c>
      <c r="S305" s="37">
        <v>1.2</v>
      </c>
      <c r="T305" s="30">
        <f t="shared" si="540"/>
        <v>32.476114285714289</v>
      </c>
      <c r="U305" s="37">
        <v>1.1000000000000001</v>
      </c>
      <c r="V305" s="30">
        <f t="shared" si="539"/>
        <v>46.392971428571428</v>
      </c>
      <c r="W305" s="25">
        <v>145</v>
      </c>
      <c r="X305" s="31">
        <f t="shared" si="529"/>
        <v>399.84000000000003</v>
      </c>
      <c r="Y305" s="25">
        <v>294</v>
      </c>
      <c r="Z305" s="25">
        <v>13</v>
      </c>
      <c r="AA305" s="25">
        <v>48</v>
      </c>
      <c r="AB305" s="37">
        <v>0.8</v>
      </c>
      <c r="AC305" s="30">
        <f t="shared" si="538"/>
        <v>120</v>
      </c>
      <c r="AD305" s="31">
        <f t="shared" si="530"/>
        <v>3</v>
      </c>
      <c r="AE305" s="31">
        <f t="shared" si="531"/>
        <v>8</v>
      </c>
      <c r="AF305" s="31" t="str">
        <f t="shared" si="532"/>
        <v/>
      </c>
      <c r="AG305" s="31" t="str">
        <f t="shared" si="533"/>
        <v/>
      </c>
      <c r="AH305" s="31" t="str">
        <f t="shared" si="534"/>
        <v/>
      </c>
      <c r="AI305" s="31" t="str">
        <f t="shared" si="535"/>
        <v/>
      </c>
      <c r="AJ305" s="25">
        <v>11</v>
      </c>
      <c r="AK305" s="25">
        <v>0</v>
      </c>
      <c r="AL305" s="25">
        <v>0</v>
      </c>
      <c r="AM305" s="23" t="s">
        <v>208</v>
      </c>
      <c r="AN305" s="23" t="s">
        <v>92</v>
      </c>
      <c r="AO305" s="25" t="s">
        <v>93</v>
      </c>
      <c r="AR305" s="32" t="str">
        <f t="shared" si="536"/>
        <v>2 doors</v>
      </c>
      <c r="AT305" s="23" t="s">
        <v>47</v>
      </c>
      <c r="AU305" s="23" t="str">
        <f t="shared" si="527"/>
        <v>Hungary</v>
      </c>
      <c r="AV305" s="34">
        <f t="shared" si="537"/>
        <v>7300.01</v>
      </c>
      <c r="AW305" s="23">
        <v>73</v>
      </c>
      <c r="AX305" s="23">
        <v>0</v>
      </c>
      <c r="AY305" s="23">
        <v>1</v>
      </c>
    </row>
    <row r="306" spans="1:51">
      <c r="A306" s="25" t="s">
        <v>93</v>
      </c>
      <c r="D306" s="23">
        <v>2</v>
      </c>
      <c r="E306" s="25" t="s">
        <v>211</v>
      </c>
      <c r="F306" s="25" t="s">
        <v>211</v>
      </c>
      <c r="G306" s="23" t="s">
        <v>27</v>
      </c>
      <c r="H306" s="23" t="s">
        <v>203</v>
      </c>
      <c r="I306" s="25">
        <v>1993</v>
      </c>
      <c r="J306" s="35">
        <v>30</v>
      </c>
      <c r="K306" s="35">
        <v>40</v>
      </c>
      <c r="L306" s="35">
        <v>20</v>
      </c>
      <c r="M306" s="25">
        <v>4</v>
      </c>
      <c r="N306" s="25">
        <v>4</v>
      </c>
      <c r="R306" s="30">
        <f t="shared" si="528"/>
        <v>8</v>
      </c>
      <c r="S306" s="37">
        <v>1.2</v>
      </c>
      <c r="T306" s="30">
        <f t="shared" si="540"/>
        <v>32.476114285714289</v>
      </c>
      <c r="U306" s="37">
        <v>1.1000000000000001</v>
      </c>
      <c r="V306" s="30">
        <f t="shared" si="539"/>
        <v>46.392971428571428</v>
      </c>
      <c r="W306" s="25">
        <v>145</v>
      </c>
      <c r="X306" s="31">
        <f t="shared" si="529"/>
        <v>399.84000000000003</v>
      </c>
      <c r="Y306" s="25">
        <v>294</v>
      </c>
      <c r="Z306" s="25">
        <v>13</v>
      </c>
      <c r="AA306" s="25">
        <v>48</v>
      </c>
      <c r="AB306" s="37">
        <v>0.8</v>
      </c>
      <c r="AC306" s="30">
        <f t="shared" si="538"/>
        <v>120</v>
      </c>
      <c r="AD306" s="31">
        <f t="shared" si="530"/>
        <v>3</v>
      </c>
      <c r="AE306" s="31">
        <f t="shared" si="531"/>
        <v>8</v>
      </c>
      <c r="AF306" s="31" t="str">
        <f t="shared" si="532"/>
        <v/>
      </c>
      <c r="AG306" s="31" t="str">
        <f t="shared" si="533"/>
        <v/>
      </c>
      <c r="AH306" s="31" t="str">
        <f t="shared" si="534"/>
        <v/>
      </c>
      <c r="AI306" s="31" t="str">
        <f t="shared" si="535"/>
        <v/>
      </c>
      <c r="AJ306" s="25">
        <v>11</v>
      </c>
      <c r="AK306" s="25">
        <v>0</v>
      </c>
      <c r="AL306" s="25">
        <v>0</v>
      </c>
      <c r="AM306" s="23" t="s">
        <v>208</v>
      </c>
      <c r="AN306" s="23" t="s">
        <v>92</v>
      </c>
      <c r="AO306" s="25" t="s">
        <v>93</v>
      </c>
      <c r="AR306" s="32" t="str">
        <f t="shared" si="536"/>
        <v>2 doors</v>
      </c>
      <c r="AT306" s="23" t="s">
        <v>47</v>
      </c>
      <c r="AU306" s="23" t="str">
        <f t="shared" si="527"/>
        <v>Hungary</v>
      </c>
      <c r="AV306" s="34">
        <f t="shared" si="537"/>
        <v>7300.02</v>
      </c>
      <c r="AW306" s="23">
        <v>73</v>
      </c>
      <c r="AX306" s="23">
        <v>0</v>
      </c>
      <c r="AY306" s="23">
        <v>2</v>
      </c>
    </row>
    <row r="307" spans="1:51">
      <c r="A307" s="25" t="s">
        <v>120</v>
      </c>
      <c r="D307" s="23">
        <v>3</v>
      </c>
      <c r="E307" s="25" t="s">
        <v>30</v>
      </c>
      <c r="F307" s="25" t="s">
        <v>305</v>
      </c>
      <c r="G307" s="23" t="s">
        <v>27</v>
      </c>
      <c r="H307" s="23" t="s">
        <v>204</v>
      </c>
      <c r="I307" s="25">
        <v>1995</v>
      </c>
      <c r="J307" s="35">
        <v>30</v>
      </c>
      <c r="K307" s="35">
        <v>40</v>
      </c>
      <c r="L307" s="35">
        <v>20</v>
      </c>
      <c r="M307" s="25">
        <v>4</v>
      </c>
      <c r="N307" s="25">
        <v>6</v>
      </c>
      <c r="R307" s="30">
        <f t="shared" si="528"/>
        <v>10</v>
      </c>
      <c r="S307" s="37">
        <v>1.2</v>
      </c>
      <c r="T307" s="30">
        <f t="shared" si="540"/>
        <v>37.25074285714286</v>
      </c>
      <c r="U307" s="37">
        <v>1.1000000000000001</v>
      </c>
      <c r="V307" s="30">
        <f t="shared" si="539"/>
        <v>51.190647619047638</v>
      </c>
      <c r="W307" s="25">
        <v>145</v>
      </c>
      <c r="X307" s="31">
        <f t="shared" si="529"/>
        <v>436.56000000000006</v>
      </c>
      <c r="Y307" s="25">
        <v>321</v>
      </c>
      <c r="Z307" s="25">
        <v>17</v>
      </c>
      <c r="AA307" s="25">
        <v>70</v>
      </c>
      <c r="AB307" s="37">
        <v>0.8</v>
      </c>
      <c r="AC307" s="30">
        <f t="shared" si="538"/>
        <v>80</v>
      </c>
      <c r="AD307" s="31">
        <f t="shared" si="530"/>
        <v>3</v>
      </c>
      <c r="AE307" s="31">
        <f t="shared" si="531"/>
        <v>8</v>
      </c>
      <c r="AF307" s="31" t="str">
        <f t="shared" si="532"/>
        <v/>
      </c>
      <c r="AG307" s="31" t="str">
        <f t="shared" si="533"/>
        <v/>
      </c>
      <c r="AH307" s="31" t="str">
        <f t="shared" si="534"/>
        <v/>
      </c>
      <c r="AI307" s="31" t="str">
        <f t="shared" si="535"/>
        <v/>
      </c>
      <c r="AJ307" s="25">
        <v>11</v>
      </c>
      <c r="AK307" s="25">
        <v>0</v>
      </c>
      <c r="AL307" s="25">
        <v>0</v>
      </c>
      <c r="AM307" s="23" t="s">
        <v>208</v>
      </c>
      <c r="AN307" s="23" t="s">
        <v>92</v>
      </c>
      <c r="AO307" s="25" t="s">
        <v>120</v>
      </c>
      <c r="AR307" s="32" t="str">
        <f t="shared" si="536"/>
        <v>2 doors</v>
      </c>
      <c r="AT307" s="23" t="s">
        <v>48</v>
      </c>
      <c r="AU307" s="23" t="str">
        <f t="shared" si="527"/>
        <v>CC</v>
      </c>
      <c r="AV307" s="34">
        <f t="shared" si="537"/>
        <v>7400</v>
      </c>
      <c r="AW307" s="23">
        <v>74</v>
      </c>
      <c r="AX307" s="23">
        <v>0</v>
      </c>
      <c r="AY307" s="23">
        <v>0</v>
      </c>
    </row>
    <row r="308" spans="1:51">
      <c r="A308" s="25" t="s">
        <v>120</v>
      </c>
      <c r="D308" s="23">
        <v>3</v>
      </c>
      <c r="E308" s="25" t="s">
        <v>211</v>
      </c>
      <c r="F308" s="25" t="s">
        <v>211</v>
      </c>
      <c r="G308" s="23" t="s">
        <v>27</v>
      </c>
      <c r="H308" s="23" t="s">
        <v>204</v>
      </c>
      <c r="I308" s="25">
        <v>1995</v>
      </c>
      <c r="J308" s="35">
        <v>30</v>
      </c>
      <c r="K308" s="35">
        <v>40</v>
      </c>
      <c r="L308" s="35">
        <v>20</v>
      </c>
      <c r="M308" s="25">
        <v>4</v>
      </c>
      <c r="N308" s="25">
        <v>6</v>
      </c>
      <c r="R308" s="30">
        <f t="shared" si="528"/>
        <v>10</v>
      </c>
      <c r="S308" s="37">
        <v>1.2</v>
      </c>
      <c r="T308" s="30">
        <f t="shared" si="540"/>
        <v>37.25074285714286</v>
      </c>
      <c r="U308" s="37">
        <v>1.1000000000000001</v>
      </c>
      <c r="V308" s="30">
        <f t="shared" si="539"/>
        <v>51.190647619047638</v>
      </c>
      <c r="W308" s="25">
        <v>145</v>
      </c>
      <c r="X308" s="31">
        <f t="shared" si="529"/>
        <v>436.56000000000006</v>
      </c>
      <c r="Y308" s="25">
        <v>321</v>
      </c>
      <c r="Z308" s="25">
        <v>17</v>
      </c>
      <c r="AA308" s="25">
        <v>70</v>
      </c>
      <c r="AB308" s="37">
        <v>0.8</v>
      </c>
      <c r="AC308" s="30">
        <f t="shared" si="538"/>
        <v>80</v>
      </c>
      <c r="AD308" s="31">
        <f t="shared" si="530"/>
        <v>3</v>
      </c>
      <c r="AE308" s="31">
        <f t="shared" si="531"/>
        <v>8</v>
      </c>
      <c r="AF308" s="31" t="str">
        <f t="shared" si="532"/>
        <v/>
      </c>
      <c r="AG308" s="31" t="str">
        <f t="shared" si="533"/>
        <v/>
      </c>
      <c r="AH308" s="31" t="str">
        <f t="shared" si="534"/>
        <v/>
      </c>
      <c r="AI308" s="31" t="str">
        <f t="shared" si="535"/>
        <v/>
      </c>
      <c r="AJ308" s="25">
        <v>11</v>
      </c>
      <c r="AK308" s="25">
        <v>0</v>
      </c>
      <c r="AL308" s="25">
        <v>0</v>
      </c>
      <c r="AM308" s="23" t="s">
        <v>208</v>
      </c>
      <c r="AN308" s="23" t="s">
        <v>92</v>
      </c>
      <c r="AO308" s="25" t="s">
        <v>120</v>
      </c>
      <c r="AR308" s="32" t="str">
        <f t="shared" si="536"/>
        <v>2 doors</v>
      </c>
      <c r="AT308" s="23" t="s">
        <v>48</v>
      </c>
      <c r="AU308" s="23" t="str">
        <f t="shared" si="527"/>
        <v>Hungary</v>
      </c>
      <c r="AV308" s="34">
        <f t="shared" si="537"/>
        <v>7400.01</v>
      </c>
      <c r="AW308" s="23">
        <v>74</v>
      </c>
      <c r="AX308" s="23">
        <v>0</v>
      </c>
      <c r="AY308" s="23">
        <v>1</v>
      </c>
    </row>
    <row r="309" spans="1:51">
      <c r="A309" s="25">
        <v>955</v>
      </c>
      <c r="D309" s="23">
        <v>2</v>
      </c>
      <c r="E309" s="25" t="s">
        <v>30</v>
      </c>
      <c r="F309" s="25" t="s">
        <v>302</v>
      </c>
      <c r="G309" s="23" t="s">
        <v>27</v>
      </c>
      <c r="H309" s="23" t="s">
        <v>192</v>
      </c>
      <c r="I309" s="25">
        <v>1999</v>
      </c>
      <c r="J309" s="35">
        <v>30</v>
      </c>
      <c r="K309" s="35">
        <v>40</v>
      </c>
      <c r="L309" s="35">
        <v>20</v>
      </c>
      <c r="M309" s="25">
        <v>4</v>
      </c>
      <c r="N309" s="25">
        <v>4</v>
      </c>
      <c r="R309" s="30">
        <f t="shared" ref="R309" si="541">SUM(M309:Q309)</f>
        <v>8</v>
      </c>
      <c r="S309" s="37">
        <v>1.2</v>
      </c>
      <c r="T309" s="30">
        <f t="shared" si="540"/>
        <v>25.021714285714289</v>
      </c>
      <c r="U309" s="37">
        <v>1.1000000000000001</v>
      </c>
      <c r="V309" s="30">
        <f t="shared" si="539"/>
        <v>33.723904761904762</v>
      </c>
      <c r="W309" s="25">
        <v>113</v>
      </c>
      <c r="X309" s="31">
        <f t="shared" ref="X309:X310" si="542">Y309*1.36</f>
        <v>285.60000000000002</v>
      </c>
      <c r="Y309" s="25">
        <v>210</v>
      </c>
      <c r="Z309" s="25">
        <v>12</v>
      </c>
      <c r="AA309" s="25">
        <v>49</v>
      </c>
      <c r="AB309" s="37">
        <v>0.8</v>
      </c>
      <c r="AC309" s="30">
        <f t="shared" si="538"/>
        <v>120</v>
      </c>
      <c r="AD309" s="31">
        <f t="shared" si="530"/>
        <v>3</v>
      </c>
      <c r="AE309" s="31">
        <f t="shared" si="531"/>
        <v>8</v>
      </c>
      <c r="AF309" s="31" t="str">
        <f t="shared" si="532"/>
        <v/>
      </c>
      <c r="AG309" s="31" t="str">
        <f t="shared" si="533"/>
        <v/>
      </c>
      <c r="AH309" s="31" t="str">
        <f t="shared" si="534"/>
        <v/>
      </c>
      <c r="AI309" s="31" t="str">
        <f t="shared" si="535"/>
        <v/>
      </c>
      <c r="AJ309" s="25">
        <v>11</v>
      </c>
      <c r="AK309" s="25">
        <v>0</v>
      </c>
      <c r="AL309" s="25">
        <v>0</v>
      </c>
      <c r="AM309" s="23" t="s">
        <v>208</v>
      </c>
      <c r="AN309" s="23" t="s">
        <v>92</v>
      </c>
      <c r="AO309" s="25">
        <v>955</v>
      </c>
      <c r="AR309" s="32" t="str">
        <f t="shared" si="536"/>
        <v>2 doors</v>
      </c>
      <c r="AT309" s="23" t="s">
        <v>47</v>
      </c>
      <c r="AU309" s="23" t="str">
        <f t="shared" si="527"/>
        <v>CC</v>
      </c>
      <c r="AV309" s="34">
        <f t="shared" ref="AV309:AV317" si="543">(AW309*100)+AX309+(AY309/100)</f>
        <v>7900</v>
      </c>
      <c r="AW309" s="23">
        <v>79</v>
      </c>
      <c r="AX309" s="23">
        <v>0</v>
      </c>
      <c r="AY309" s="23">
        <v>0</v>
      </c>
    </row>
    <row r="310" spans="1:51">
      <c r="A310" s="25" t="s">
        <v>249</v>
      </c>
      <c r="C310" s="23" t="s">
        <v>122</v>
      </c>
      <c r="D310" s="23">
        <v>2</v>
      </c>
      <c r="E310" s="25" t="s">
        <v>30</v>
      </c>
      <c r="F310" s="25" t="s">
        <v>302</v>
      </c>
      <c r="G310" s="23" t="s">
        <v>27</v>
      </c>
      <c r="H310" s="23" t="s">
        <v>251</v>
      </c>
      <c r="I310" s="25">
        <v>1998</v>
      </c>
      <c r="J310" s="35">
        <v>30</v>
      </c>
      <c r="K310" s="35">
        <v>40</v>
      </c>
      <c r="L310" s="35">
        <v>20</v>
      </c>
      <c r="M310" s="25">
        <v>10</v>
      </c>
      <c r="N310" s="25">
        <v>10</v>
      </c>
      <c r="R310" s="30">
        <f t="shared" ref="R310" si="544">SUM(M310:Q310)</f>
        <v>20</v>
      </c>
      <c r="S310" s="37">
        <v>1</v>
      </c>
      <c r="T310" s="30">
        <f t="shared" si="540"/>
        <v>19.848571428571429</v>
      </c>
      <c r="U310" s="37">
        <v>1</v>
      </c>
      <c r="V310" s="30">
        <f t="shared" si="539"/>
        <v>28.888571428571428</v>
      </c>
      <c r="W310" s="25">
        <v>90</v>
      </c>
      <c r="X310" s="31">
        <f t="shared" si="542"/>
        <v>258.40000000000003</v>
      </c>
      <c r="Y310" s="25">
        <v>190</v>
      </c>
      <c r="Z310" s="25">
        <v>11</v>
      </c>
      <c r="AA310" s="25">
        <v>78</v>
      </c>
      <c r="AB310" s="37">
        <v>1</v>
      </c>
      <c r="AC310" s="30">
        <f t="shared" si="538"/>
        <v>200</v>
      </c>
      <c r="AD310" s="31">
        <f t="shared" ref="AD310" si="545">IF(AJ310&gt;8, AJ310-8, AJ310)</f>
        <v>2</v>
      </c>
      <c r="AE310" s="31">
        <f t="shared" ref="AE310" si="546">IF(AJ310&gt;8, 8, "")</f>
        <v>8</v>
      </c>
      <c r="AF310" s="31" t="str">
        <f t="shared" ref="AF310" si="547">IF(AK310&gt;8, AK310-8, IF(AK310=0, "", AK310))</f>
        <v/>
      </c>
      <c r="AG310" s="31" t="str">
        <f t="shared" ref="AG310" si="548">IF(AK310&gt;8, 8, "")</f>
        <v/>
      </c>
      <c r="AH310" s="31" t="str">
        <f t="shared" ref="AH310" si="549">IF(AL310&gt;8, AL310-8, IF(AL310=0, "", AL310))</f>
        <v/>
      </c>
      <c r="AI310" s="31" t="str">
        <f t="shared" ref="AI310" si="550">IF(AL310&gt;8, 8, "")</f>
        <v/>
      </c>
      <c r="AJ310" s="25">
        <v>10</v>
      </c>
      <c r="AK310" s="25">
        <v>0</v>
      </c>
      <c r="AL310" s="25">
        <v>0</v>
      </c>
      <c r="AM310" s="23" t="s">
        <v>206</v>
      </c>
      <c r="AN310" s="23" t="s">
        <v>92</v>
      </c>
      <c r="AO310" s="26" t="s">
        <v>249</v>
      </c>
      <c r="AR310" s="32" t="str">
        <f t="shared" si="536"/>
        <v>2 doors</v>
      </c>
      <c r="AS310" s="23" t="s">
        <v>250</v>
      </c>
      <c r="AT310" s="23" t="s">
        <v>270</v>
      </c>
      <c r="AU310" s="23" t="str">
        <f t="shared" si="527"/>
        <v>CC</v>
      </c>
      <c r="AV310" s="34">
        <f t="shared" si="543"/>
        <v>8000</v>
      </c>
      <c r="AW310" s="23">
        <v>80</v>
      </c>
      <c r="AX310" s="23">
        <v>0</v>
      </c>
      <c r="AY310" s="23">
        <v>0</v>
      </c>
    </row>
    <row r="311" spans="1:51">
      <c r="A311" s="25" t="s">
        <v>249</v>
      </c>
      <c r="C311" s="23" t="s">
        <v>122</v>
      </c>
      <c r="D311" s="23">
        <v>2</v>
      </c>
      <c r="E311" s="25" t="s">
        <v>42</v>
      </c>
      <c r="F311" s="25" t="s">
        <v>302</v>
      </c>
      <c r="G311" s="23" t="s">
        <v>27</v>
      </c>
      <c r="H311" s="23" t="s">
        <v>251</v>
      </c>
      <c r="I311" s="25">
        <v>1998</v>
      </c>
      <c r="J311" s="35">
        <v>30</v>
      </c>
      <c r="K311" s="35">
        <v>40</v>
      </c>
      <c r="L311" s="35">
        <v>20</v>
      </c>
      <c r="M311" s="25">
        <v>10</v>
      </c>
      <c r="N311" s="25">
        <v>10</v>
      </c>
      <c r="R311" s="30">
        <f t="shared" ref="R311:R316" si="551">SUM(M311:Q311)</f>
        <v>20</v>
      </c>
      <c r="S311" s="37">
        <v>1</v>
      </c>
      <c r="T311" s="30">
        <f t="shared" ref="T311:T316" si="552">S311*IF(OR(G311="diesel", G311="petrol"), ((Z311+(X311/10))/2)+(R311/14), IF(OR(G311="cng", G311="hybrid"), ((Z311+(X311/10))/2*1.2)+(R311/14), IF(OR(G311="hydrogen", G311="electric"), ((Z311+(X311/10))/2*1.5)+(R311/14), 0)))</f>
        <v>19.848571428571429</v>
      </c>
      <c r="U311" s="37">
        <v>1</v>
      </c>
      <c r="V311" s="30">
        <f t="shared" ref="V311:V316" si="553">U311*IF(G311="petrol", ((Z311+(AA311/15)+X311)/10*1.5)+(R311/14), IF(G311="diesel", ((Z311+(AA311/15)+X311)/10)+(R311/14), IF(OR(G311="cng", G311="hybrid"), ((Z311+(AA311/15)+X311)/10*0.8)+(R311/14), IF(OR(G311="hydrogen", G311="electric"), ((Z311+(AA311/15)+X311)/10*0.5)+(R311/14), 0))))</f>
        <v>28.888571428571428</v>
      </c>
      <c r="W311" s="25">
        <v>90</v>
      </c>
      <c r="X311" s="31">
        <f t="shared" ref="X311:X316" si="554">Y311*1.36</f>
        <v>258.40000000000003</v>
      </c>
      <c r="Y311" s="25">
        <v>190</v>
      </c>
      <c r="Z311" s="25">
        <v>11</v>
      </c>
      <c r="AA311" s="25">
        <v>78</v>
      </c>
      <c r="AB311" s="37">
        <v>1</v>
      </c>
      <c r="AC311" s="30">
        <f t="shared" ref="AC311:AC316" si="555">AB311*IF(AT311="Regional", 185, IF(AT311="Intercity", 150, IF(AT311="Tourist", 100, 200)))</f>
        <v>200</v>
      </c>
      <c r="AD311" s="31">
        <f t="shared" ref="AD311:AD316" si="556">IF(AJ311&gt;8, AJ311-8, AJ311)</f>
        <v>2</v>
      </c>
      <c r="AE311" s="31">
        <f t="shared" ref="AE311:AE316" si="557">IF(AJ311&gt;8, 8, "")</f>
        <v>8</v>
      </c>
      <c r="AF311" s="31" t="str">
        <f t="shared" ref="AF311:AF316" si="558">IF(AK311&gt;8, AK311-8, IF(AK311=0, "", AK311))</f>
        <v/>
      </c>
      <c r="AG311" s="31" t="str">
        <f t="shared" ref="AG311:AG316" si="559">IF(AK311&gt;8, 8, "")</f>
        <v/>
      </c>
      <c r="AH311" s="31" t="str">
        <f t="shared" ref="AH311:AH316" si="560">IF(AL311&gt;8, AL311-8, IF(AL311=0, "", AL311))</f>
        <v/>
      </c>
      <c r="AI311" s="31" t="str">
        <f t="shared" ref="AI311:AI316" si="561">IF(AL311&gt;8, 8, "")</f>
        <v/>
      </c>
      <c r="AJ311" s="25">
        <v>10</v>
      </c>
      <c r="AK311" s="25">
        <v>0</v>
      </c>
      <c r="AL311" s="25">
        <v>0</v>
      </c>
      <c r="AM311" s="23" t="s">
        <v>206</v>
      </c>
      <c r="AN311" s="23" t="s">
        <v>92</v>
      </c>
      <c r="AO311" s="26" t="s">
        <v>249</v>
      </c>
      <c r="AR311" s="32" t="str">
        <f t="shared" ref="AR311:AR316" si="562">IF(Q311&gt;0, "5 doors", IF(P311&gt;0, "4 doors", IF(O311&gt;0, "3 doors", IF(N311&gt;0, "2 doors", "1 door"))))</f>
        <v>2 doors</v>
      </c>
      <c r="AS311" s="23" t="s">
        <v>250</v>
      </c>
      <c r="AT311" s="23" t="s">
        <v>270</v>
      </c>
      <c r="AU311" s="23" t="str">
        <f t="shared" ref="AU311:AU316" si="563">IF(ISNUMBER(SEARCH("CC", E311)), "CC", "Hungary")</f>
        <v>CC</v>
      </c>
      <c r="AV311" s="34">
        <f t="shared" ref="AV311:AV316" si="564">(AW311*100)+AX311+(AY311/100)</f>
        <v>8000.01</v>
      </c>
      <c r="AW311" s="23">
        <v>80</v>
      </c>
      <c r="AX311" s="23">
        <v>0</v>
      </c>
      <c r="AY311" s="23">
        <v>1</v>
      </c>
    </row>
    <row r="312" spans="1:51">
      <c r="A312" s="25" t="s">
        <v>249</v>
      </c>
      <c r="C312" s="23" t="s">
        <v>122</v>
      </c>
      <c r="D312" s="23">
        <v>2</v>
      </c>
      <c r="E312" s="25" t="s">
        <v>43</v>
      </c>
      <c r="F312" s="25" t="s">
        <v>302</v>
      </c>
      <c r="G312" s="23" t="s">
        <v>27</v>
      </c>
      <c r="H312" s="23" t="s">
        <v>251</v>
      </c>
      <c r="I312" s="25">
        <v>1998</v>
      </c>
      <c r="J312" s="35">
        <v>30</v>
      </c>
      <c r="K312" s="35">
        <v>40</v>
      </c>
      <c r="L312" s="35">
        <v>20</v>
      </c>
      <c r="M312" s="25">
        <v>10</v>
      </c>
      <c r="N312" s="25">
        <v>10</v>
      </c>
      <c r="R312" s="30">
        <f t="shared" si="551"/>
        <v>20</v>
      </c>
      <c r="S312" s="37">
        <v>1</v>
      </c>
      <c r="T312" s="30">
        <f t="shared" si="552"/>
        <v>19.848571428571429</v>
      </c>
      <c r="U312" s="37">
        <v>1</v>
      </c>
      <c r="V312" s="30">
        <f t="shared" si="553"/>
        <v>28.888571428571428</v>
      </c>
      <c r="W312" s="25">
        <v>90</v>
      </c>
      <c r="X312" s="31">
        <f t="shared" si="554"/>
        <v>258.40000000000003</v>
      </c>
      <c r="Y312" s="25">
        <v>190</v>
      </c>
      <c r="Z312" s="25">
        <v>11</v>
      </c>
      <c r="AA312" s="25">
        <v>78</v>
      </c>
      <c r="AB312" s="37">
        <v>1</v>
      </c>
      <c r="AC312" s="30">
        <f t="shared" si="555"/>
        <v>200</v>
      </c>
      <c r="AD312" s="31">
        <f t="shared" si="556"/>
        <v>2</v>
      </c>
      <c r="AE312" s="31">
        <f t="shared" si="557"/>
        <v>8</v>
      </c>
      <c r="AF312" s="31" t="str">
        <f t="shared" si="558"/>
        <v/>
      </c>
      <c r="AG312" s="31" t="str">
        <f t="shared" si="559"/>
        <v/>
      </c>
      <c r="AH312" s="31" t="str">
        <f t="shared" si="560"/>
        <v/>
      </c>
      <c r="AI312" s="31" t="str">
        <f t="shared" si="561"/>
        <v/>
      </c>
      <c r="AJ312" s="25">
        <v>10</v>
      </c>
      <c r="AK312" s="25">
        <v>0</v>
      </c>
      <c r="AL312" s="25">
        <v>0</v>
      </c>
      <c r="AM312" s="23" t="s">
        <v>206</v>
      </c>
      <c r="AN312" s="23" t="s">
        <v>92</v>
      </c>
      <c r="AO312" s="26" t="s">
        <v>249</v>
      </c>
      <c r="AR312" s="32" t="str">
        <f t="shared" si="562"/>
        <v>2 doors</v>
      </c>
      <c r="AS312" s="23" t="s">
        <v>250</v>
      </c>
      <c r="AT312" s="23" t="s">
        <v>270</v>
      </c>
      <c r="AU312" s="23" t="str">
        <f t="shared" si="563"/>
        <v>CC</v>
      </c>
      <c r="AV312" s="34">
        <f t="shared" si="564"/>
        <v>8000.02</v>
      </c>
      <c r="AW312" s="23">
        <v>80</v>
      </c>
      <c r="AX312" s="23">
        <v>0</v>
      </c>
      <c r="AY312" s="23">
        <v>2</v>
      </c>
    </row>
    <row r="313" spans="1:51">
      <c r="A313" s="25" t="s">
        <v>249</v>
      </c>
      <c r="C313" s="23" t="s">
        <v>122</v>
      </c>
      <c r="D313" s="23">
        <v>2</v>
      </c>
      <c r="E313" s="25" t="s">
        <v>284</v>
      </c>
      <c r="F313" s="25" t="s">
        <v>302</v>
      </c>
      <c r="G313" s="23" t="s">
        <v>27</v>
      </c>
      <c r="H313" s="23" t="s">
        <v>251</v>
      </c>
      <c r="I313" s="25">
        <v>1998</v>
      </c>
      <c r="J313" s="35">
        <v>30</v>
      </c>
      <c r="K313" s="35">
        <v>40</v>
      </c>
      <c r="L313" s="35">
        <v>20</v>
      </c>
      <c r="M313" s="25">
        <v>10</v>
      </c>
      <c r="N313" s="25">
        <v>10</v>
      </c>
      <c r="R313" s="30">
        <f t="shared" si="551"/>
        <v>20</v>
      </c>
      <c r="S313" s="37">
        <v>1</v>
      </c>
      <c r="T313" s="30">
        <f t="shared" si="552"/>
        <v>19.848571428571429</v>
      </c>
      <c r="U313" s="37">
        <v>1</v>
      </c>
      <c r="V313" s="30">
        <f t="shared" si="553"/>
        <v>28.888571428571428</v>
      </c>
      <c r="W313" s="25">
        <v>90</v>
      </c>
      <c r="X313" s="31">
        <f t="shared" si="554"/>
        <v>258.40000000000003</v>
      </c>
      <c r="Y313" s="25">
        <v>190</v>
      </c>
      <c r="Z313" s="25">
        <v>11</v>
      </c>
      <c r="AA313" s="25">
        <v>78</v>
      </c>
      <c r="AB313" s="37">
        <v>1</v>
      </c>
      <c r="AC313" s="30">
        <f t="shared" si="555"/>
        <v>200</v>
      </c>
      <c r="AD313" s="31">
        <f t="shared" si="556"/>
        <v>2</v>
      </c>
      <c r="AE313" s="31">
        <f t="shared" si="557"/>
        <v>8</v>
      </c>
      <c r="AF313" s="31" t="str">
        <f t="shared" si="558"/>
        <v/>
      </c>
      <c r="AG313" s="31" t="str">
        <f t="shared" si="559"/>
        <v/>
      </c>
      <c r="AH313" s="31" t="str">
        <f t="shared" si="560"/>
        <v/>
      </c>
      <c r="AI313" s="31" t="str">
        <f t="shared" si="561"/>
        <v/>
      </c>
      <c r="AJ313" s="25">
        <v>10</v>
      </c>
      <c r="AK313" s="25">
        <v>0</v>
      </c>
      <c r="AL313" s="25">
        <v>0</v>
      </c>
      <c r="AM313" s="23" t="s">
        <v>206</v>
      </c>
      <c r="AN313" s="23" t="s">
        <v>92</v>
      </c>
      <c r="AO313" s="26" t="s">
        <v>249</v>
      </c>
      <c r="AR313" s="32" t="str">
        <f t="shared" si="562"/>
        <v>2 doors</v>
      </c>
      <c r="AS313" s="23" t="s">
        <v>250</v>
      </c>
      <c r="AT313" s="23" t="s">
        <v>270</v>
      </c>
      <c r="AU313" s="23" t="str">
        <f t="shared" si="563"/>
        <v>CC</v>
      </c>
      <c r="AV313" s="34">
        <f t="shared" si="564"/>
        <v>8000.03</v>
      </c>
      <c r="AW313" s="23">
        <v>80</v>
      </c>
      <c r="AX313" s="23">
        <v>0</v>
      </c>
      <c r="AY313" s="23">
        <v>3</v>
      </c>
    </row>
    <row r="314" spans="1:51">
      <c r="A314" s="25" t="s">
        <v>249</v>
      </c>
      <c r="C314" s="23" t="s">
        <v>122</v>
      </c>
      <c r="D314" s="23">
        <v>2</v>
      </c>
      <c r="E314" s="25" t="s">
        <v>285</v>
      </c>
      <c r="F314" s="25" t="s">
        <v>302</v>
      </c>
      <c r="G314" s="23" t="s">
        <v>27</v>
      </c>
      <c r="H314" s="23" t="s">
        <v>251</v>
      </c>
      <c r="I314" s="25">
        <v>1998</v>
      </c>
      <c r="J314" s="35">
        <v>30</v>
      </c>
      <c r="K314" s="35">
        <v>40</v>
      </c>
      <c r="L314" s="35">
        <v>20</v>
      </c>
      <c r="M314" s="25">
        <v>10</v>
      </c>
      <c r="N314" s="25">
        <v>10</v>
      </c>
      <c r="R314" s="30">
        <f t="shared" si="551"/>
        <v>20</v>
      </c>
      <c r="S314" s="37">
        <v>1</v>
      </c>
      <c r="T314" s="30">
        <f t="shared" si="552"/>
        <v>19.848571428571429</v>
      </c>
      <c r="U314" s="37">
        <v>1</v>
      </c>
      <c r="V314" s="30">
        <f t="shared" si="553"/>
        <v>28.888571428571428</v>
      </c>
      <c r="W314" s="25">
        <v>90</v>
      </c>
      <c r="X314" s="31">
        <f t="shared" si="554"/>
        <v>258.40000000000003</v>
      </c>
      <c r="Y314" s="25">
        <v>190</v>
      </c>
      <c r="Z314" s="25">
        <v>11</v>
      </c>
      <c r="AA314" s="25">
        <v>78</v>
      </c>
      <c r="AB314" s="37">
        <v>1</v>
      </c>
      <c r="AC314" s="30">
        <f t="shared" si="555"/>
        <v>200</v>
      </c>
      <c r="AD314" s="31">
        <f t="shared" si="556"/>
        <v>2</v>
      </c>
      <c r="AE314" s="31">
        <f t="shared" si="557"/>
        <v>8</v>
      </c>
      <c r="AF314" s="31" t="str">
        <f t="shared" si="558"/>
        <v/>
      </c>
      <c r="AG314" s="31" t="str">
        <f t="shared" si="559"/>
        <v/>
      </c>
      <c r="AH314" s="31" t="str">
        <f t="shared" si="560"/>
        <v/>
      </c>
      <c r="AI314" s="31" t="str">
        <f t="shared" si="561"/>
        <v/>
      </c>
      <c r="AJ314" s="25">
        <v>10</v>
      </c>
      <c r="AK314" s="25">
        <v>0</v>
      </c>
      <c r="AL314" s="25">
        <v>0</v>
      </c>
      <c r="AM314" s="23" t="s">
        <v>206</v>
      </c>
      <c r="AN314" s="23" t="s">
        <v>92</v>
      </c>
      <c r="AO314" s="26" t="s">
        <v>249</v>
      </c>
      <c r="AR314" s="32" t="str">
        <f t="shared" si="562"/>
        <v>2 doors</v>
      </c>
      <c r="AS314" s="23" t="s">
        <v>250</v>
      </c>
      <c r="AT314" s="23" t="s">
        <v>270</v>
      </c>
      <c r="AU314" s="23" t="str">
        <f t="shared" si="563"/>
        <v>CC</v>
      </c>
      <c r="AV314" s="34">
        <f t="shared" si="564"/>
        <v>8000.04</v>
      </c>
      <c r="AW314" s="23">
        <v>80</v>
      </c>
      <c r="AX314" s="23">
        <v>0</v>
      </c>
      <c r="AY314" s="23">
        <v>4</v>
      </c>
    </row>
    <row r="315" spans="1:51">
      <c r="A315" s="25" t="s">
        <v>249</v>
      </c>
      <c r="C315" s="23" t="s">
        <v>122</v>
      </c>
      <c r="D315" s="23">
        <v>2</v>
      </c>
      <c r="E315" s="25" t="s">
        <v>286</v>
      </c>
      <c r="F315" s="25" t="s">
        <v>302</v>
      </c>
      <c r="G315" s="23" t="s">
        <v>27</v>
      </c>
      <c r="H315" s="23" t="s">
        <v>251</v>
      </c>
      <c r="I315" s="25">
        <v>1998</v>
      </c>
      <c r="J315" s="35">
        <v>30</v>
      </c>
      <c r="K315" s="35">
        <v>40</v>
      </c>
      <c r="L315" s="35">
        <v>20</v>
      </c>
      <c r="M315" s="25">
        <v>10</v>
      </c>
      <c r="N315" s="25">
        <v>10</v>
      </c>
      <c r="R315" s="30">
        <f t="shared" si="551"/>
        <v>20</v>
      </c>
      <c r="S315" s="37">
        <v>1</v>
      </c>
      <c r="T315" s="30">
        <f t="shared" si="552"/>
        <v>19.848571428571429</v>
      </c>
      <c r="U315" s="37">
        <v>1</v>
      </c>
      <c r="V315" s="30">
        <f t="shared" si="553"/>
        <v>28.888571428571428</v>
      </c>
      <c r="W315" s="25">
        <v>90</v>
      </c>
      <c r="X315" s="31">
        <f t="shared" si="554"/>
        <v>258.40000000000003</v>
      </c>
      <c r="Y315" s="25">
        <v>190</v>
      </c>
      <c r="Z315" s="25">
        <v>11</v>
      </c>
      <c r="AA315" s="25">
        <v>78</v>
      </c>
      <c r="AB315" s="37">
        <v>1</v>
      </c>
      <c r="AC315" s="30">
        <f t="shared" si="555"/>
        <v>200</v>
      </c>
      <c r="AD315" s="31">
        <f t="shared" si="556"/>
        <v>2</v>
      </c>
      <c r="AE315" s="31">
        <f t="shared" si="557"/>
        <v>8</v>
      </c>
      <c r="AF315" s="31" t="str">
        <f t="shared" si="558"/>
        <v/>
      </c>
      <c r="AG315" s="31" t="str">
        <f t="shared" si="559"/>
        <v/>
      </c>
      <c r="AH315" s="31" t="str">
        <f t="shared" si="560"/>
        <v/>
      </c>
      <c r="AI315" s="31" t="str">
        <f t="shared" si="561"/>
        <v/>
      </c>
      <c r="AJ315" s="25">
        <v>10</v>
      </c>
      <c r="AK315" s="25">
        <v>0</v>
      </c>
      <c r="AL315" s="25">
        <v>0</v>
      </c>
      <c r="AM315" s="23" t="s">
        <v>206</v>
      </c>
      <c r="AN315" s="23" t="s">
        <v>92</v>
      </c>
      <c r="AO315" s="26" t="s">
        <v>249</v>
      </c>
      <c r="AR315" s="32" t="str">
        <f t="shared" si="562"/>
        <v>2 doors</v>
      </c>
      <c r="AS315" s="23" t="s">
        <v>250</v>
      </c>
      <c r="AT315" s="23" t="s">
        <v>270</v>
      </c>
      <c r="AU315" s="23" t="str">
        <f t="shared" si="563"/>
        <v>CC</v>
      </c>
      <c r="AV315" s="34">
        <f t="shared" si="564"/>
        <v>8000.05</v>
      </c>
      <c r="AW315" s="23">
        <v>80</v>
      </c>
      <c r="AX315" s="23">
        <v>0</v>
      </c>
      <c r="AY315" s="23">
        <v>5</v>
      </c>
    </row>
    <row r="316" spans="1:51">
      <c r="A316" s="25" t="s">
        <v>249</v>
      </c>
      <c r="C316" s="23" t="s">
        <v>122</v>
      </c>
      <c r="D316" s="23">
        <v>2</v>
      </c>
      <c r="E316" s="25" t="s">
        <v>287</v>
      </c>
      <c r="F316" s="25" t="s">
        <v>302</v>
      </c>
      <c r="G316" s="23" t="s">
        <v>27</v>
      </c>
      <c r="H316" s="23" t="s">
        <v>251</v>
      </c>
      <c r="I316" s="25">
        <v>1998</v>
      </c>
      <c r="J316" s="35">
        <v>30</v>
      </c>
      <c r="K316" s="35">
        <v>40</v>
      </c>
      <c r="L316" s="35">
        <v>20</v>
      </c>
      <c r="M316" s="25">
        <v>10</v>
      </c>
      <c r="N316" s="25">
        <v>10</v>
      </c>
      <c r="R316" s="30">
        <f t="shared" si="551"/>
        <v>20</v>
      </c>
      <c r="S316" s="37">
        <v>1</v>
      </c>
      <c r="T316" s="30">
        <f t="shared" si="552"/>
        <v>19.848571428571429</v>
      </c>
      <c r="U316" s="37">
        <v>1</v>
      </c>
      <c r="V316" s="30">
        <f t="shared" si="553"/>
        <v>28.888571428571428</v>
      </c>
      <c r="W316" s="25">
        <v>90</v>
      </c>
      <c r="X316" s="31">
        <f t="shared" si="554"/>
        <v>258.40000000000003</v>
      </c>
      <c r="Y316" s="25">
        <v>190</v>
      </c>
      <c r="Z316" s="25">
        <v>11</v>
      </c>
      <c r="AA316" s="25">
        <v>78</v>
      </c>
      <c r="AB316" s="37">
        <v>1</v>
      </c>
      <c r="AC316" s="30">
        <f t="shared" si="555"/>
        <v>200</v>
      </c>
      <c r="AD316" s="31">
        <f t="shared" si="556"/>
        <v>2</v>
      </c>
      <c r="AE316" s="31">
        <f t="shared" si="557"/>
        <v>8</v>
      </c>
      <c r="AF316" s="31" t="str">
        <f t="shared" si="558"/>
        <v/>
      </c>
      <c r="AG316" s="31" t="str">
        <f t="shared" si="559"/>
        <v/>
      </c>
      <c r="AH316" s="31" t="str">
        <f t="shared" si="560"/>
        <v/>
      </c>
      <c r="AI316" s="31" t="str">
        <f t="shared" si="561"/>
        <v/>
      </c>
      <c r="AJ316" s="25">
        <v>10</v>
      </c>
      <c r="AK316" s="25">
        <v>0</v>
      </c>
      <c r="AL316" s="25">
        <v>0</v>
      </c>
      <c r="AM316" s="23" t="s">
        <v>206</v>
      </c>
      <c r="AN316" s="23" t="s">
        <v>92</v>
      </c>
      <c r="AO316" s="26" t="s">
        <v>249</v>
      </c>
      <c r="AR316" s="32" t="str">
        <f t="shared" si="562"/>
        <v>2 doors</v>
      </c>
      <c r="AS316" s="23" t="s">
        <v>250</v>
      </c>
      <c r="AT316" s="23" t="s">
        <v>270</v>
      </c>
      <c r="AU316" s="23" t="str">
        <f t="shared" si="563"/>
        <v>CC</v>
      </c>
      <c r="AV316" s="34">
        <f t="shared" si="564"/>
        <v>8000.06</v>
      </c>
      <c r="AW316" s="23">
        <v>80</v>
      </c>
      <c r="AX316" s="23">
        <v>0</v>
      </c>
      <c r="AY316" s="23">
        <v>6</v>
      </c>
    </row>
    <row r="317" spans="1:51">
      <c r="A317" s="25" t="s">
        <v>249</v>
      </c>
      <c r="C317" s="23" t="s">
        <v>332</v>
      </c>
      <c r="D317" s="23">
        <v>2</v>
      </c>
      <c r="E317" s="25" t="s">
        <v>30</v>
      </c>
      <c r="F317" s="25" t="s">
        <v>302</v>
      </c>
      <c r="G317" s="23" t="s">
        <v>27</v>
      </c>
      <c r="H317" s="23" t="s">
        <v>252</v>
      </c>
      <c r="I317" s="25">
        <v>2000</v>
      </c>
      <c r="J317" s="35">
        <v>30</v>
      </c>
      <c r="K317" s="35">
        <v>40</v>
      </c>
      <c r="L317" s="35">
        <v>20</v>
      </c>
      <c r="M317" s="25">
        <v>6</v>
      </c>
      <c r="N317" s="25">
        <v>10</v>
      </c>
      <c r="R317" s="30">
        <f t="shared" ref="R317" si="565">SUM(M317:Q317)</f>
        <v>16</v>
      </c>
      <c r="S317" s="37">
        <v>1.2</v>
      </c>
      <c r="T317" s="30">
        <f t="shared" si="540"/>
        <v>24.699428571428573</v>
      </c>
      <c r="U317" s="37">
        <v>1.1000000000000001</v>
      </c>
      <c r="V317" s="30">
        <f t="shared" si="539"/>
        <v>33.721809523809526</v>
      </c>
      <c r="W317" s="25">
        <v>90</v>
      </c>
      <c r="X317" s="31">
        <f t="shared" ref="X317" si="566">Y317*1.36</f>
        <v>278.8</v>
      </c>
      <c r="Y317" s="25">
        <v>205</v>
      </c>
      <c r="Z317" s="25">
        <v>11</v>
      </c>
      <c r="AA317" s="25">
        <v>80</v>
      </c>
      <c r="AB317" s="37">
        <v>0.8</v>
      </c>
      <c r="AC317" s="30">
        <f t="shared" si="538"/>
        <v>160</v>
      </c>
      <c r="AD317" s="31">
        <f t="shared" ref="AD317" si="567">IF(AJ317&gt;8, AJ317-8, AJ317)</f>
        <v>2</v>
      </c>
      <c r="AE317" s="31">
        <f t="shared" ref="AE317" si="568">IF(AJ317&gt;8, 8, "")</f>
        <v>8</v>
      </c>
      <c r="AF317" s="31" t="str">
        <f t="shared" ref="AF317" si="569">IF(AK317&gt;8, AK317-8, IF(AK317=0, "", AK317))</f>
        <v/>
      </c>
      <c r="AG317" s="31" t="str">
        <f t="shared" ref="AG317" si="570">IF(AK317&gt;8, 8, "")</f>
        <v/>
      </c>
      <c r="AH317" s="31" t="str">
        <f t="shared" ref="AH317" si="571">IF(AL317&gt;8, AL317-8, IF(AL317=0, "", AL317))</f>
        <v/>
      </c>
      <c r="AI317" s="31" t="str">
        <f t="shared" ref="AI317" si="572">IF(AL317&gt;8, 8, "")</f>
        <v/>
      </c>
      <c r="AJ317" s="25">
        <v>10</v>
      </c>
      <c r="AK317" s="25">
        <v>0</v>
      </c>
      <c r="AL317" s="25">
        <v>0</v>
      </c>
      <c r="AM317" s="23" t="s">
        <v>206</v>
      </c>
      <c r="AN317" s="23" t="s">
        <v>92</v>
      </c>
      <c r="AO317" s="26" t="s">
        <v>249</v>
      </c>
      <c r="AR317" s="32" t="str">
        <f t="shared" ref="AR317" si="573">IF(Q317&gt;0, "5 doors", IF(P317&gt;0, "4 doors", IF(O317&gt;0, "3 doors", IF(N317&gt;0, "2 doors", "1 door"))))</f>
        <v>2 doors</v>
      </c>
      <c r="AS317" s="23" t="s">
        <v>334</v>
      </c>
      <c r="AT317" s="23" t="s">
        <v>270</v>
      </c>
      <c r="AU317" s="23" t="str">
        <f t="shared" si="527"/>
        <v>CC</v>
      </c>
      <c r="AV317" s="34">
        <f t="shared" si="543"/>
        <v>8010</v>
      </c>
      <c r="AW317" s="23">
        <v>80</v>
      </c>
      <c r="AX317" s="23">
        <v>10</v>
      </c>
      <c r="AY317" s="23">
        <v>0</v>
      </c>
    </row>
    <row r="318" spans="1:51">
      <c r="A318" s="25" t="s">
        <v>249</v>
      </c>
      <c r="C318" s="23" t="s">
        <v>332</v>
      </c>
      <c r="D318" s="23">
        <v>2</v>
      </c>
      <c r="E318" s="25" t="s">
        <v>42</v>
      </c>
      <c r="F318" s="25" t="s">
        <v>302</v>
      </c>
      <c r="G318" s="23" t="s">
        <v>27</v>
      </c>
      <c r="H318" s="23" t="s">
        <v>252</v>
      </c>
      <c r="I318" s="25">
        <v>2000</v>
      </c>
      <c r="J318" s="35">
        <v>30</v>
      </c>
      <c r="K318" s="35">
        <v>40</v>
      </c>
      <c r="L318" s="35">
        <v>20</v>
      </c>
      <c r="M318" s="25">
        <v>6</v>
      </c>
      <c r="N318" s="25">
        <v>10</v>
      </c>
      <c r="R318" s="30">
        <f t="shared" ref="R318:R323" si="574">SUM(M318:Q318)</f>
        <v>16</v>
      </c>
      <c r="S318" s="37">
        <v>1.2</v>
      </c>
      <c r="T318" s="30">
        <f t="shared" ref="T318:T323" si="575">S318*IF(OR(G318="diesel", G318="petrol"), ((Z318+(X318/10))/2)+(R318/14), IF(OR(G318="cng", G318="hybrid"), ((Z318+(X318/10))/2*1.2)+(R318/14), IF(OR(G318="hydrogen", G318="electric"), ((Z318+(X318/10))/2*1.5)+(R318/14), 0)))</f>
        <v>24.699428571428573</v>
      </c>
      <c r="U318" s="37">
        <v>1.1000000000000001</v>
      </c>
      <c r="V318" s="30">
        <f t="shared" ref="V318:V323" si="576">U318*IF(G318="petrol", ((Z318+(AA318/15)+X318)/10*1.5)+(R318/14), IF(G318="diesel", ((Z318+(AA318/15)+X318)/10)+(R318/14), IF(OR(G318="cng", G318="hybrid"), ((Z318+(AA318/15)+X318)/10*0.8)+(R318/14), IF(OR(G318="hydrogen", G318="electric"), ((Z318+(AA318/15)+X318)/10*0.5)+(R318/14), 0))))</f>
        <v>33.721809523809526</v>
      </c>
      <c r="W318" s="25">
        <v>90</v>
      </c>
      <c r="X318" s="31">
        <f t="shared" ref="X318:X323" si="577">Y318*1.36</f>
        <v>278.8</v>
      </c>
      <c r="Y318" s="25">
        <v>205</v>
      </c>
      <c r="Z318" s="25">
        <v>11</v>
      </c>
      <c r="AA318" s="25">
        <v>80</v>
      </c>
      <c r="AB318" s="37">
        <v>0.8</v>
      </c>
      <c r="AC318" s="30">
        <f t="shared" ref="AC318:AC323" si="578">AB318*IF(AT318="Regional", 185, IF(AT318="Intercity", 150, IF(AT318="Tourist", 100, 200)))</f>
        <v>160</v>
      </c>
      <c r="AD318" s="31">
        <f t="shared" ref="AD318:AD323" si="579">IF(AJ318&gt;8, AJ318-8, AJ318)</f>
        <v>2</v>
      </c>
      <c r="AE318" s="31">
        <f t="shared" ref="AE318:AE323" si="580">IF(AJ318&gt;8, 8, "")</f>
        <v>8</v>
      </c>
      <c r="AF318" s="31" t="str">
        <f t="shared" ref="AF318:AF323" si="581">IF(AK318&gt;8, AK318-8, IF(AK318=0, "", AK318))</f>
        <v/>
      </c>
      <c r="AG318" s="31" t="str">
        <f t="shared" ref="AG318:AG323" si="582">IF(AK318&gt;8, 8, "")</f>
        <v/>
      </c>
      <c r="AH318" s="31" t="str">
        <f t="shared" ref="AH318:AH323" si="583">IF(AL318&gt;8, AL318-8, IF(AL318=0, "", AL318))</f>
        <v/>
      </c>
      <c r="AI318" s="31" t="str">
        <f t="shared" ref="AI318:AI323" si="584">IF(AL318&gt;8, 8, "")</f>
        <v/>
      </c>
      <c r="AJ318" s="25">
        <v>10</v>
      </c>
      <c r="AK318" s="25">
        <v>0</v>
      </c>
      <c r="AL318" s="25">
        <v>0</v>
      </c>
      <c r="AM318" s="23" t="s">
        <v>206</v>
      </c>
      <c r="AN318" s="23" t="s">
        <v>92</v>
      </c>
      <c r="AO318" s="26" t="s">
        <v>249</v>
      </c>
      <c r="AR318" s="32" t="str">
        <f t="shared" ref="AR318:AR323" si="585">IF(Q318&gt;0, "5 doors", IF(P318&gt;0, "4 doors", IF(O318&gt;0, "3 doors", IF(N318&gt;0, "2 doors", "1 door"))))</f>
        <v>2 doors</v>
      </c>
      <c r="AS318" s="23" t="s">
        <v>334</v>
      </c>
      <c r="AT318" s="23" t="s">
        <v>270</v>
      </c>
      <c r="AU318" s="23" t="str">
        <f t="shared" ref="AU318:AU323" si="586">IF(ISNUMBER(SEARCH("CC", E318)), "CC", "Hungary")</f>
        <v>CC</v>
      </c>
      <c r="AV318" s="34">
        <f t="shared" ref="AV318:AV323" si="587">(AW318*100)+AX318+(AY318/100)</f>
        <v>8010.01</v>
      </c>
      <c r="AW318" s="23">
        <v>80</v>
      </c>
      <c r="AX318" s="23">
        <v>10</v>
      </c>
      <c r="AY318" s="23">
        <v>1</v>
      </c>
    </row>
    <row r="319" spans="1:51">
      <c r="A319" s="25" t="s">
        <v>249</v>
      </c>
      <c r="C319" s="23" t="s">
        <v>332</v>
      </c>
      <c r="D319" s="23">
        <v>2</v>
      </c>
      <c r="E319" s="25" t="s">
        <v>43</v>
      </c>
      <c r="F319" s="25" t="s">
        <v>302</v>
      </c>
      <c r="G319" s="23" t="s">
        <v>27</v>
      </c>
      <c r="H319" s="23" t="s">
        <v>252</v>
      </c>
      <c r="I319" s="25">
        <v>2000</v>
      </c>
      <c r="J319" s="35">
        <v>30</v>
      </c>
      <c r="K319" s="35">
        <v>40</v>
      </c>
      <c r="L319" s="35">
        <v>20</v>
      </c>
      <c r="M319" s="25">
        <v>6</v>
      </c>
      <c r="N319" s="25">
        <v>10</v>
      </c>
      <c r="R319" s="30">
        <f t="shared" si="574"/>
        <v>16</v>
      </c>
      <c r="S319" s="37">
        <v>1.2</v>
      </c>
      <c r="T319" s="30">
        <f t="shared" si="575"/>
        <v>24.699428571428573</v>
      </c>
      <c r="U319" s="37">
        <v>1.1000000000000001</v>
      </c>
      <c r="V319" s="30">
        <f t="shared" si="576"/>
        <v>33.721809523809526</v>
      </c>
      <c r="W319" s="25">
        <v>90</v>
      </c>
      <c r="X319" s="31">
        <f t="shared" si="577"/>
        <v>278.8</v>
      </c>
      <c r="Y319" s="25">
        <v>205</v>
      </c>
      <c r="Z319" s="25">
        <v>11</v>
      </c>
      <c r="AA319" s="25">
        <v>80</v>
      </c>
      <c r="AB319" s="37">
        <v>0.8</v>
      </c>
      <c r="AC319" s="30">
        <f t="shared" si="578"/>
        <v>160</v>
      </c>
      <c r="AD319" s="31">
        <f t="shared" si="579"/>
        <v>2</v>
      </c>
      <c r="AE319" s="31">
        <f t="shared" si="580"/>
        <v>8</v>
      </c>
      <c r="AF319" s="31" t="str">
        <f t="shared" si="581"/>
        <v/>
      </c>
      <c r="AG319" s="31" t="str">
        <f t="shared" si="582"/>
        <v/>
      </c>
      <c r="AH319" s="31" t="str">
        <f t="shared" si="583"/>
        <v/>
      </c>
      <c r="AI319" s="31" t="str">
        <f t="shared" si="584"/>
        <v/>
      </c>
      <c r="AJ319" s="25">
        <v>10</v>
      </c>
      <c r="AK319" s="25">
        <v>0</v>
      </c>
      <c r="AL319" s="25">
        <v>0</v>
      </c>
      <c r="AM319" s="23" t="s">
        <v>206</v>
      </c>
      <c r="AN319" s="23" t="s">
        <v>92</v>
      </c>
      <c r="AO319" s="26" t="s">
        <v>249</v>
      </c>
      <c r="AR319" s="32" t="str">
        <f t="shared" si="585"/>
        <v>2 doors</v>
      </c>
      <c r="AS319" s="23" t="s">
        <v>334</v>
      </c>
      <c r="AT319" s="23" t="s">
        <v>270</v>
      </c>
      <c r="AU319" s="23" t="str">
        <f t="shared" si="586"/>
        <v>CC</v>
      </c>
      <c r="AV319" s="34">
        <f t="shared" si="587"/>
        <v>8010.02</v>
      </c>
      <c r="AW319" s="23">
        <v>80</v>
      </c>
      <c r="AX319" s="23">
        <v>10</v>
      </c>
      <c r="AY319" s="23">
        <v>2</v>
      </c>
    </row>
    <row r="320" spans="1:51">
      <c r="A320" s="25" t="s">
        <v>249</v>
      </c>
      <c r="C320" s="23" t="s">
        <v>332</v>
      </c>
      <c r="D320" s="23">
        <v>2</v>
      </c>
      <c r="E320" s="25" t="s">
        <v>284</v>
      </c>
      <c r="F320" s="25" t="s">
        <v>302</v>
      </c>
      <c r="G320" s="23" t="s">
        <v>27</v>
      </c>
      <c r="H320" s="23" t="s">
        <v>252</v>
      </c>
      <c r="I320" s="25">
        <v>2000</v>
      </c>
      <c r="J320" s="35">
        <v>30</v>
      </c>
      <c r="K320" s="35">
        <v>40</v>
      </c>
      <c r="L320" s="35">
        <v>20</v>
      </c>
      <c r="M320" s="25">
        <v>6</v>
      </c>
      <c r="N320" s="25">
        <v>10</v>
      </c>
      <c r="R320" s="30">
        <f t="shared" si="574"/>
        <v>16</v>
      </c>
      <c r="S320" s="37">
        <v>1.2</v>
      </c>
      <c r="T320" s="30">
        <f t="shared" si="575"/>
        <v>24.699428571428573</v>
      </c>
      <c r="U320" s="37">
        <v>1.1000000000000001</v>
      </c>
      <c r="V320" s="30">
        <f t="shared" si="576"/>
        <v>33.721809523809526</v>
      </c>
      <c r="W320" s="25">
        <v>90</v>
      </c>
      <c r="X320" s="31">
        <f t="shared" si="577"/>
        <v>278.8</v>
      </c>
      <c r="Y320" s="25">
        <v>205</v>
      </c>
      <c r="Z320" s="25">
        <v>11</v>
      </c>
      <c r="AA320" s="25">
        <v>80</v>
      </c>
      <c r="AB320" s="37">
        <v>0.8</v>
      </c>
      <c r="AC320" s="30">
        <f t="shared" si="578"/>
        <v>160</v>
      </c>
      <c r="AD320" s="31">
        <f t="shared" si="579"/>
        <v>2</v>
      </c>
      <c r="AE320" s="31">
        <f t="shared" si="580"/>
        <v>8</v>
      </c>
      <c r="AF320" s="31" t="str">
        <f t="shared" si="581"/>
        <v/>
      </c>
      <c r="AG320" s="31" t="str">
        <f t="shared" si="582"/>
        <v/>
      </c>
      <c r="AH320" s="31" t="str">
        <f t="shared" si="583"/>
        <v/>
      </c>
      <c r="AI320" s="31" t="str">
        <f t="shared" si="584"/>
        <v/>
      </c>
      <c r="AJ320" s="25">
        <v>10</v>
      </c>
      <c r="AK320" s="25">
        <v>0</v>
      </c>
      <c r="AL320" s="25">
        <v>0</v>
      </c>
      <c r="AM320" s="23" t="s">
        <v>206</v>
      </c>
      <c r="AN320" s="23" t="s">
        <v>92</v>
      </c>
      <c r="AO320" s="26" t="s">
        <v>249</v>
      </c>
      <c r="AR320" s="32" t="str">
        <f t="shared" si="585"/>
        <v>2 doors</v>
      </c>
      <c r="AS320" s="23" t="s">
        <v>334</v>
      </c>
      <c r="AT320" s="23" t="s">
        <v>270</v>
      </c>
      <c r="AU320" s="23" t="str">
        <f t="shared" si="586"/>
        <v>CC</v>
      </c>
      <c r="AV320" s="34">
        <f t="shared" si="587"/>
        <v>8010.03</v>
      </c>
      <c r="AW320" s="23">
        <v>80</v>
      </c>
      <c r="AX320" s="23">
        <v>10</v>
      </c>
      <c r="AY320" s="23">
        <v>3</v>
      </c>
    </row>
    <row r="321" spans="1:51">
      <c r="A321" s="25" t="s">
        <v>249</v>
      </c>
      <c r="C321" s="23" t="s">
        <v>332</v>
      </c>
      <c r="D321" s="23">
        <v>2</v>
      </c>
      <c r="E321" s="25" t="s">
        <v>285</v>
      </c>
      <c r="F321" s="25" t="s">
        <v>302</v>
      </c>
      <c r="G321" s="23" t="s">
        <v>27</v>
      </c>
      <c r="H321" s="23" t="s">
        <v>252</v>
      </c>
      <c r="I321" s="25">
        <v>2000</v>
      </c>
      <c r="J321" s="35">
        <v>30</v>
      </c>
      <c r="K321" s="35">
        <v>40</v>
      </c>
      <c r="L321" s="35">
        <v>20</v>
      </c>
      <c r="M321" s="25">
        <v>6</v>
      </c>
      <c r="N321" s="25">
        <v>10</v>
      </c>
      <c r="R321" s="30">
        <f t="shared" si="574"/>
        <v>16</v>
      </c>
      <c r="S321" s="37">
        <v>1.2</v>
      </c>
      <c r="T321" s="30">
        <f t="shared" si="575"/>
        <v>24.699428571428573</v>
      </c>
      <c r="U321" s="37">
        <v>1.1000000000000001</v>
      </c>
      <c r="V321" s="30">
        <f t="shared" si="576"/>
        <v>33.721809523809526</v>
      </c>
      <c r="W321" s="25">
        <v>90</v>
      </c>
      <c r="X321" s="31">
        <f t="shared" si="577"/>
        <v>278.8</v>
      </c>
      <c r="Y321" s="25">
        <v>205</v>
      </c>
      <c r="Z321" s="25">
        <v>11</v>
      </c>
      <c r="AA321" s="25">
        <v>80</v>
      </c>
      <c r="AB321" s="37">
        <v>0.8</v>
      </c>
      <c r="AC321" s="30">
        <f t="shared" si="578"/>
        <v>160</v>
      </c>
      <c r="AD321" s="31">
        <f t="shared" si="579"/>
        <v>2</v>
      </c>
      <c r="AE321" s="31">
        <f t="shared" si="580"/>
        <v>8</v>
      </c>
      <c r="AF321" s="31" t="str">
        <f t="shared" si="581"/>
        <v/>
      </c>
      <c r="AG321" s="31" t="str">
        <f t="shared" si="582"/>
        <v/>
      </c>
      <c r="AH321" s="31" t="str">
        <f t="shared" si="583"/>
        <v/>
      </c>
      <c r="AI321" s="31" t="str">
        <f t="shared" si="584"/>
        <v/>
      </c>
      <c r="AJ321" s="25">
        <v>10</v>
      </c>
      <c r="AK321" s="25">
        <v>0</v>
      </c>
      <c r="AL321" s="25">
        <v>0</v>
      </c>
      <c r="AM321" s="23" t="s">
        <v>206</v>
      </c>
      <c r="AN321" s="23" t="s">
        <v>92</v>
      </c>
      <c r="AO321" s="26" t="s">
        <v>249</v>
      </c>
      <c r="AR321" s="32" t="str">
        <f t="shared" si="585"/>
        <v>2 doors</v>
      </c>
      <c r="AS321" s="23" t="s">
        <v>334</v>
      </c>
      <c r="AT321" s="23" t="s">
        <v>270</v>
      </c>
      <c r="AU321" s="23" t="str">
        <f t="shared" si="586"/>
        <v>CC</v>
      </c>
      <c r="AV321" s="34">
        <f t="shared" si="587"/>
        <v>8010.04</v>
      </c>
      <c r="AW321" s="23">
        <v>80</v>
      </c>
      <c r="AX321" s="23">
        <v>10</v>
      </c>
      <c r="AY321" s="23">
        <v>4</v>
      </c>
    </row>
    <row r="322" spans="1:51">
      <c r="A322" s="25" t="s">
        <v>249</v>
      </c>
      <c r="C322" s="23" t="s">
        <v>332</v>
      </c>
      <c r="D322" s="23">
        <v>2</v>
      </c>
      <c r="E322" s="25" t="s">
        <v>286</v>
      </c>
      <c r="F322" s="25" t="s">
        <v>302</v>
      </c>
      <c r="G322" s="23" t="s">
        <v>27</v>
      </c>
      <c r="H322" s="23" t="s">
        <v>252</v>
      </c>
      <c r="I322" s="25">
        <v>2000</v>
      </c>
      <c r="J322" s="35">
        <v>30</v>
      </c>
      <c r="K322" s="35">
        <v>40</v>
      </c>
      <c r="L322" s="35">
        <v>20</v>
      </c>
      <c r="M322" s="25">
        <v>6</v>
      </c>
      <c r="N322" s="25">
        <v>10</v>
      </c>
      <c r="R322" s="30">
        <f t="shared" si="574"/>
        <v>16</v>
      </c>
      <c r="S322" s="37">
        <v>1.2</v>
      </c>
      <c r="T322" s="30">
        <f t="shared" si="575"/>
        <v>24.699428571428573</v>
      </c>
      <c r="U322" s="37">
        <v>1.1000000000000001</v>
      </c>
      <c r="V322" s="30">
        <f t="shared" si="576"/>
        <v>33.721809523809526</v>
      </c>
      <c r="W322" s="25">
        <v>90</v>
      </c>
      <c r="X322" s="31">
        <f t="shared" si="577"/>
        <v>278.8</v>
      </c>
      <c r="Y322" s="25">
        <v>205</v>
      </c>
      <c r="Z322" s="25">
        <v>11</v>
      </c>
      <c r="AA322" s="25">
        <v>80</v>
      </c>
      <c r="AB322" s="37">
        <v>0.8</v>
      </c>
      <c r="AC322" s="30">
        <f t="shared" si="578"/>
        <v>160</v>
      </c>
      <c r="AD322" s="31">
        <f t="shared" si="579"/>
        <v>2</v>
      </c>
      <c r="AE322" s="31">
        <f t="shared" si="580"/>
        <v>8</v>
      </c>
      <c r="AF322" s="31" t="str">
        <f t="shared" si="581"/>
        <v/>
      </c>
      <c r="AG322" s="31" t="str">
        <f t="shared" si="582"/>
        <v/>
      </c>
      <c r="AH322" s="31" t="str">
        <f t="shared" si="583"/>
        <v/>
      </c>
      <c r="AI322" s="31" t="str">
        <f t="shared" si="584"/>
        <v/>
      </c>
      <c r="AJ322" s="25">
        <v>10</v>
      </c>
      <c r="AK322" s="25">
        <v>0</v>
      </c>
      <c r="AL322" s="25">
        <v>0</v>
      </c>
      <c r="AM322" s="23" t="s">
        <v>206</v>
      </c>
      <c r="AN322" s="23" t="s">
        <v>92</v>
      </c>
      <c r="AO322" s="26" t="s">
        <v>249</v>
      </c>
      <c r="AR322" s="32" t="str">
        <f t="shared" si="585"/>
        <v>2 doors</v>
      </c>
      <c r="AS322" s="23" t="s">
        <v>334</v>
      </c>
      <c r="AT322" s="23" t="s">
        <v>270</v>
      </c>
      <c r="AU322" s="23" t="str">
        <f t="shared" si="586"/>
        <v>CC</v>
      </c>
      <c r="AV322" s="34">
        <f t="shared" si="587"/>
        <v>8010.05</v>
      </c>
      <c r="AW322" s="23">
        <v>80</v>
      </c>
      <c r="AX322" s="23">
        <v>10</v>
      </c>
      <c r="AY322" s="23">
        <v>5</v>
      </c>
    </row>
    <row r="323" spans="1:51">
      <c r="A323" s="25" t="s">
        <v>249</v>
      </c>
      <c r="C323" s="23" t="s">
        <v>332</v>
      </c>
      <c r="D323" s="23">
        <v>2</v>
      </c>
      <c r="E323" s="25" t="s">
        <v>287</v>
      </c>
      <c r="F323" s="25" t="s">
        <v>302</v>
      </c>
      <c r="G323" s="23" t="s">
        <v>27</v>
      </c>
      <c r="H323" s="23" t="s">
        <v>252</v>
      </c>
      <c r="I323" s="25">
        <v>2000</v>
      </c>
      <c r="J323" s="35">
        <v>30</v>
      </c>
      <c r="K323" s="35">
        <v>40</v>
      </c>
      <c r="L323" s="35">
        <v>20</v>
      </c>
      <c r="M323" s="25">
        <v>6</v>
      </c>
      <c r="N323" s="25">
        <v>10</v>
      </c>
      <c r="R323" s="30">
        <f t="shared" si="574"/>
        <v>16</v>
      </c>
      <c r="S323" s="37">
        <v>1.2</v>
      </c>
      <c r="T323" s="30">
        <f t="shared" si="575"/>
        <v>24.699428571428573</v>
      </c>
      <c r="U323" s="37">
        <v>1.1000000000000001</v>
      </c>
      <c r="V323" s="30">
        <f t="shared" si="576"/>
        <v>33.721809523809526</v>
      </c>
      <c r="W323" s="25">
        <v>90</v>
      </c>
      <c r="X323" s="31">
        <f t="shared" si="577"/>
        <v>278.8</v>
      </c>
      <c r="Y323" s="25">
        <v>205</v>
      </c>
      <c r="Z323" s="25">
        <v>11</v>
      </c>
      <c r="AA323" s="25">
        <v>80</v>
      </c>
      <c r="AB323" s="37">
        <v>0.8</v>
      </c>
      <c r="AC323" s="30">
        <f t="shared" si="578"/>
        <v>160</v>
      </c>
      <c r="AD323" s="31">
        <f t="shared" si="579"/>
        <v>2</v>
      </c>
      <c r="AE323" s="31">
        <f t="shared" si="580"/>
        <v>8</v>
      </c>
      <c r="AF323" s="31" t="str">
        <f t="shared" si="581"/>
        <v/>
      </c>
      <c r="AG323" s="31" t="str">
        <f t="shared" si="582"/>
        <v/>
      </c>
      <c r="AH323" s="31" t="str">
        <f t="shared" si="583"/>
        <v/>
      </c>
      <c r="AI323" s="31" t="str">
        <f t="shared" si="584"/>
        <v/>
      </c>
      <c r="AJ323" s="25">
        <v>10</v>
      </c>
      <c r="AK323" s="25">
        <v>0</v>
      </c>
      <c r="AL323" s="25">
        <v>0</v>
      </c>
      <c r="AM323" s="23" t="s">
        <v>206</v>
      </c>
      <c r="AN323" s="23" t="s">
        <v>92</v>
      </c>
      <c r="AO323" s="26" t="s">
        <v>249</v>
      </c>
      <c r="AR323" s="32" t="str">
        <f t="shared" si="585"/>
        <v>2 doors</v>
      </c>
      <c r="AS323" s="23" t="s">
        <v>334</v>
      </c>
      <c r="AT323" s="23" t="s">
        <v>270</v>
      </c>
      <c r="AU323" s="23" t="str">
        <f t="shared" si="586"/>
        <v>CC</v>
      </c>
      <c r="AV323" s="34">
        <f t="shared" si="587"/>
        <v>8010.06</v>
      </c>
      <c r="AW323" s="23">
        <v>80</v>
      </c>
      <c r="AX323" s="23">
        <v>10</v>
      </c>
      <c r="AY323" s="23">
        <v>6</v>
      </c>
    </row>
    <row r="324" spans="1:51">
      <c r="A324" s="25" t="s">
        <v>249</v>
      </c>
      <c r="C324" s="23" t="s">
        <v>330</v>
      </c>
      <c r="D324" s="23">
        <v>2</v>
      </c>
      <c r="E324" s="25" t="s">
        <v>30</v>
      </c>
      <c r="F324" s="25" t="s">
        <v>302</v>
      </c>
      <c r="G324" s="23" t="s">
        <v>27</v>
      </c>
      <c r="H324" s="23" t="s">
        <v>333</v>
      </c>
      <c r="I324" s="25">
        <v>2000</v>
      </c>
      <c r="J324" s="35">
        <v>30</v>
      </c>
      <c r="K324" s="35">
        <v>40</v>
      </c>
      <c r="L324" s="35">
        <v>20</v>
      </c>
      <c r="M324" s="25">
        <v>6</v>
      </c>
      <c r="N324" s="25">
        <v>4</v>
      </c>
      <c r="R324" s="30">
        <f t="shared" ref="R324" si="588">SUM(M324:Q324)</f>
        <v>10</v>
      </c>
      <c r="S324" s="37">
        <v>1.2</v>
      </c>
      <c r="T324" s="30">
        <f t="shared" ref="T324" si="589">S324*IF(OR(G324="diesel", G324="petrol"), ((Z324+(X324/10))/2)+(R324/14), IF(OR(G324="cng", G324="hybrid"), ((Z324+(X324/10))/2*1.2)+(R324/14), IF(OR(G324="hydrogen", G324="electric"), ((Z324+(X324/10))/2*1.5)+(R324/14), 0)))</f>
        <v>24.185142857142861</v>
      </c>
      <c r="U324" s="37">
        <v>1.1000000000000001</v>
      </c>
      <c r="V324" s="30">
        <f t="shared" ref="V324" si="590">U324*IF(G324="petrol", ((Z324+(AA324/15)+X324)/10*1.5)+(R324/14), IF(G324="diesel", ((Z324+(AA324/15)+X324)/10)+(R324/14), IF(OR(G324="cng", G324="hybrid"), ((Z324+(AA324/15)+X324)/10*0.8)+(R324/14), IF(OR(G324="hydrogen", G324="electric"), ((Z324+(AA324/15)+X324)/10*0.5)+(R324/14), 0))))</f>
        <v>33.008380952380953</v>
      </c>
      <c r="W324" s="25">
        <v>90</v>
      </c>
      <c r="X324" s="31">
        <f t="shared" ref="X324" si="591">Y324*1.36</f>
        <v>278.8</v>
      </c>
      <c r="Y324" s="25">
        <v>205</v>
      </c>
      <c r="Z324" s="25">
        <v>11</v>
      </c>
      <c r="AA324" s="25">
        <v>47</v>
      </c>
      <c r="AB324" s="37">
        <v>0.8</v>
      </c>
      <c r="AC324" s="30">
        <f t="shared" ref="AC324" si="592">AB324*IF(AT324="Regional", 185, IF(AT324="Intercity", 150, IF(AT324="Tourist", 100, 200)))</f>
        <v>148</v>
      </c>
      <c r="AD324" s="31">
        <f t="shared" ref="AD324" si="593">IF(AJ324&gt;8, AJ324-8, AJ324)</f>
        <v>2</v>
      </c>
      <c r="AE324" s="31">
        <f t="shared" ref="AE324" si="594">IF(AJ324&gt;8, 8, "")</f>
        <v>8</v>
      </c>
      <c r="AF324" s="31" t="str">
        <f t="shared" ref="AF324" si="595">IF(AK324&gt;8, AK324-8, IF(AK324=0, "", AK324))</f>
        <v/>
      </c>
      <c r="AG324" s="31" t="str">
        <f t="shared" ref="AG324" si="596">IF(AK324&gt;8, 8, "")</f>
        <v/>
      </c>
      <c r="AH324" s="31" t="str">
        <f t="shared" ref="AH324" si="597">IF(AL324&gt;8, AL324-8, IF(AL324=0, "", AL324))</f>
        <v/>
      </c>
      <c r="AI324" s="31" t="str">
        <f t="shared" ref="AI324" si="598">IF(AL324&gt;8, 8, "")</f>
        <v/>
      </c>
      <c r="AJ324" s="25">
        <v>10</v>
      </c>
      <c r="AK324" s="25">
        <v>0</v>
      </c>
      <c r="AL324" s="25">
        <v>0</v>
      </c>
      <c r="AM324" s="23" t="s">
        <v>206</v>
      </c>
      <c r="AN324" s="23" t="s">
        <v>92</v>
      </c>
      <c r="AO324" s="26" t="s">
        <v>249</v>
      </c>
      <c r="AR324" s="32" t="str">
        <f t="shared" ref="AR324" si="599">IF(Q324&gt;0, "5 doors", IF(P324&gt;0, "4 doors", IF(O324&gt;0, "3 doors", IF(N324&gt;0, "2 doors", "1 door"))))</f>
        <v>2 doors</v>
      </c>
      <c r="AS324" s="23" t="s">
        <v>253</v>
      </c>
      <c r="AT324" s="23" t="s">
        <v>33</v>
      </c>
      <c r="AU324" s="23" t="str">
        <f t="shared" ref="AU324" si="600">IF(ISNUMBER(SEARCH("CC", E324)), "CC", "Hungary")</f>
        <v>CC</v>
      </c>
      <c r="AV324" s="34">
        <f t="shared" ref="AV324" si="601">(AW324*100)+AX324+(AY324/100)</f>
        <v>8020</v>
      </c>
      <c r="AW324" s="23">
        <v>80</v>
      </c>
      <c r="AX324" s="23">
        <v>20</v>
      </c>
      <c r="AY324" s="23">
        <v>0</v>
      </c>
    </row>
    <row r="325" spans="1:51">
      <c r="A325" s="25" t="s">
        <v>249</v>
      </c>
      <c r="C325" s="23" t="s">
        <v>330</v>
      </c>
      <c r="D325" s="23">
        <v>2</v>
      </c>
      <c r="E325" s="25" t="s">
        <v>42</v>
      </c>
      <c r="F325" s="25" t="s">
        <v>302</v>
      </c>
      <c r="G325" s="23" t="s">
        <v>27</v>
      </c>
      <c r="H325" s="23" t="s">
        <v>333</v>
      </c>
      <c r="I325" s="25">
        <v>2000</v>
      </c>
      <c r="J325" s="35">
        <v>30</v>
      </c>
      <c r="K325" s="35">
        <v>40</v>
      </c>
      <c r="L325" s="35">
        <v>20</v>
      </c>
      <c r="M325" s="25">
        <v>6</v>
      </c>
      <c r="N325" s="25">
        <v>4</v>
      </c>
      <c r="R325" s="30">
        <f t="shared" ref="R325:R330" si="602">SUM(M325:Q325)</f>
        <v>10</v>
      </c>
      <c r="S325" s="37">
        <v>1.2</v>
      </c>
      <c r="T325" s="30">
        <f t="shared" ref="T325:T330" si="603">S325*IF(OR(G325="diesel", G325="petrol"), ((Z325+(X325/10))/2)+(R325/14), IF(OR(G325="cng", G325="hybrid"), ((Z325+(X325/10))/2*1.2)+(R325/14), IF(OR(G325="hydrogen", G325="electric"), ((Z325+(X325/10))/2*1.5)+(R325/14), 0)))</f>
        <v>24.185142857142861</v>
      </c>
      <c r="U325" s="37">
        <v>1.1000000000000001</v>
      </c>
      <c r="V325" s="30">
        <f t="shared" ref="V325:V330" si="604">U325*IF(G325="petrol", ((Z325+(AA325/15)+X325)/10*1.5)+(R325/14), IF(G325="diesel", ((Z325+(AA325/15)+X325)/10)+(R325/14), IF(OR(G325="cng", G325="hybrid"), ((Z325+(AA325/15)+X325)/10*0.8)+(R325/14), IF(OR(G325="hydrogen", G325="electric"), ((Z325+(AA325/15)+X325)/10*0.5)+(R325/14), 0))))</f>
        <v>33.008380952380953</v>
      </c>
      <c r="W325" s="25">
        <v>90</v>
      </c>
      <c r="X325" s="31">
        <f t="shared" ref="X325:X330" si="605">Y325*1.36</f>
        <v>278.8</v>
      </c>
      <c r="Y325" s="25">
        <v>205</v>
      </c>
      <c r="Z325" s="25">
        <v>11</v>
      </c>
      <c r="AA325" s="25">
        <v>47</v>
      </c>
      <c r="AB325" s="37">
        <v>0.8</v>
      </c>
      <c r="AC325" s="30">
        <f t="shared" ref="AC325:AC330" si="606">AB325*IF(AT325="Regional", 185, IF(AT325="Intercity", 150, IF(AT325="Tourist", 100, 200)))</f>
        <v>148</v>
      </c>
      <c r="AD325" s="31">
        <f t="shared" ref="AD325:AD330" si="607">IF(AJ325&gt;8, AJ325-8, AJ325)</f>
        <v>2</v>
      </c>
      <c r="AE325" s="31">
        <f t="shared" ref="AE325:AE330" si="608">IF(AJ325&gt;8, 8, "")</f>
        <v>8</v>
      </c>
      <c r="AF325" s="31" t="str">
        <f t="shared" ref="AF325:AF330" si="609">IF(AK325&gt;8, AK325-8, IF(AK325=0, "", AK325))</f>
        <v/>
      </c>
      <c r="AG325" s="31" t="str">
        <f t="shared" ref="AG325:AG330" si="610">IF(AK325&gt;8, 8, "")</f>
        <v/>
      </c>
      <c r="AH325" s="31" t="str">
        <f t="shared" ref="AH325:AH330" si="611">IF(AL325&gt;8, AL325-8, IF(AL325=0, "", AL325))</f>
        <v/>
      </c>
      <c r="AI325" s="31" t="str">
        <f t="shared" ref="AI325:AI330" si="612">IF(AL325&gt;8, 8, "")</f>
        <v/>
      </c>
      <c r="AJ325" s="25">
        <v>10</v>
      </c>
      <c r="AK325" s="25">
        <v>0</v>
      </c>
      <c r="AL325" s="25">
        <v>0</v>
      </c>
      <c r="AM325" s="23" t="s">
        <v>206</v>
      </c>
      <c r="AN325" s="23" t="s">
        <v>92</v>
      </c>
      <c r="AO325" s="26" t="s">
        <v>249</v>
      </c>
      <c r="AR325" s="32" t="str">
        <f t="shared" ref="AR325:AR330" si="613">IF(Q325&gt;0, "5 doors", IF(P325&gt;0, "4 doors", IF(O325&gt;0, "3 doors", IF(N325&gt;0, "2 doors", "1 door"))))</f>
        <v>2 doors</v>
      </c>
      <c r="AS325" s="23" t="s">
        <v>253</v>
      </c>
      <c r="AT325" s="23" t="s">
        <v>33</v>
      </c>
      <c r="AU325" s="23" t="str">
        <f t="shared" ref="AU325:AU330" si="614">IF(ISNUMBER(SEARCH("CC", E325)), "CC", "Hungary")</f>
        <v>CC</v>
      </c>
      <c r="AV325" s="34">
        <f t="shared" ref="AV325:AV330" si="615">(AW325*100)+AX325+(AY325/100)</f>
        <v>8020.01</v>
      </c>
      <c r="AW325" s="23">
        <v>80</v>
      </c>
      <c r="AX325" s="23">
        <v>20</v>
      </c>
      <c r="AY325" s="23">
        <v>1</v>
      </c>
    </row>
    <row r="326" spans="1:51">
      <c r="A326" s="25" t="s">
        <v>249</v>
      </c>
      <c r="C326" s="23" t="s">
        <v>330</v>
      </c>
      <c r="D326" s="23">
        <v>2</v>
      </c>
      <c r="E326" s="25" t="s">
        <v>43</v>
      </c>
      <c r="F326" s="25" t="s">
        <v>302</v>
      </c>
      <c r="G326" s="23" t="s">
        <v>27</v>
      </c>
      <c r="H326" s="23" t="s">
        <v>333</v>
      </c>
      <c r="I326" s="25">
        <v>2000</v>
      </c>
      <c r="J326" s="35">
        <v>30</v>
      </c>
      <c r="K326" s="35">
        <v>40</v>
      </c>
      <c r="L326" s="35">
        <v>20</v>
      </c>
      <c r="M326" s="25">
        <v>6</v>
      </c>
      <c r="N326" s="25">
        <v>4</v>
      </c>
      <c r="R326" s="30">
        <f t="shared" si="602"/>
        <v>10</v>
      </c>
      <c r="S326" s="37">
        <v>1.2</v>
      </c>
      <c r="T326" s="30">
        <f t="shared" si="603"/>
        <v>24.185142857142861</v>
      </c>
      <c r="U326" s="37">
        <v>1.1000000000000001</v>
      </c>
      <c r="V326" s="30">
        <f t="shared" si="604"/>
        <v>33.008380952380953</v>
      </c>
      <c r="W326" s="25">
        <v>90</v>
      </c>
      <c r="X326" s="31">
        <f t="shared" si="605"/>
        <v>278.8</v>
      </c>
      <c r="Y326" s="25">
        <v>205</v>
      </c>
      <c r="Z326" s="25">
        <v>11</v>
      </c>
      <c r="AA326" s="25">
        <v>47</v>
      </c>
      <c r="AB326" s="37">
        <v>0.8</v>
      </c>
      <c r="AC326" s="30">
        <f t="shared" si="606"/>
        <v>148</v>
      </c>
      <c r="AD326" s="31">
        <f t="shared" si="607"/>
        <v>2</v>
      </c>
      <c r="AE326" s="31">
        <f t="shared" si="608"/>
        <v>8</v>
      </c>
      <c r="AF326" s="31" t="str">
        <f t="shared" si="609"/>
        <v/>
      </c>
      <c r="AG326" s="31" t="str">
        <f t="shared" si="610"/>
        <v/>
      </c>
      <c r="AH326" s="31" t="str">
        <f t="shared" si="611"/>
        <v/>
      </c>
      <c r="AI326" s="31" t="str">
        <f t="shared" si="612"/>
        <v/>
      </c>
      <c r="AJ326" s="25">
        <v>10</v>
      </c>
      <c r="AK326" s="25">
        <v>0</v>
      </c>
      <c r="AL326" s="25">
        <v>0</v>
      </c>
      <c r="AM326" s="23" t="s">
        <v>206</v>
      </c>
      <c r="AN326" s="23" t="s">
        <v>92</v>
      </c>
      <c r="AO326" s="26" t="s">
        <v>249</v>
      </c>
      <c r="AR326" s="32" t="str">
        <f t="shared" si="613"/>
        <v>2 doors</v>
      </c>
      <c r="AS326" s="23" t="s">
        <v>253</v>
      </c>
      <c r="AT326" s="23" t="s">
        <v>33</v>
      </c>
      <c r="AU326" s="23" t="str">
        <f t="shared" si="614"/>
        <v>CC</v>
      </c>
      <c r="AV326" s="34">
        <f t="shared" si="615"/>
        <v>8020.02</v>
      </c>
      <c r="AW326" s="23">
        <v>80</v>
      </c>
      <c r="AX326" s="23">
        <v>20</v>
      </c>
      <c r="AY326" s="23">
        <v>2</v>
      </c>
    </row>
    <row r="327" spans="1:51">
      <c r="A327" s="25" t="s">
        <v>249</v>
      </c>
      <c r="C327" s="23" t="s">
        <v>330</v>
      </c>
      <c r="D327" s="23">
        <v>2</v>
      </c>
      <c r="E327" s="25" t="s">
        <v>284</v>
      </c>
      <c r="F327" s="25" t="s">
        <v>302</v>
      </c>
      <c r="G327" s="23" t="s">
        <v>27</v>
      </c>
      <c r="H327" s="23" t="s">
        <v>333</v>
      </c>
      <c r="I327" s="25">
        <v>2000</v>
      </c>
      <c r="J327" s="35">
        <v>30</v>
      </c>
      <c r="K327" s="35">
        <v>40</v>
      </c>
      <c r="L327" s="35">
        <v>20</v>
      </c>
      <c r="M327" s="25">
        <v>6</v>
      </c>
      <c r="N327" s="25">
        <v>4</v>
      </c>
      <c r="R327" s="30">
        <f t="shared" si="602"/>
        <v>10</v>
      </c>
      <c r="S327" s="37">
        <v>1.2</v>
      </c>
      <c r="T327" s="30">
        <f t="shared" si="603"/>
        <v>24.185142857142861</v>
      </c>
      <c r="U327" s="37">
        <v>1.1000000000000001</v>
      </c>
      <c r="V327" s="30">
        <f t="shared" si="604"/>
        <v>33.008380952380953</v>
      </c>
      <c r="W327" s="25">
        <v>90</v>
      </c>
      <c r="X327" s="31">
        <f t="shared" si="605"/>
        <v>278.8</v>
      </c>
      <c r="Y327" s="25">
        <v>205</v>
      </c>
      <c r="Z327" s="25">
        <v>11</v>
      </c>
      <c r="AA327" s="25">
        <v>47</v>
      </c>
      <c r="AB327" s="37">
        <v>0.8</v>
      </c>
      <c r="AC327" s="30">
        <f t="shared" si="606"/>
        <v>148</v>
      </c>
      <c r="AD327" s="31">
        <f t="shared" si="607"/>
        <v>2</v>
      </c>
      <c r="AE327" s="31">
        <f t="shared" si="608"/>
        <v>8</v>
      </c>
      <c r="AF327" s="31" t="str">
        <f t="shared" si="609"/>
        <v/>
      </c>
      <c r="AG327" s="31" t="str">
        <f t="shared" si="610"/>
        <v/>
      </c>
      <c r="AH327" s="31" t="str">
        <f t="shared" si="611"/>
        <v/>
      </c>
      <c r="AI327" s="31" t="str">
        <f t="shared" si="612"/>
        <v/>
      </c>
      <c r="AJ327" s="25">
        <v>10</v>
      </c>
      <c r="AK327" s="25">
        <v>0</v>
      </c>
      <c r="AL327" s="25">
        <v>0</v>
      </c>
      <c r="AM327" s="23" t="s">
        <v>206</v>
      </c>
      <c r="AN327" s="23" t="s">
        <v>92</v>
      </c>
      <c r="AO327" s="26" t="s">
        <v>249</v>
      </c>
      <c r="AR327" s="32" t="str">
        <f t="shared" si="613"/>
        <v>2 doors</v>
      </c>
      <c r="AS327" s="23" t="s">
        <v>253</v>
      </c>
      <c r="AT327" s="23" t="s">
        <v>33</v>
      </c>
      <c r="AU327" s="23" t="str">
        <f t="shared" si="614"/>
        <v>CC</v>
      </c>
      <c r="AV327" s="34">
        <f t="shared" si="615"/>
        <v>8020.03</v>
      </c>
      <c r="AW327" s="23">
        <v>80</v>
      </c>
      <c r="AX327" s="23">
        <v>20</v>
      </c>
      <c r="AY327" s="23">
        <v>3</v>
      </c>
    </row>
    <row r="328" spans="1:51">
      <c r="A328" s="25" t="s">
        <v>249</v>
      </c>
      <c r="C328" s="23" t="s">
        <v>330</v>
      </c>
      <c r="D328" s="23">
        <v>2</v>
      </c>
      <c r="E328" s="25" t="s">
        <v>285</v>
      </c>
      <c r="F328" s="25" t="s">
        <v>302</v>
      </c>
      <c r="G328" s="23" t="s">
        <v>27</v>
      </c>
      <c r="H328" s="23" t="s">
        <v>333</v>
      </c>
      <c r="I328" s="25">
        <v>2000</v>
      </c>
      <c r="J328" s="35">
        <v>30</v>
      </c>
      <c r="K328" s="35">
        <v>40</v>
      </c>
      <c r="L328" s="35">
        <v>20</v>
      </c>
      <c r="M328" s="25">
        <v>6</v>
      </c>
      <c r="N328" s="25">
        <v>4</v>
      </c>
      <c r="R328" s="30">
        <f t="shared" si="602"/>
        <v>10</v>
      </c>
      <c r="S328" s="37">
        <v>1.2</v>
      </c>
      <c r="T328" s="30">
        <f t="shared" si="603"/>
        <v>24.185142857142861</v>
      </c>
      <c r="U328" s="37">
        <v>1.1000000000000001</v>
      </c>
      <c r="V328" s="30">
        <f t="shared" si="604"/>
        <v>33.008380952380953</v>
      </c>
      <c r="W328" s="25">
        <v>90</v>
      </c>
      <c r="X328" s="31">
        <f t="shared" si="605"/>
        <v>278.8</v>
      </c>
      <c r="Y328" s="25">
        <v>205</v>
      </c>
      <c r="Z328" s="25">
        <v>11</v>
      </c>
      <c r="AA328" s="25">
        <v>47</v>
      </c>
      <c r="AB328" s="37">
        <v>0.8</v>
      </c>
      <c r="AC328" s="30">
        <f t="shared" si="606"/>
        <v>148</v>
      </c>
      <c r="AD328" s="31">
        <f t="shared" si="607"/>
        <v>2</v>
      </c>
      <c r="AE328" s="31">
        <f t="shared" si="608"/>
        <v>8</v>
      </c>
      <c r="AF328" s="31" t="str">
        <f t="shared" si="609"/>
        <v/>
      </c>
      <c r="AG328" s="31" t="str">
        <f t="shared" si="610"/>
        <v/>
      </c>
      <c r="AH328" s="31" t="str">
        <f t="shared" si="611"/>
        <v/>
      </c>
      <c r="AI328" s="31" t="str">
        <f t="shared" si="612"/>
        <v/>
      </c>
      <c r="AJ328" s="25">
        <v>10</v>
      </c>
      <c r="AK328" s="25">
        <v>0</v>
      </c>
      <c r="AL328" s="25">
        <v>0</v>
      </c>
      <c r="AM328" s="23" t="s">
        <v>206</v>
      </c>
      <c r="AN328" s="23" t="s">
        <v>92</v>
      </c>
      <c r="AO328" s="26" t="s">
        <v>249</v>
      </c>
      <c r="AR328" s="32" t="str">
        <f t="shared" si="613"/>
        <v>2 doors</v>
      </c>
      <c r="AS328" s="23" t="s">
        <v>253</v>
      </c>
      <c r="AT328" s="23" t="s">
        <v>33</v>
      </c>
      <c r="AU328" s="23" t="str">
        <f t="shared" si="614"/>
        <v>CC</v>
      </c>
      <c r="AV328" s="34">
        <f t="shared" si="615"/>
        <v>8020.04</v>
      </c>
      <c r="AW328" s="23">
        <v>80</v>
      </c>
      <c r="AX328" s="23">
        <v>20</v>
      </c>
      <c r="AY328" s="23">
        <v>4</v>
      </c>
    </row>
    <row r="329" spans="1:51">
      <c r="A329" s="25" t="s">
        <v>249</v>
      </c>
      <c r="C329" s="23" t="s">
        <v>330</v>
      </c>
      <c r="D329" s="23">
        <v>2</v>
      </c>
      <c r="E329" s="25" t="s">
        <v>286</v>
      </c>
      <c r="F329" s="25" t="s">
        <v>302</v>
      </c>
      <c r="G329" s="23" t="s">
        <v>27</v>
      </c>
      <c r="H329" s="23" t="s">
        <v>333</v>
      </c>
      <c r="I329" s="25">
        <v>2000</v>
      </c>
      <c r="J329" s="35">
        <v>30</v>
      </c>
      <c r="K329" s="35">
        <v>40</v>
      </c>
      <c r="L329" s="35">
        <v>20</v>
      </c>
      <c r="M329" s="25">
        <v>6</v>
      </c>
      <c r="N329" s="25">
        <v>4</v>
      </c>
      <c r="R329" s="30">
        <f t="shared" si="602"/>
        <v>10</v>
      </c>
      <c r="S329" s="37">
        <v>1.2</v>
      </c>
      <c r="T329" s="30">
        <f t="shared" si="603"/>
        <v>24.185142857142861</v>
      </c>
      <c r="U329" s="37">
        <v>1.1000000000000001</v>
      </c>
      <c r="V329" s="30">
        <f t="shared" si="604"/>
        <v>33.008380952380953</v>
      </c>
      <c r="W329" s="25">
        <v>90</v>
      </c>
      <c r="X329" s="31">
        <f t="shared" si="605"/>
        <v>278.8</v>
      </c>
      <c r="Y329" s="25">
        <v>205</v>
      </c>
      <c r="Z329" s="25">
        <v>11</v>
      </c>
      <c r="AA329" s="25">
        <v>47</v>
      </c>
      <c r="AB329" s="37">
        <v>0.8</v>
      </c>
      <c r="AC329" s="30">
        <f t="shared" si="606"/>
        <v>148</v>
      </c>
      <c r="AD329" s="31">
        <f t="shared" si="607"/>
        <v>2</v>
      </c>
      <c r="AE329" s="31">
        <f t="shared" si="608"/>
        <v>8</v>
      </c>
      <c r="AF329" s="31" t="str">
        <f t="shared" si="609"/>
        <v/>
      </c>
      <c r="AG329" s="31" t="str">
        <f t="shared" si="610"/>
        <v/>
      </c>
      <c r="AH329" s="31" t="str">
        <f t="shared" si="611"/>
        <v/>
      </c>
      <c r="AI329" s="31" t="str">
        <f t="shared" si="612"/>
        <v/>
      </c>
      <c r="AJ329" s="25">
        <v>10</v>
      </c>
      <c r="AK329" s="25">
        <v>0</v>
      </c>
      <c r="AL329" s="25">
        <v>0</v>
      </c>
      <c r="AM329" s="23" t="s">
        <v>206</v>
      </c>
      <c r="AN329" s="23" t="s">
        <v>92</v>
      </c>
      <c r="AO329" s="26" t="s">
        <v>249</v>
      </c>
      <c r="AR329" s="32" t="str">
        <f t="shared" si="613"/>
        <v>2 doors</v>
      </c>
      <c r="AS329" s="23" t="s">
        <v>253</v>
      </c>
      <c r="AT329" s="23" t="s">
        <v>33</v>
      </c>
      <c r="AU329" s="23" t="str">
        <f t="shared" si="614"/>
        <v>CC</v>
      </c>
      <c r="AV329" s="34">
        <f t="shared" si="615"/>
        <v>8020.05</v>
      </c>
      <c r="AW329" s="23">
        <v>80</v>
      </c>
      <c r="AX329" s="23">
        <v>20</v>
      </c>
      <c r="AY329" s="23">
        <v>5</v>
      </c>
    </row>
    <row r="330" spans="1:51">
      <c r="A330" s="25" t="s">
        <v>249</v>
      </c>
      <c r="C330" s="23" t="s">
        <v>330</v>
      </c>
      <c r="D330" s="23">
        <v>2</v>
      </c>
      <c r="E330" s="25" t="s">
        <v>287</v>
      </c>
      <c r="F330" s="25" t="s">
        <v>302</v>
      </c>
      <c r="G330" s="23" t="s">
        <v>27</v>
      </c>
      <c r="H330" s="23" t="s">
        <v>333</v>
      </c>
      <c r="I330" s="25">
        <v>2000</v>
      </c>
      <c r="J330" s="35">
        <v>30</v>
      </c>
      <c r="K330" s="35">
        <v>40</v>
      </c>
      <c r="L330" s="35">
        <v>20</v>
      </c>
      <c r="M330" s="25">
        <v>6</v>
      </c>
      <c r="N330" s="25">
        <v>4</v>
      </c>
      <c r="R330" s="30">
        <f t="shared" si="602"/>
        <v>10</v>
      </c>
      <c r="S330" s="37">
        <v>1.2</v>
      </c>
      <c r="T330" s="30">
        <f t="shared" si="603"/>
        <v>24.185142857142861</v>
      </c>
      <c r="U330" s="37">
        <v>1.1000000000000001</v>
      </c>
      <c r="V330" s="30">
        <f t="shared" si="604"/>
        <v>33.008380952380953</v>
      </c>
      <c r="W330" s="25">
        <v>90</v>
      </c>
      <c r="X330" s="31">
        <f t="shared" si="605"/>
        <v>278.8</v>
      </c>
      <c r="Y330" s="25">
        <v>205</v>
      </c>
      <c r="Z330" s="25">
        <v>11</v>
      </c>
      <c r="AA330" s="25">
        <v>47</v>
      </c>
      <c r="AB330" s="37">
        <v>0.8</v>
      </c>
      <c r="AC330" s="30">
        <f t="shared" si="606"/>
        <v>148</v>
      </c>
      <c r="AD330" s="31">
        <f t="shared" si="607"/>
        <v>2</v>
      </c>
      <c r="AE330" s="31">
        <f t="shared" si="608"/>
        <v>8</v>
      </c>
      <c r="AF330" s="31" t="str">
        <f t="shared" si="609"/>
        <v/>
      </c>
      <c r="AG330" s="31" t="str">
        <f t="shared" si="610"/>
        <v/>
      </c>
      <c r="AH330" s="31" t="str">
        <f t="shared" si="611"/>
        <v/>
      </c>
      <c r="AI330" s="31" t="str">
        <f t="shared" si="612"/>
        <v/>
      </c>
      <c r="AJ330" s="25">
        <v>10</v>
      </c>
      <c r="AK330" s="25">
        <v>0</v>
      </c>
      <c r="AL330" s="25">
        <v>0</v>
      </c>
      <c r="AM330" s="23" t="s">
        <v>206</v>
      </c>
      <c r="AN330" s="23" t="s">
        <v>92</v>
      </c>
      <c r="AO330" s="26" t="s">
        <v>249</v>
      </c>
      <c r="AR330" s="32" t="str">
        <f t="shared" si="613"/>
        <v>2 doors</v>
      </c>
      <c r="AS330" s="23" t="s">
        <v>253</v>
      </c>
      <c r="AT330" s="23" t="s">
        <v>33</v>
      </c>
      <c r="AU330" s="23" t="str">
        <f t="shared" si="614"/>
        <v>CC</v>
      </c>
      <c r="AV330" s="34">
        <f t="shared" si="615"/>
        <v>8020.06</v>
      </c>
      <c r="AW330" s="23">
        <v>80</v>
      </c>
      <c r="AX330" s="23">
        <v>20</v>
      </c>
      <c r="AY330" s="23">
        <v>6</v>
      </c>
    </row>
    <row r="331" spans="1:51">
      <c r="A331" s="25" t="s">
        <v>264</v>
      </c>
      <c r="D331" s="23">
        <v>2</v>
      </c>
      <c r="E331" s="25" t="s">
        <v>30</v>
      </c>
      <c r="F331" s="25" t="s">
        <v>301</v>
      </c>
      <c r="G331" s="23" t="s">
        <v>28</v>
      </c>
      <c r="H331" s="23" t="s">
        <v>262</v>
      </c>
      <c r="I331" s="25">
        <v>2000</v>
      </c>
      <c r="J331" s="35">
        <v>30</v>
      </c>
      <c r="K331" s="35">
        <v>40</v>
      </c>
      <c r="L331" s="35">
        <v>20</v>
      </c>
      <c r="M331" s="25">
        <v>14</v>
      </c>
      <c r="N331" s="25">
        <v>14</v>
      </c>
      <c r="O331" s="25">
        <v>14</v>
      </c>
      <c r="P331" s="25">
        <v>14</v>
      </c>
      <c r="R331" s="30">
        <f t="shared" ref="R331" si="616">SUM(M331:Q331)</f>
        <v>56</v>
      </c>
      <c r="S331" s="37">
        <v>1</v>
      </c>
      <c r="T331" s="30">
        <f t="shared" si="540"/>
        <v>32.012799999999999</v>
      </c>
      <c r="U331" s="37">
        <v>1</v>
      </c>
      <c r="V331" s="30">
        <f t="shared" si="539"/>
        <v>31.42506666666667</v>
      </c>
      <c r="W331" s="25">
        <v>90</v>
      </c>
      <c r="X331" s="31">
        <f t="shared" ref="X331" si="617">Y331*1.36</f>
        <v>316.88</v>
      </c>
      <c r="Y331" s="25">
        <v>233</v>
      </c>
      <c r="Z331" s="25">
        <v>15</v>
      </c>
      <c r="AA331" s="25">
        <v>164</v>
      </c>
      <c r="AB331" s="37">
        <v>1</v>
      </c>
      <c r="AC331" s="30">
        <f t="shared" si="538"/>
        <v>200</v>
      </c>
      <c r="AD331" s="31">
        <f t="shared" ref="AD331" si="618">IF(AJ331&gt;8, AJ331-8, AJ331)</f>
        <v>2</v>
      </c>
      <c r="AE331" s="31">
        <f t="shared" ref="AE331" si="619">IF(AJ331&gt;8, 8, "")</f>
        <v>8</v>
      </c>
      <c r="AF331" s="31">
        <f t="shared" ref="AF331" si="620">IF(AK331&gt;8, AK331-8, IF(AK331=0, "", AK331))</f>
        <v>7</v>
      </c>
      <c r="AG331" s="31" t="str">
        <f t="shared" ref="AG331" si="621">IF(AK331&gt;8, 8, "")</f>
        <v/>
      </c>
      <c r="AH331" s="31" t="str">
        <f t="shared" ref="AH331" si="622">IF(AL331&gt;8, AL331-8, IF(AL331=0, "", AL331))</f>
        <v/>
      </c>
      <c r="AI331" s="31" t="str">
        <f t="shared" ref="AI331" si="623">IF(AL331&gt;8, 8, "")</f>
        <v/>
      </c>
      <c r="AJ331" s="25">
        <v>10</v>
      </c>
      <c r="AK331" s="25">
        <v>7</v>
      </c>
      <c r="AL331" s="25">
        <v>0</v>
      </c>
      <c r="AM331" s="23" t="s">
        <v>206</v>
      </c>
      <c r="AN331" s="23" t="s">
        <v>92</v>
      </c>
      <c r="AO331" s="26" t="s">
        <v>264</v>
      </c>
      <c r="AR331" s="32" t="str">
        <f t="shared" ref="AR331" si="624">IF(Q331&gt;0, "5 doors", IF(P331&gt;0, "4 doors", IF(O331&gt;0, "3 doors", IF(N331&gt;0, "2 doors", "1 door"))))</f>
        <v>4 doors</v>
      </c>
      <c r="AS331" s="23" t="s">
        <v>265</v>
      </c>
      <c r="AT331" s="23" t="s">
        <v>32</v>
      </c>
      <c r="AU331" s="23" t="str">
        <f t="shared" si="527"/>
        <v>CC</v>
      </c>
      <c r="AV331" s="34">
        <f t="shared" ref="AV331" si="625">(AW331*100)+AX331+(AY331/100)</f>
        <v>8050</v>
      </c>
      <c r="AW331" s="23">
        <v>80</v>
      </c>
      <c r="AX331" s="23">
        <v>50</v>
      </c>
      <c r="AY331" s="23">
        <v>0</v>
      </c>
    </row>
    <row r="332" spans="1:51">
      <c r="A332" s="25" t="s">
        <v>264</v>
      </c>
      <c r="D332" s="23">
        <v>2</v>
      </c>
      <c r="E332" s="25" t="s">
        <v>30</v>
      </c>
      <c r="F332" s="25" t="s">
        <v>295</v>
      </c>
      <c r="G332" s="23" t="s">
        <v>27</v>
      </c>
      <c r="H332" s="23" t="s">
        <v>263</v>
      </c>
      <c r="I332" s="25">
        <v>2001</v>
      </c>
      <c r="J332" s="35">
        <v>30</v>
      </c>
      <c r="K332" s="35">
        <v>40</v>
      </c>
      <c r="L332" s="35">
        <v>20</v>
      </c>
      <c r="M332" s="25">
        <v>10</v>
      </c>
      <c r="N332" s="25">
        <v>10</v>
      </c>
      <c r="O332" s="25">
        <v>10</v>
      </c>
      <c r="P332" s="25">
        <v>10</v>
      </c>
      <c r="R332" s="30">
        <f t="shared" ref="R332" si="626">SUM(M332:Q332)</f>
        <v>40</v>
      </c>
      <c r="S332" s="37">
        <v>1</v>
      </c>
      <c r="T332" s="30">
        <f t="shared" si="540"/>
        <v>28.513142857142856</v>
      </c>
      <c r="U332" s="37">
        <v>1</v>
      </c>
      <c r="V332" s="30">
        <f t="shared" si="539"/>
        <v>41.855809523809519</v>
      </c>
      <c r="W332" s="25">
        <v>90</v>
      </c>
      <c r="X332" s="31">
        <f t="shared" ref="X332" si="627">Y332*1.36</f>
        <v>363.12</v>
      </c>
      <c r="Y332" s="25">
        <v>267</v>
      </c>
      <c r="Z332" s="25">
        <v>15</v>
      </c>
      <c r="AA332" s="25">
        <v>178</v>
      </c>
      <c r="AB332" s="37">
        <v>1</v>
      </c>
      <c r="AC332" s="30">
        <f t="shared" si="538"/>
        <v>200</v>
      </c>
      <c r="AD332" s="31">
        <f t="shared" ref="AD332" si="628">IF(AJ332&gt;8, AJ332-8, AJ332)</f>
        <v>2</v>
      </c>
      <c r="AE332" s="31">
        <f t="shared" ref="AE332" si="629">IF(AJ332&gt;8, 8, "")</f>
        <v>8</v>
      </c>
      <c r="AF332" s="31">
        <f t="shared" ref="AF332" si="630">IF(AK332&gt;8, AK332-8, IF(AK332=0, "", AK332))</f>
        <v>7</v>
      </c>
      <c r="AG332" s="31" t="str">
        <f t="shared" ref="AG332" si="631">IF(AK332&gt;8, 8, "")</f>
        <v/>
      </c>
      <c r="AH332" s="31" t="str">
        <f t="shared" ref="AH332" si="632">IF(AL332&gt;8, AL332-8, IF(AL332=0, "", AL332))</f>
        <v/>
      </c>
      <c r="AI332" s="31" t="str">
        <f t="shared" ref="AI332" si="633">IF(AL332&gt;8, 8, "")</f>
        <v/>
      </c>
      <c r="AJ332" s="25">
        <v>10</v>
      </c>
      <c r="AK332" s="25">
        <v>7</v>
      </c>
      <c r="AL332" s="25">
        <v>0</v>
      </c>
      <c r="AM332" s="23" t="s">
        <v>206</v>
      </c>
      <c r="AN332" s="23" t="s">
        <v>92</v>
      </c>
      <c r="AO332" s="26" t="s">
        <v>264</v>
      </c>
      <c r="AR332" s="32" t="str">
        <f t="shared" ref="AR332" si="634">IF(Q332&gt;0, "5 doors", IF(P332&gt;0, "4 doors", IF(O332&gt;0, "3 doors", IF(N332&gt;0, "2 doors", "1 door"))))</f>
        <v>4 doors</v>
      </c>
      <c r="AS332" s="23" t="s">
        <v>266</v>
      </c>
      <c r="AT332" s="23" t="s">
        <v>32</v>
      </c>
      <c r="AU332" s="23" t="str">
        <f t="shared" si="527"/>
        <v>CC</v>
      </c>
      <c r="AV332" s="34">
        <f t="shared" ref="AV332" si="635">(AW332*100)+AX332+(AY332/100)</f>
        <v>8060</v>
      </c>
      <c r="AW332" s="23">
        <v>80</v>
      </c>
      <c r="AX332" s="23">
        <v>60</v>
      </c>
      <c r="AY332" s="23">
        <v>0</v>
      </c>
    </row>
  </sheetData>
  <autoFilter ref="A1:AY332" xr:uid="{4632EB64-3C9B-49A1-A2BE-C39B89F1FE5D}">
    <sortState xmlns:xlrd2="http://schemas.microsoft.com/office/spreadsheetml/2017/richdata2" ref="A2:AY309">
      <sortCondition ref="AV1:AV309"/>
    </sortState>
  </autoFilter>
  <phoneticPr fontId="1" type="noConversion"/>
  <conditionalFormatting sqref="A2:A400">
    <cfRule type="expression" dxfId="11" priority="1">
      <formula>$AY2=0</formula>
    </cfRule>
  </conditionalFormatting>
  <conditionalFormatting sqref="I1:I1048576">
    <cfRule type="cellIs" dxfId="10" priority="6" operator="equal">
      <formula>2029</formula>
    </cfRule>
  </conditionalFormatting>
  <conditionalFormatting sqref="J1:M1048576 Z1:AA1048576">
    <cfRule type="cellIs" dxfId="9" priority="5" operator="equal">
      <formula>1</formula>
    </cfRule>
  </conditionalFormatting>
  <conditionalFormatting sqref="S1:S1048576 U1:U1048576 AB1:AB1048576">
    <cfRule type="cellIs" dxfId="8" priority="2" operator="notEqual">
      <formula>1</formula>
    </cfRule>
  </conditionalFormatting>
  <conditionalFormatting sqref="W1:W1048576">
    <cfRule type="cellIs" dxfId="7" priority="4" operator="equal">
      <formula>260</formula>
    </cfRule>
  </conditionalFormatting>
  <conditionalFormatting sqref="Y1:Y1048576">
    <cfRule type="cellIs" dxfId="6" priority="3" operator="equal">
      <formula>30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25</v>
      </c>
      <c r="B1" s="2" t="s">
        <v>22</v>
      </c>
      <c r="C1" s="3" t="s">
        <v>23</v>
      </c>
      <c r="D1" s="4" t="s">
        <v>24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</v>
      </c>
    </row>
    <row r="12" spans="1:35">
      <c r="A12" t="s">
        <v>3</v>
      </c>
      <c r="B12" t="s">
        <v>8</v>
      </c>
      <c r="D12" s="1"/>
    </row>
    <row r="13" spans="1:35">
      <c r="A13" t="s">
        <v>4</v>
      </c>
      <c r="B13" t="s">
        <v>9</v>
      </c>
      <c r="C13" s="1"/>
      <c r="D13" s="1"/>
    </row>
    <row r="14" spans="1:35">
      <c r="A14" t="s">
        <v>5</v>
      </c>
      <c r="B14" t="s">
        <v>10</v>
      </c>
      <c r="C14" s="1"/>
      <c r="D14" s="1"/>
    </row>
    <row r="16" spans="1:35">
      <c r="A16" t="s">
        <v>1</v>
      </c>
      <c r="B16" t="s">
        <v>6</v>
      </c>
    </row>
    <row r="17" spans="1:2">
      <c r="A17" t="s">
        <v>3</v>
      </c>
      <c r="B17" t="s">
        <v>7</v>
      </c>
    </row>
    <row r="18" spans="1:2">
      <c r="A18" t="s">
        <v>4</v>
      </c>
      <c r="B18" t="s">
        <v>11</v>
      </c>
    </row>
    <row r="19" spans="1:2">
      <c r="A19" t="s">
        <v>5</v>
      </c>
      <c r="B19" t="s">
        <v>12</v>
      </c>
    </row>
    <row r="21" spans="1:2">
      <c r="B21" t="s">
        <v>87</v>
      </c>
    </row>
    <row r="22" spans="1:2">
      <c r="A22" t="s">
        <v>13</v>
      </c>
      <c r="B22" t="s">
        <v>2</v>
      </c>
    </row>
    <row r="23" spans="1:2">
      <c r="A23" t="s">
        <v>3</v>
      </c>
      <c r="B23" t="s">
        <v>15</v>
      </c>
    </row>
    <row r="24" spans="1:2">
      <c r="A24" t="s">
        <v>4</v>
      </c>
      <c r="B24" t="s">
        <v>16</v>
      </c>
    </row>
    <row r="25" spans="1:2">
      <c r="A25" t="s">
        <v>21</v>
      </c>
      <c r="B25" t="s">
        <v>17</v>
      </c>
    </row>
    <row r="27" spans="1:2">
      <c r="B27" t="s">
        <v>88</v>
      </c>
    </row>
    <row r="28" spans="1:2">
      <c r="A28" t="s">
        <v>14</v>
      </c>
      <c r="B28" t="s">
        <v>6</v>
      </c>
    </row>
    <row r="29" spans="1:2">
      <c r="A29" t="s">
        <v>3</v>
      </c>
      <c r="B29" t="s">
        <v>18</v>
      </c>
    </row>
    <row r="30" spans="1:2">
      <c r="A30" t="s">
        <v>4</v>
      </c>
      <c r="B30" t="s">
        <v>19</v>
      </c>
    </row>
    <row r="31" spans="1:2">
      <c r="A31" t="s">
        <v>21</v>
      </c>
      <c r="B31" t="s">
        <v>20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36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38</v>
      </c>
      <c r="Q1" t="s">
        <v>44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38</v>
      </c>
      <c r="AG1" s="21" t="s">
        <v>49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38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39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39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37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35</v>
      </c>
      <c r="Q10" t="s">
        <v>37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35</v>
      </c>
      <c r="AG10" t="s">
        <v>37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35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35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35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35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35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35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35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35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35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35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35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35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35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35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35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35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35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35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35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35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35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35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40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35</v>
      </c>
      <c r="Q19" t="s">
        <v>40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35</v>
      </c>
      <c r="AG19" t="s">
        <v>40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35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35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35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35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35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35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35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35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35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35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35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35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35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35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35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35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35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35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35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35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35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35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41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35</v>
      </c>
      <c r="Q28" t="s">
        <v>41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35</v>
      </c>
      <c r="AG28" t="s">
        <v>41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35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35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35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35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35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35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35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35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35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35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35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35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35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35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35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35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35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35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35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35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35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2026-07-12T11:22:44Z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