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Ikarus-Set/"/>
    </mc:Choice>
  </mc:AlternateContent>
  <xr:revisionPtr revIDLastSave="670" documentId="13_ncr:1_{4FD17092-67A2-4D4C-9A13-270539237338}" xr6:coauthVersionLast="47" xr6:coauthVersionMax="47" xr10:uidLastSave="{EA29BA03-B178-4FC9-9C6C-B61401766A4A}"/>
  <bookViews>
    <workbookView xWindow="15036" yWindow="1560" windowWidth="29784" windowHeight="22632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voxel'!$A$1:$AV$163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S171" i="14" l="1"/>
  <c r="AR171" i="14"/>
  <c r="AO171" i="14"/>
  <c r="AF171" i="14"/>
  <c r="AE171" i="14"/>
  <c r="AD171" i="14"/>
  <c r="AC171" i="14"/>
  <c r="AB171" i="14"/>
  <c r="AA171" i="14"/>
  <c r="Z171" i="14"/>
  <c r="V171" i="14"/>
  <c r="R171" i="14"/>
  <c r="T171" i="14" s="1"/>
  <c r="AS170" i="14"/>
  <c r="AR170" i="14"/>
  <c r="AO170" i="14"/>
  <c r="AF170" i="14"/>
  <c r="AE170" i="14"/>
  <c r="AD170" i="14"/>
  <c r="AC170" i="14"/>
  <c r="AB170" i="14"/>
  <c r="AA170" i="14"/>
  <c r="Z170" i="14"/>
  <c r="V170" i="14"/>
  <c r="R170" i="14"/>
  <c r="T170" i="14" s="1"/>
  <c r="AS169" i="14"/>
  <c r="AR169" i="14"/>
  <c r="AO169" i="14"/>
  <c r="AF169" i="14"/>
  <c r="AE169" i="14"/>
  <c r="AD169" i="14"/>
  <c r="AC169" i="14"/>
  <c r="AB169" i="14"/>
  <c r="AA169" i="14"/>
  <c r="Z169" i="14"/>
  <c r="V169" i="14"/>
  <c r="R169" i="14"/>
  <c r="T169" i="14" s="1"/>
  <c r="AS168" i="14"/>
  <c r="AR168" i="14"/>
  <c r="AO168" i="14"/>
  <c r="AF168" i="14"/>
  <c r="AE168" i="14"/>
  <c r="AD168" i="14"/>
  <c r="AC168" i="14"/>
  <c r="AB168" i="14"/>
  <c r="AA168" i="14"/>
  <c r="Z168" i="14"/>
  <c r="V168" i="14"/>
  <c r="R168" i="14"/>
  <c r="T168" i="14" s="1"/>
  <c r="AS167" i="14"/>
  <c r="AR167" i="14"/>
  <c r="AO167" i="14"/>
  <c r="AF167" i="14"/>
  <c r="AE167" i="14"/>
  <c r="AD167" i="14"/>
  <c r="AC167" i="14"/>
  <c r="AB167" i="14"/>
  <c r="AA167" i="14"/>
  <c r="Z167" i="14"/>
  <c r="V167" i="14"/>
  <c r="R167" i="14"/>
  <c r="T167" i="14" s="1"/>
  <c r="AS166" i="14"/>
  <c r="AR166" i="14"/>
  <c r="AO166" i="14"/>
  <c r="AF166" i="14"/>
  <c r="AE166" i="14"/>
  <c r="AD166" i="14"/>
  <c r="AC166" i="14"/>
  <c r="AB166" i="14"/>
  <c r="AA166" i="14"/>
  <c r="Z166" i="14"/>
  <c r="V166" i="14"/>
  <c r="R166" i="14"/>
  <c r="T166" i="14" s="1"/>
  <c r="AS165" i="14"/>
  <c r="AR165" i="14"/>
  <c r="AO165" i="14"/>
  <c r="AF165" i="14"/>
  <c r="AE165" i="14"/>
  <c r="AD165" i="14"/>
  <c r="AC165" i="14"/>
  <c r="AB165" i="14"/>
  <c r="AA165" i="14"/>
  <c r="Z165" i="14"/>
  <c r="V165" i="14"/>
  <c r="R165" i="14"/>
  <c r="T165" i="14" s="1"/>
  <c r="AS164" i="14"/>
  <c r="AR164" i="14"/>
  <c r="AO164" i="14"/>
  <c r="AF164" i="14"/>
  <c r="AE164" i="14"/>
  <c r="AD164" i="14"/>
  <c r="AC164" i="14"/>
  <c r="AB164" i="14"/>
  <c r="AA164" i="14"/>
  <c r="Z164" i="14"/>
  <c r="V164" i="14"/>
  <c r="T164" i="14"/>
  <c r="R164" i="14"/>
  <c r="S164" i="14" s="1"/>
  <c r="AS163" i="14"/>
  <c r="AR163" i="14"/>
  <c r="AO163" i="14"/>
  <c r="AF163" i="14"/>
  <c r="AE163" i="14"/>
  <c r="AD163" i="14"/>
  <c r="AC163" i="14"/>
  <c r="AB163" i="14"/>
  <c r="AA163" i="14"/>
  <c r="Z163" i="14"/>
  <c r="V163" i="14"/>
  <c r="R163" i="14"/>
  <c r="T163" i="14" s="1"/>
  <c r="AS162" i="14"/>
  <c r="AR162" i="14"/>
  <c r="AO162" i="14"/>
  <c r="AF162" i="14"/>
  <c r="AE162" i="14"/>
  <c r="AD162" i="14"/>
  <c r="AC162" i="14"/>
  <c r="AB162" i="14"/>
  <c r="AA162" i="14"/>
  <c r="Z162" i="14"/>
  <c r="V162" i="14"/>
  <c r="R162" i="14"/>
  <c r="T162" i="14" s="1"/>
  <c r="AS161" i="14"/>
  <c r="AR161" i="14"/>
  <c r="AO161" i="14"/>
  <c r="AF161" i="14"/>
  <c r="AE161" i="14"/>
  <c r="AD161" i="14"/>
  <c r="AC161" i="14"/>
  <c r="AB161" i="14"/>
  <c r="AA161" i="14"/>
  <c r="Z161" i="14"/>
  <c r="V161" i="14"/>
  <c r="R161" i="14"/>
  <c r="S161" i="14" s="1"/>
  <c r="AS160" i="14"/>
  <c r="AR160" i="14"/>
  <c r="AO160" i="14"/>
  <c r="AF160" i="14"/>
  <c r="AE160" i="14"/>
  <c r="AD160" i="14"/>
  <c r="AC160" i="14"/>
  <c r="AB160" i="14"/>
  <c r="AA160" i="14"/>
  <c r="Z160" i="14"/>
  <c r="V160" i="14"/>
  <c r="R160" i="14"/>
  <c r="S160" i="14" s="1"/>
  <c r="AS159" i="14"/>
  <c r="AR159" i="14"/>
  <c r="AO159" i="14"/>
  <c r="AF159" i="14"/>
  <c r="AE159" i="14"/>
  <c r="AD159" i="14"/>
  <c r="AC159" i="14"/>
  <c r="AB159" i="14"/>
  <c r="AA159" i="14"/>
  <c r="Z159" i="14"/>
  <c r="V159" i="14"/>
  <c r="R159" i="14"/>
  <c r="T159" i="14" s="1"/>
  <c r="AS158" i="14"/>
  <c r="AR158" i="14"/>
  <c r="AO158" i="14"/>
  <c r="AF158" i="14"/>
  <c r="AE158" i="14"/>
  <c r="AD158" i="14"/>
  <c r="AC158" i="14"/>
  <c r="AB158" i="14"/>
  <c r="AA158" i="14"/>
  <c r="Z158" i="14"/>
  <c r="V158" i="14"/>
  <c r="R158" i="14"/>
  <c r="T158" i="14" s="1"/>
  <c r="AS157" i="14"/>
  <c r="AR157" i="14"/>
  <c r="AO157" i="14"/>
  <c r="AF157" i="14"/>
  <c r="AE157" i="14"/>
  <c r="AD157" i="14"/>
  <c r="AC157" i="14"/>
  <c r="AB157" i="14"/>
  <c r="AA157" i="14"/>
  <c r="Z157" i="14"/>
  <c r="V157" i="14"/>
  <c r="R157" i="14"/>
  <c r="T157" i="14" s="1"/>
  <c r="AS156" i="14"/>
  <c r="AR156" i="14"/>
  <c r="AO156" i="14"/>
  <c r="AF156" i="14"/>
  <c r="AE156" i="14"/>
  <c r="AD156" i="14"/>
  <c r="AC156" i="14"/>
  <c r="AB156" i="14"/>
  <c r="AA156" i="14"/>
  <c r="Z156" i="14"/>
  <c r="V156" i="14"/>
  <c r="R156" i="14"/>
  <c r="T156" i="14" s="1"/>
  <c r="AS155" i="14"/>
  <c r="AR155" i="14"/>
  <c r="AO155" i="14"/>
  <c r="AF155" i="14"/>
  <c r="AE155" i="14"/>
  <c r="AD155" i="14"/>
  <c r="AC155" i="14"/>
  <c r="AB155" i="14"/>
  <c r="AA155" i="14"/>
  <c r="Z155" i="14"/>
  <c r="V155" i="14"/>
  <c r="R155" i="14"/>
  <c r="S155" i="14" s="1"/>
  <c r="AS154" i="14"/>
  <c r="AR154" i="14"/>
  <c r="AO154" i="14"/>
  <c r="AF154" i="14"/>
  <c r="AE154" i="14"/>
  <c r="AD154" i="14"/>
  <c r="AC154" i="14"/>
  <c r="AB154" i="14"/>
  <c r="AA154" i="14"/>
  <c r="Z154" i="14"/>
  <c r="V154" i="14"/>
  <c r="R154" i="14"/>
  <c r="T154" i="14" s="1"/>
  <c r="AS153" i="14"/>
  <c r="AR153" i="14"/>
  <c r="AO153" i="14"/>
  <c r="AF153" i="14"/>
  <c r="AE153" i="14"/>
  <c r="AD153" i="14"/>
  <c r="AC153" i="14"/>
  <c r="AB153" i="14"/>
  <c r="AA153" i="14"/>
  <c r="Z153" i="14"/>
  <c r="V153" i="14"/>
  <c r="R153" i="14"/>
  <c r="T153" i="14" s="1"/>
  <c r="AS152" i="14"/>
  <c r="AR152" i="14"/>
  <c r="AO152" i="14"/>
  <c r="AF152" i="14"/>
  <c r="AE152" i="14"/>
  <c r="AD152" i="14"/>
  <c r="AC152" i="14"/>
  <c r="AB152" i="14"/>
  <c r="AA152" i="14"/>
  <c r="Z152" i="14"/>
  <c r="V152" i="14"/>
  <c r="R152" i="14"/>
  <c r="T152" i="14" s="1"/>
  <c r="AS151" i="14"/>
  <c r="AR151" i="14"/>
  <c r="AO151" i="14"/>
  <c r="AF151" i="14"/>
  <c r="AE151" i="14"/>
  <c r="AD151" i="14"/>
  <c r="AC151" i="14"/>
  <c r="AB151" i="14"/>
  <c r="AA151" i="14"/>
  <c r="Z151" i="14"/>
  <c r="V151" i="14"/>
  <c r="R151" i="14"/>
  <c r="T151" i="14" s="1"/>
  <c r="AS150" i="14"/>
  <c r="AR150" i="14"/>
  <c r="AO150" i="14"/>
  <c r="AF150" i="14"/>
  <c r="AE150" i="14"/>
  <c r="AD150" i="14"/>
  <c r="AC150" i="14"/>
  <c r="AB150" i="14"/>
  <c r="AA150" i="14"/>
  <c r="Z150" i="14"/>
  <c r="V150" i="14"/>
  <c r="R150" i="14"/>
  <c r="T150" i="14" s="1"/>
  <c r="AS149" i="14"/>
  <c r="AR149" i="14"/>
  <c r="AO149" i="14"/>
  <c r="AF149" i="14"/>
  <c r="AE149" i="14"/>
  <c r="AD149" i="14"/>
  <c r="AC149" i="14"/>
  <c r="AB149" i="14"/>
  <c r="AA149" i="14"/>
  <c r="Z149" i="14"/>
  <c r="V149" i="14"/>
  <c r="R149" i="14"/>
  <c r="T149" i="14" s="1"/>
  <c r="AS148" i="14"/>
  <c r="AR148" i="14"/>
  <c r="AO148" i="14"/>
  <c r="AF148" i="14"/>
  <c r="AE148" i="14"/>
  <c r="AD148" i="14"/>
  <c r="AC148" i="14"/>
  <c r="AB148" i="14"/>
  <c r="AA148" i="14"/>
  <c r="Z148" i="14"/>
  <c r="V148" i="14"/>
  <c r="R148" i="14"/>
  <c r="T148" i="14" s="1"/>
  <c r="AS147" i="14"/>
  <c r="AR147" i="14"/>
  <c r="AO147" i="14"/>
  <c r="AF147" i="14"/>
  <c r="AE147" i="14"/>
  <c r="AD147" i="14"/>
  <c r="AC147" i="14"/>
  <c r="AB147" i="14"/>
  <c r="AA147" i="14"/>
  <c r="Z147" i="14"/>
  <c r="V147" i="14"/>
  <c r="R147" i="14"/>
  <c r="S147" i="14" s="1"/>
  <c r="AS146" i="14"/>
  <c r="AR146" i="14"/>
  <c r="AO146" i="14"/>
  <c r="AF146" i="14"/>
  <c r="AE146" i="14"/>
  <c r="AD146" i="14"/>
  <c r="AC146" i="14"/>
  <c r="AB146" i="14"/>
  <c r="AA146" i="14"/>
  <c r="Z146" i="14"/>
  <c r="V146" i="14"/>
  <c r="R146" i="14"/>
  <c r="T146" i="14" s="1"/>
  <c r="AS145" i="14"/>
  <c r="AR145" i="14"/>
  <c r="AO145" i="14"/>
  <c r="AF145" i="14"/>
  <c r="AE145" i="14"/>
  <c r="AD145" i="14"/>
  <c r="AC145" i="14"/>
  <c r="AB145" i="14"/>
  <c r="AA145" i="14"/>
  <c r="Z145" i="14"/>
  <c r="V145" i="14"/>
  <c r="R145" i="14"/>
  <c r="T145" i="14" s="1"/>
  <c r="AS144" i="14"/>
  <c r="AR144" i="14"/>
  <c r="AO144" i="14"/>
  <c r="AF144" i="14"/>
  <c r="AE144" i="14"/>
  <c r="AD144" i="14"/>
  <c r="AC144" i="14"/>
  <c r="AB144" i="14"/>
  <c r="AA144" i="14"/>
  <c r="Z144" i="14"/>
  <c r="V144" i="14"/>
  <c r="S144" i="14"/>
  <c r="R144" i="14"/>
  <c r="T144" i="14" s="1"/>
  <c r="AS143" i="14"/>
  <c r="AR143" i="14"/>
  <c r="AO143" i="14"/>
  <c r="AF143" i="14"/>
  <c r="AE143" i="14"/>
  <c r="AD143" i="14"/>
  <c r="AC143" i="14"/>
  <c r="AB143" i="14"/>
  <c r="AA143" i="14"/>
  <c r="Z143" i="14"/>
  <c r="V143" i="14"/>
  <c r="R143" i="14"/>
  <c r="T143" i="14" s="1"/>
  <c r="AS142" i="14"/>
  <c r="AR142" i="14"/>
  <c r="AO142" i="14"/>
  <c r="AF142" i="14"/>
  <c r="AE142" i="14"/>
  <c r="AD142" i="14"/>
  <c r="AC142" i="14"/>
  <c r="AB142" i="14"/>
  <c r="AA142" i="14"/>
  <c r="Z142" i="14"/>
  <c r="V142" i="14"/>
  <c r="R142" i="14"/>
  <c r="T142" i="14" s="1"/>
  <c r="AS141" i="14"/>
  <c r="AR141" i="14"/>
  <c r="AO141" i="14"/>
  <c r="AF141" i="14"/>
  <c r="AE141" i="14"/>
  <c r="AD141" i="14"/>
  <c r="AC141" i="14"/>
  <c r="AB141" i="14"/>
  <c r="AA141" i="14"/>
  <c r="Z141" i="14"/>
  <c r="V141" i="14"/>
  <c r="R141" i="14"/>
  <c r="T141" i="14" s="1"/>
  <c r="AS140" i="14"/>
  <c r="AR140" i="14"/>
  <c r="AO140" i="14"/>
  <c r="AF140" i="14"/>
  <c r="AE140" i="14"/>
  <c r="AD140" i="14"/>
  <c r="AC140" i="14"/>
  <c r="AB140" i="14"/>
  <c r="AA140" i="14"/>
  <c r="Z140" i="14"/>
  <c r="V140" i="14"/>
  <c r="R140" i="14"/>
  <c r="T140" i="14" s="1"/>
  <c r="AS139" i="14"/>
  <c r="AR139" i="14"/>
  <c r="AO139" i="14"/>
  <c r="AF139" i="14"/>
  <c r="AE139" i="14"/>
  <c r="AD139" i="14"/>
  <c r="AC139" i="14"/>
  <c r="AB139" i="14"/>
  <c r="AA139" i="14"/>
  <c r="Z139" i="14"/>
  <c r="V139" i="14"/>
  <c r="R139" i="14"/>
  <c r="T139" i="14" s="1"/>
  <c r="AS138" i="14"/>
  <c r="AR138" i="14"/>
  <c r="AO138" i="14"/>
  <c r="AF138" i="14"/>
  <c r="AE138" i="14"/>
  <c r="AD138" i="14"/>
  <c r="AC138" i="14"/>
  <c r="AB138" i="14"/>
  <c r="AA138" i="14"/>
  <c r="Z138" i="14"/>
  <c r="V138" i="14"/>
  <c r="R138" i="14"/>
  <c r="T138" i="14" s="1"/>
  <c r="AS137" i="14"/>
  <c r="AR137" i="14"/>
  <c r="AO137" i="14"/>
  <c r="AF137" i="14"/>
  <c r="AE137" i="14"/>
  <c r="AD137" i="14"/>
  <c r="AC137" i="14"/>
  <c r="AB137" i="14"/>
  <c r="AA137" i="14"/>
  <c r="Z137" i="14"/>
  <c r="V137" i="14"/>
  <c r="R137" i="14"/>
  <c r="S137" i="14" s="1"/>
  <c r="AS136" i="14"/>
  <c r="AR136" i="14"/>
  <c r="AO136" i="14"/>
  <c r="AF136" i="14"/>
  <c r="AE136" i="14"/>
  <c r="AD136" i="14"/>
  <c r="AC136" i="14"/>
  <c r="AB136" i="14"/>
  <c r="AA136" i="14"/>
  <c r="Z136" i="14"/>
  <c r="V136" i="14"/>
  <c r="R136" i="14"/>
  <c r="T136" i="14" s="1"/>
  <c r="AS135" i="14"/>
  <c r="AR135" i="14"/>
  <c r="AO135" i="14"/>
  <c r="AF135" i="14"/>
  <c r="AE135" i="14"/>
  <c r="AD135" i="14"/>
  <c r="AC135" i="14"/>
  <c r="AB135" i="14"/>
  <c r="AA135" i="14"/>
  <c r="Z135" i="14"/>
  <c r="V135" i="14"/>
  <c r="R135" i="14"/>
  <c r="T135" i="14" s="1"/>
  <c r="AS134" i="14"/>
  <c r="AR134" i="14"/>
  <c r="AO134" i="14"/>
  <c r="AF134" i="14"/>
  <c r="AE134" i="14"/>
  <c r="AD134" i="14"/>
  <c r="AC134" i="14"/>
  <c r="AB134" i="14"/>
  <c r="AA134" i="14"/>
  <c r="Z134" i="14"/>
  <c r="V134" i="14"/>
  <c r="S134" i="14"/>
  <c r="R134" i="14"/>
  <c r="T134" i="14" s="1"/>
  <c r="AS133" i="14"/>
  <c r="AR133" i="14"/>
  <c r="AO133" i="14"/>
  <c r="AF133" i="14"/>
  <c r="AE133" i="14"/>
  <c r="AD133" i="14"/>
  <c r="AC133" i="14"/>
  <c r="AB133" i="14"/>
  <c r="AA133" i="14"/>
  <c r="Z133" i="14"/>
  <c r="V133" i="14"/>
  <c r="R133" i="14"/>
  <c r="T133" i="14" s="1"/>
  <c r="AS132" i="14"/>
  <c r="AR132" i="14"/>
  <c r="AO132" i="14"/>
  <c r="AF132" i="14"/>
  <c r="AE132" i="14"/>
  <c r="AD132" i="14"/>
  <c r="AC132" i="14"/>
  <c r="AB132" i="14"/>
  <c r="AA132" i="14"/>
  <c r="Z132" i="14"/>
  <c r="V132" i="14"/>
  <c r="S132" i="14"/>
  <c r="R132" i="14"/>
  <c r="T132" i="14" s="1"/>
  <c r="AS131" i="14"/>
  <c r="AR131" i="14"/>
  <c r="AO131" i="14"/>
  <c r="AF131" i="14"/>
  <c r="AE131" i="14"/>
  <c r="AD131" i="14"/>
  <c r="AC131" i="14"/>
  <c r="AB131" i="14"/>
  <c r="AA131" i="14"/>
  <c r="Z131" i="14"/>
  <c r="V131" i="14"/>
  <c r="R131" i="14"/>
  <c r="S131" i="14" s="1"/>
  <c r="AS130" i="14"/>
  <c r="AR130" i="14"/>
  <c r="AO130" i="14"/>
  <c r="AF130" i="14"/>
  <c r="AE130" i="14"/>
  <c r="AD130" i="14"/>
  <c r="AC130" i="14"/>
  <c r="AB130" i="14"/>
  <c r="AA130" i="14"/>
  <c r="Z130" i="14"/>
  <c r="V130" i="14"/>
  <c r="R130" i="14"/>
  <c r="T130" i="14" s="1"/>
  <c r="AS129" i="14"/>
  <c r="AR129" i="14"/>
  <c r="AO129" i="14"/>
  <c r="AF129" i="14"/>
  <c r="AE129" i="14"/>
  <c r="AD129" i="14"/>
  <c r="AC129" i="14"/>
  <c r="AB129" i="14"/>
  <c r="AA129" i="14"/>
  <c r="Z129" i="14"/>
  <c r="V129" i="14"/>
  <c r="R129" i="14"/>
  <c r="T129" i="14" s="1"/>
  <c r="AS128" i="14"/>
  <c r="AR128" i="14"/>
  <c r="AO128" i="14"/>
  <c r="AF128" i="14"/>
  <c r="AE128" i="14"/>
  <c r="AD128" i="14"/>
  <c r="AC128" i="14"/>
  <c r="AB128" i="14"/>
  <c r="AA128" i="14"/>
  <c r="Z128" i="14"/>
  <c r="V128" i="14"/>
  <c r="R128" i="14"/>
  <c r="T128" i="14" s="1"/>
  <c r="AS127" i="14"/>
  <c r="AR127" i="14"/>
  <c r="AO127" i="14"/>
  <c r="AF127" i="14"/>
  <c r="AE127" i="14"/>
  <c r="AD127" i="14"/>
  <c r="AC127" i="14"/>
  <c r="AB127" i="14"/>
  <c r="AA127" i="14"/>
  <c r="Z127" i="14"/>
  <c r="V127" i="14"/>
  <c r="R127" i="14"/>
  <c r="T127" i="14" s="1"/>
  <c r="AS126" i="14"/>
  <c r="AR126" i="14"/>
  <c r="AO126" i="14"/>
  <c r="AF126" i="14"/>
  <c r="AE126" i="14"/>
  <c r="AD126" i="14"/>
  <c r="AC126" i="14"/>
  <c r="AB126" i="14"/>
  <c r="AA126" i="14"/>
  <c r="Z126" i="14"/>
  <c r="V126" i="14"/>
  <c r="R126" i="14"/>
  <c r="T126" i="14" s="1"/>
  <c r="AS125" i="14"/>
  <c r="AR125" i="14"/>
  <c r="AO125" i="14"/>
  <c r="AF125" i="14"/>
  <c r="AE125" i="14"/>
  <c r="AD125" i="14"/>
  <c r="AC125" i="14"/>
  <c r="AB125" i="14"/>
  <c r="AA125" i="14"/>
  <c r="Z125" i="14"/>
  <c r="V125" i="14"/>
  <c r="R125" i="14"/>
  <c r="T125" i="14" s="1"/>
  <c r="AS124" i="14"/>
  <c r="AR124" i="14"/>
  <c r="AO124" i="14"/>
  <c r="AF124" i="14"/>
  <c r="AE124" i="14"/>
  <c r="AD124" i="14"/>
  <c r="AC124" i="14"/>
  <c r="AB124" i="14"/>
  <c r="AA124" i="14"/>
  <c r="Z124" i="14"/>
  <c r="V124" i="14"/>
  <c r="T124" i="14"/>
  <c r="R124" i="14"/>
  <c r="S124" i="14" s="1"/>
  <c r="AS123" i="14"/>
  <c r="AR123" i="14"/>
  <c r="AO123" i="14"/>
  <c r="AF123" i="14"/>
  <c r="AE123" i="14"/>
  <c r="AD123" i="14"/>
  <c r="AC123" i="14"/>
  <c r="AB123" i="14"/>
  <c r="AA123" i="14"/>
  <c r="Z123" i="14"/>
  <c r="V123" i="14"/>
  <c r="R123" i="14"/>
  <c r="T123" i="14" s="1"/>
  <c r="AS122" i="14"/>
  <c r="AR122" i="14"/>
  <c r="AO122" i="14"/>
  <c r="AF122" i="14"/>
  <c r="AE122" i="14"/>
  <c r="AD122" i="14"/>
  <c r="AC122" i="14"/>
  <c r="AB122" i="14"/>
  <c r="AA122" i="14"/>
  <c r="Z122" i="14"/>
  <c r="V122" i="14"/>
  <c r="R122" i="14"/>
  <c r="S122" i="14" s="1"/>
  <c r="AS121" i="14"/>
  <c r="AR121" i="14"/>
  <c r="AO121" i="14"/>
  <c r="AF121" i="14"/>
  <c r="AE121" i="14"/>
  <c r="AD121" i="14"/>
  <c r="AC121" i="14"/>
  <c r="AB121" i="14"/>
  <c r="AA121" i="14"/>
  <c r="Z121" i="14"/>
  <c r="V121" i="14"/>
  <c r="R121" i="14"/>
  <c r="T121" i="14" s="1"/>
  <c r="AS120" i="14"/>
  <c r="AR120" i="14"/>
  <c r="AO120" i="14"/>
  <c r="AF120" i="14"/>
  <c r="AE120" i="14"/>
  <c r="AD120" i="14"/>
  <c r="AC120" i="14"/>
  <c r="AB120" i="14"/>
  <c r="AA120" i="14"/>
  <c r="Z120" i="14"/>
  <c r="V120" i="14"/>
  <c r="R120" i="14"/>
  <c r="T120" i="14" s="1"/>
  <c r="AS119" i="14"/>
  <c r="AR119" i="14"/>
  <c r="AO119" i="14"/>
  <c r="AF119" i="14"/>
  <c r="AE119" i="14"/>
  <c r="AD119" i="14"/>
  <c r="AC119" i="14"/>
  <c r="AB119" i="14"/>
  <c r="AA119" i="14"/>
  <c r="Z119" i="14"/>
  <c r="V119" i="14"/>
  <c r="R119" i="14"/>
  <c r="S119" i="14" s="1"/>
  <c r="AS118" i="14"/>
  <c r="AR118" i="14"/>
  <c r="AO118" i="14"/>
  <c r="AF118" i="14"/>
  <c r="AE118" i="14"/>
  <c r="AD118" i="14"/>
  <c r="AC118" i="14"/>
  <c r="AB118" i="14"/>
  <c r="AA118" i="14"/>
  <c r="Z118" i="14"/>
  <c r="V118" i="14"/>
  <c r="R118" i="14"/>
  <c r="S118" i="14" s="1"/>
  <c r="AS117" i="14"/>
  <c r="AR117" i="14"/>
  <c r="AO117" i="14"/>
  <c r="AF117" i="14"/>
  <c r="AE117" i="14"/>
  <c r="AD117" i="14"/>
  <c r="AC117" i="14"/>
  <c r="AB117" i="14"/>
  <c r="AA117" i="14"/>
  <c r="Z117" i="14"/>
  <c r="V117" i="14"/>
  <c r="R117" i="14"/>
  <c r="T117" i="14" s="1"/>
  <c r="AS116" i="14"/>
  <c r="AR116" i="14"/>
  <c r="AO116" i="14"/>
  <c r="AF116" i="14"/>
  <c r="AE116" i="14"/>
  <c r="AD116" i="14"/>
  <c r="AC116" i="14"/>
  <c r="AB116" i="14"/>
  <c r="AA116" i="14"/>
  <c r="Z116" i="14"/>
  <c r="V116" i="14"/>
  <c r="R116" i="14"/>
  <c r="S116" i="14" s="1"/>
  <c r="AS115" i="14"/>
  <c r="AR115" i="14"/>
  <c r="AO115" i="14"/>
  <c r="AF115" i="14"/>
  <c r="AE115" i="14"/>
  <c r="AD115" i="14"/>
  <c r="AC115" i="14"/>
  <c r="AB115" i="14"/>
  <c r="AA115" i="14"/>
  <c r="Z115" i="14"/>
  <c r="V115" i="14"/>
  <c r="R115" i="14"/>
  <c r="T115" i="14" s="1"/>
  <c r="AS114" i="14"/>
  <c r="AR114" i="14"/>
  <c r="AO114" i="14"/>
  <c r="AF114" i="14"/>
  <c r="AE114" i="14"/>
  <c r="AD114" i="14"/>
  <c r="AC114" i="14"/>
  <c r="AB114" i="14"/>
  <c r="AA114" i="14"/>
  <c r="Z114" i="14"/>
  <c r="V114" i="14"/>
  <c r="R114" i="14"/>
  <c r="T114" i="14" s="1"/>
  <c r="AS113" i="14"/>
  <c r="AR113" i="14"/>
  <c r="AO113" i="14"/>
  <c r="AF113" i="14"/>
  <c r="AE113" i="14"/>
  <c r="AD113" i="14"/>
  <c r="AC113" i="14"/>
  <c r="AB113" i="14"/>
  <c r="AA113" i="14"/>
  <c r="Z113" i="14"/>
  <c r="V113" i="14"/>
  <c r="R113" i="14"/>
  <c r="T113" i="14" s="1"/>
  <c r="AS112" i="14"/>
  <c r="AR112" i="14"/>
  <c r="AO112" i="14"/>
  <c r="AF112" i="14"/>
  <c r="AE112" i="14"/>
  <c r="AD112" i="14"/>
  <c r="AC112" i="14"/>
  <c r="AB112" i="14"/>
  <c r="AA112" i="14"/>
  <c r="Z112" i="14"/>
  <c r="V112" i="14"/>
  <c r="R112" i="14"/>
  <c r="S112" i="14" s="1"/>
  <c r="AS111" i="14"/>
  <c r="AR111" i="14"/>
  <c r="AO111" i="14"/>
  <c r="AF111" i="14"/>
  <c r="AE111" i="14"/>
  <c r="AD111" i="14"/>
  <c r="AC111" i="14"/>
  <c r="AB111" i="14"/>
  <c r="AA111" i="14"/>
  <c r="Z111" i="14"/>
  <c r="V111" i="14"/>
  <c r="R111" i="14"/>
  <c r="T111" i="14" s="1"/>
  <c r="AS110" i="14"/>
  <c r="AR110" i="14"/>
  <c r="AO110" i="14"/>
  <c r="AF110" i="14"/>
  <c r="AE110" i="14"/>
  <c r="AD110" i="14"/>
  <c r="AC110" i="14"/>
  <c r="AB110" i="14"/>
  <c r="AA110" i="14"/>
  <c r="Z110" i="14"/>
  <c r="V110" i="14"/>
  <c r="R110" i="14"/>
  <c r="T110" i="14" s="1"/>
  <c r="AS109" i="14"/>
  <c r="AR109" i="14"/>
  <c r="AO109" i="14"/>
  <c r="AF109" i="14"/>
  <c r="AE109" i="14"/>
  <c r="AD109" i="14"/>
  <c r="AC109" i="14"/>
  <c r="AB109" i="14"/>
  <c r="AA109" i="14"/>
  <c r="Z109" i="14"/>
  <c r="V109" i="14"/>
  <c r="R109" i="14"/>
  <c r="T109" i="14" s="1"/>
  <c r="AS108" i="14"/>
  <c r="AR108" i="14"/>
  <c r="AO108" i="14"/>
  <c r="AF108" i="14"/>
  <c r="AE108" i="14"/>
  <c r="AD108" i="14"/>
  <c r="AC108" i="14"/>
  <c r="AB108" i="14"/>
  <c r="AA108" i="14"/>
  <c r="Z108" i="14"/>
  <c r="V108" i="14"/>
  <c r="T108" i="14"/>
  <c r="S108" i="14"/>
  <c r="R108" i="14"/>
  <c r="AS107" i="14"/>
  <c r="AR107" i="14"/>
  <c r="AO107" i="14"/>
  <c r="AF107" i="14"/>
  <c r="AE107" i="14"/>
  <c r="AD107" i="14"/>
  <c r="AC107" i="14"/>
  <c r="AB107" i="14"/>
  <c r="AA107" i="14"/>
  <c r="Z107" i="14"/>
  <c r="V107" i="14"/>
  <c r="R107" i="14"/>
  <c r="T107" i="14" s="1"/>
  <c r="AS106" i="14"/>
  <c r="AR106" i="14"/>
  <c r="AO106" i="14"/>
  <c r="AF106" i="14"/>
  <c r="AE106" i="14"/>
  <c r="AD106" i="14"/>
  <c r="AC106" i="14"/>
  <c r="AB106" i="14"/>
  <c r="AA106" i="14"/>
  <c r="Z106" i="14"/>
  <c r="V106" i="14"/>
  <c r="R106" i="14"/>
  <c r="T106" i="14" s="1"/>
  <c r="AS105" i="14"/>
  <c r="AR105" i="14"/>
  <c r="AO105" i="14"/>
  <c r="AF105" i="14"/>
  <c r="AE105" i="14"/>
  <c r="AD105" i="14"/>
  <c r="AC105" i="14"/>
  <c r="AB105" i="14"/>
  <c r="AA105" i="14"/>
  <c r="Z105" i="14"/>
  <c r="V105" i="14"/>
  <c r="R105" i="14"/>
  <c r="T105" i="14" s="1"/>
  <c r="AS104" i="14"/>
  <c r="AR104" i="14"/>
  <c r="AO104" i="14"/>
  <c r="AF104" i="14"/>
  <c r="AE104" i="14"/>
  <c r="AD104" i="14"/>
  <c r="AC104" i="14"/>
  <c r="AB104" i="14"/>
  <c r="AA104" i="14"/>
  <c r="Z104" i="14"/>
  <c r="V104" i="14"/>
  <c r="R104" i="14"/>
  <c r="T104" i="14" s="1"/>
  <c r="AS103" i="14"/>
  <c r="AR103" i="14"/>
  <c r="AO103" i="14"/>
  <c r="AF103" i="14"/>
  <c r="AE103" i="14"/>
  <c r="AD103" i="14"/>
  <c r="AC103" i="14"/>
  <c r="AB103" i="14"/>
  <c r="AA103" i="14"/>
  <c r="Z103" i="14"/>
  <c r="V103" i="14"/>
  <c r="R103" i="14"/>
  <c r="T103" i="14" s="1"/>
  <c r="AS102" i="14"/>
  <c r="AR102" i="14"/>
  <c r="AO102" i="14"/>
  <c r="AF102" i="14"/>
  <c r="AE102" i="14"/>
  <c r="AD102" i="14"/>
  <c r="AC102" i="14"/>
  <c r="AB102" i="14"/>
  <c r="AA102" i="14"/>
  <c r="Z102" i="14"/>
  <c r="V102" i="14"/>
  <c r="R102" i="14"/>
  <c r="T102" i="14" s="1"/>
  <c r="AS101" i="14"/>
  <c r="AR101" i="14"/>
  <c r="AO101" i="14"/>
  <c r="AF101" i="14"/>
  <c r="AE101" i="14"/>
  <c r="AD101" i="14"/>
  <c r="AC101" i="14"/>
  <c r="AB101" i="14"/>
  <c r="AA101" i="14"/>
  <c r="Z101" i="14"/>
  <c r="V101" i="14"/>
  <c r="R101" i="14"/>
  <c r="S101" i="14" s="1"/>
  <c r="AS100" i="14"/>
  <c r="AR100" i="14"/>
  <c r="AO100" i="14"/>
  <c r="AF100" i="14"/>
  <c r="AE100" i="14"/>
  <c r="AD100" i="14"/>
  <c r="AC100" i="14"/>
  <c r="AB100" i="14"/>
  <c r="AA100" i="14"/>
  <c r="Z100" i="14"/>
  <c r="V100" i="14"/>
  <c r="R100" i="14"/>
  <c r="T100" i="14" s="1"/>
  <c r="AS99" i="14"/>
  <c r="AR99" i="14"/>
  <c r="AO99" i="14"/>
  <c r="AF99" i="14"/>
  <c r="AE99" i="14"/>
  <c r="AD99" i="14"/>
  <c r="AC99" i="14"/>
  <c r="AB99" i="14"/>
  <c r="AA99" i="14"/>
  <c r="Z99" i="14"/>
  <c r="V99" i="14"/>
  <c r="R99" i="14"/>
  <c r="T99" i="14" s="1"/>
  <c r="AS98" i="14"/>
  <c r="AR98" i="14"/>
  <c r="AO98" i="14"/>
  <c r="AF98" i="14"/>
  <c r="AE98" i="14"/>
  <c r="AD98" i="14"/>
  <c r="AC98" i="14"/>
  <c r="AB98" i="14"/>
  <c r="AA98" i="14"/>
  <c r="Z98" i="14"/>
  <c r="V98" i="14"/>
  <c r="R98" i="14"/>
  <c r="T98" i="14" s="1"/>
  <c r="AS97" i="14"/>
  <c r="AR97" i="14"/>
  <c r="AO97" i="14"/>
  <c r="AF97" i="14"/>
  <c r="AE97" i="14"/>
  <c r="AD97" i="14"/>
  <c r="AC97" i="14"/>
  <c r="AB97" i="14"/>
  <c r="AA97" i="14"/>
  <c r="Z97" i="14"/>
  <c r="V97" i="14"/>
  <c r="R97" i="14"/>
  <c r="T97" i="14" s="1"/>
  <c r="AS96" i="14"/>
  <c r="AR96" i="14"/>
  <c r="AO96" i="14"/>
  <c r="AF96" i="14"/>
  <c r="AE96" i="14"/>
  <c r="AD96" i="14"/>
  <c r="AC96" i="14"/>
  <c r="AB96" i="14"/>
  <c r="AA96" i="14"/>
  <c r="Z96" i="14"/>
  <c r="V96" i="14"/>
  <c r="T96" i="14"/>
  <c r="R96" i="14"/>
  <c r="S96" i="14" s="1"/>
  <c r="AS95" i="14"/>
  <c r="AR95" i="14"/>
  <c r="AO95" i="14"/>
  <c r="AF95" i="14"/>
  <c r="AE95" i="14"/>
  <c r="AD95" i="14"/>
  <c r="AC95" i="14"/>
  <c r="AB95" i="14"/>
  <c r="AA95" i="14"/>
  <c r="Z95" i="14"/>
  <c r="V95" i="14"/>
  <c r="R95" i="14"/>
  <c r="T95" i="14" s="1"/>
  <c r="AS94" i="14"/>
  <c r="AR94" i="14"/>
  <c r="AO94" i="14"/>
  <c r="AF94" i="14"/>
  <c r="AE94" i="14"/>
  <c r="AD94" i="14"/>
  <c r="AC94" i="14"/>
  <c r="AB94" i="14"/>
  <c r="AA94" i="14"/>
  <c r="Z94" i="14"/>
  <c r="V94" i="14"/>
  <c r="R94" i="14"/>
  <c r="T94" i="14" s="1"/>
  <c r="AS93" i="14"/>
  <c r="AR93" i="14"/>
  <c r="AO93" i="14"/>
  <c r="AF93" i="14"/>
  <c r="AE93" i="14"/>
  <c r="AD93" i="14"/>
  <c r="AC93" i="14"/>
  <c r="AB93" i="14"/>
  <c r="AA93" i="14"/>
  <c r="Z93" i="14"/>
  <c r="V93" i="14"/>
  <c r="R93" i="14"/>
  <c r="T93" i="14" s="1"/>
  <c r="AS92" i="14"/>
  <c r="AR92" i="14"/>
  <c r="AO92" i="14"/>
  <c r="AF92" i="14"/>
  <c r="AE92" i="14"/>
  <c r="AD92" i="14"/>
  <c r="AC92" i="14"/>
  <c r="AB92" i="14"/>
  <c r="AA92" i="14"/>
  <c r="Z92" i="14"/>
  <c r="V92" i="14"/>
  <c r="R92" i="14"/>
  <c r="T92" i="14" s="1"/>
  <c r="AS91" i="14"/>
  <c r="AR91" i="14"/>
  <c r="AO91" i="14"/>
  <c r="AF91" i="14"/>
  <c r="AE91" i="14"/>
  <c r="AD91" i="14"/>
  <c r="AC91" i="14"/>
  <c r="AB91" i="14"/>
  <c r="AA91" i="14"/>
  <c r="Z91" i="14"/>
  <c r="V91" i="14"/>
  <c r="R91" i="14"/>
  <c r="T91" i="14" s="1"/>
  <c r="AS90" i="14"/>
  <c r="AR90" i="14"/>
  <c r="AO90" i="14"/>
  <c r="AF90" i="14"/>
  <c r="AE90" i="14"/>
  <c r="AD90" i="14"/>
  <c r="AC90" i="14"/>
  <c r="AB90" i="14"/>
  <c r="AA90" i="14"/>
  <c r="Z90" i="14"/>
  <c r="V90" i="14"/>
  <c r="R90" i="14"/>
  <c r="S90" i="14" s="1"/>
  <c r="AS89" i="14"/>
  <c r="AR89" i="14"/>
  <c r="AO89" i="14"/>
  <c r="AF89" i="14"/>
  <c r="AE89" i="14"/>
  <c r="AD89" i="14"/>
  <c r="AC89" i="14"/>
  <c r="AB89" i="14"/>
  <c r="AA89" i="14"/>
  <c r="Z89" i="14"/>
  <c r="V89" i="14"/>
  <c r="R89" i="14"/>
  <c r="T89" i="14" s="1"/>
  <c r="AS88" i="14"/>
  <c r="AR88" i="14"/>
  <c r="AO88" i="14"/>
  <c r="AF88" i="14"/>
  <c r="AE88" i="14"/>
  <c r="AD88" i="14"/>
  <c r="AC88" i="14"/>
  <c r="AB88" i="14"/>
  <c r="AA88" i="14"/>
  <c r="Z88" i="14"/>
  <c r="V88" i="14"/>
  <c r="R88" i="14"/>
  <c r="S88" i="14" s="1"/>
  <c r="AS87" i="14"/>
  <c r="AR87" i="14"/>
  <c r="AO87" i="14"/>
  <c r="AF87" i="14"/>
  <c r="AE87" i="14"/>
  <c r="AD87" i="14"/>
  <c r="AC87" i="14"/>
  <c r="AB87" i="14"/>
  <c r="AA87" i="14"/>
  <c r="Z87" i="14"/>
  <c r="V87" i="14"/>
  <c r="R87" i="14"/>
  <c r="T87" i="14" s="1"/>
  <c r="AS86" i="14"/>
  <c r="AR86" i="14"/>
  <c r="AO86" i="14"/>
  <c r="AF86" i="14"/>
  <c r="AE86" i="14"/>
  <c r="AD86" i="14"/>
  <c r="AC86" i="14"/>
  <c r="AB86" i="14"/>
  <c r="AA86" i="14"/>
  <c r="Z86" i="14"/>
  <c r="V86" i="14"/>
  <c r="R86" i="14"/>
  <c r="T86" i="14" s="1"/>
  <c r="AS85" i="14"/>
  <c r="AR85" i="14"/>
  <c r="AO85" i="14"/>
  <c r="AF85" i="14"/>
  <c r="AE85" i="14"/>
  <c r="AD85" i="14"/>
  <c r="AC85" i="14"/>
  <c r="AB85" i="14"/>
  <c r="AA85" i="14"/>
  <c r="Z85" i="14"/>
  <c r="V85" i="14"/>
  <c r="R85" i="14"/>
  <c r="T85" i="14" s="1"/>
  <c r="AS84" i="14"/>
  <c r="AR84" i="14"/>
  <c r="AO84" i="14"/>
  <c r="AF84" i="14"/>
  <c r="AE84" i="14"/>
  <c r="AD84" i="14"/>
  <c r="AC84" i="14"/>
  <c r="AB84" i="14"/>
  <c r="AA84" i="14"/>
  <c r="Z84" i="14"/>
  <c r="V84" i="14"/>
  <c r="R84" i="14"/>
  <c r="T84" i="14" s="1"/>
  <c r="AS83" i="14"/>
  <c r="AR83" i="14"/>
  <c r="AO83" i="14"/>
  <c r="AF83" i="14"/>
  <c r="AE83" i="14"/>
  <c r="AD83" i="14"/>
  <c r="AC83" i="14"/>
  <c r="AB83" i="14"/>
  <c r="AA83" i="14"/>
  <c r="Z83" i="14"/>
  <c r="V83" i="14"/>
  <c r="R83" i="14"/>
  <c r="T83" i="14" s="1"/>
  <c r="AS82" i="14"/>
  <c r="AR82" i="14"/>
  <c r="AO82" i="14"/>
  <c r="AF82" i="14"/>
  <c r="AE82" i="14"/>
  <c r="AD82" i="14"/>
  <c r="AC82" i="14"/>
  <c r="AB82" i="14"/>
  <c r="AA82" i="14"/>
  <c r="Z82" i="14"/>
  <c r="V82" i="14"/>
  <c r="R82" i="14"/>
  <c r="T82" i="14" s="1"/>
  <c r="AS81" i="14"/>
  <c r="AR81" i="14"/>
  <c r="AO81" i="14"/>
  <c r="AF81" i="14"/>
  <c r="AE81" i="14"/>
  <c r="AD81" i="14"/>
  <c r="AC81" i="14"/>
  <c r="AB81" i="14"/>
  <c r="AA81" i="14"/>
  <c r="Z81" i="14"/>
  <c r="V81" i="14"/>
  <c r="R81" i="14"/>
  <c r="T81" i="14" s="1"/>
  <c r="AS80" i="14"/>
  <c r="AR80" i="14"/>
  <c r="AO80" i="14"/>
  <c r="AF80" i="14"/>
  <c r="AE80" i="14"/>
  <c r="AD80" i="14"/>
  <c r="AC80" i="14"/>
  <c r="AB80" i="14"/>
  <c r="AA80" i="14"/>
  <c r="Z80" i="14"/>
  <c r="V80" i="14"/>
  <c r="T80" i="14"/>
  <c r="S80" i="14"/>
  <c r="R80" i="14"/>
  <c r="AS79" i="14"/>
  <c r="AR79" i="14"/>
  <c r="AO79" i="14"/>
  <c r="AF79" i="14"/>
  <c r="AE79" i="14"/>
  <c r="AD79" i="14"/>
  <c r="AC79" i="14"/>
  <c r="AB79" i="14"/>
  <c r="AA79" i="14"/>
  <c r="Z79" i="14"/>
  <c r="V79" i="14"/>
  <c r="R79" i="14"/>
  <c r="T79" i="14" s="1"/>
  <c r="AS78" i="14"/>
  <c r="AR78" i="14"/>
  <c r="AO78" i="14"/>
  <c r="AF78" i="14"/>
  <c r="AE78" i="14"/>
  <c r="AD78" i="14"/>
  <c r="AC78" i="14"/>
  <c r="AB78" i="14"/>
  <c r="AA78" i="14"/>
  <c r="Z78" i="14"/>
  <c r="V78" i="14"/>
  <c r="R78" i="14"/>
  <c r="T78" i="14" s="1"/>
  <c r="AS77" i="14"/>
  <c r="AR77" i="14"/>
  <c r="AO77" i="14"/>
  <c r="AF77" i="14"/>
  <c r="AE77" i="14"/>
  <c r="AD77" i="14"/>
  <c r="AC77" i="14"/>
  <c r="AB77" i="14"/>
  <c r="AA77" i="14"/>
  <c r="Z77" i="14"/>
  <c r="V77" i="14"/>
  <c r="R77" i="14"/>
  <c r="T77" i="14" s="1"/>
  <c r="AS76" i="14"/>
  <c r="AR76" i="14"/>
  <c r="AO76" i="14"/>
  <c r="AF76" i="14"/>
  <c r="AE76" i="14"/>
  <c r="AD76" i="14"/>
  <c r="AC76" i="14"/>
  <c r="AB76" i="14"/>
  <c r="AA76" i="14"/>
  <c r="Z76" i="14"/>
  <c r="V76" i="14"/>
  <c r="R76" i="14"/>
  <c r="T76" i="14" s="1"/>
  <c r="AS75" i="14"/>
  <c r="AR75" i="14"/>
  <c r="AO75" i="14"/>
  <c r="AF75" i="14"/>
  <c r="AE75" i="14"/>
  <c r="AD75" i="14"/>
  <c r="AC75" i="14"/>
  <c r="AB75" i="14"/>
  <c r="AA75" i="14"/>
  <c r="Z75" i="14"/>
  <c r="V75" i="14"/>
  <c r="T75" i="14"/>
  <c r="R75" i="14"/>
  <c r="S75" i="14" s="1"/>
  <c r="AS74" i="14"/>
  <c r="AR74" i="14"/>
  <c r="AO74" i="14"/>
  <c r="AF74" i="14"/>
  <c r="AE74" i="14"/>
  <c r="AD74" i="14"/>
  <c r="AC74" i="14"/>
  <c r="AB74" i="14"/>
  <c r="AA74" i="14"/>
  <c r="Z74" i="14"/>
  <c r="V74" i="14"/>
  <c r="R74" i="14"/>
  <c r="T74" i="14" s="1"/>
  <c r="AS73" i="14"/>
  <c r="AR73" i="14"/>
  <c r="AO73" i="14"/>
  <c r="AF73" i="14"/>
  <c r="AE73" i="14"/>
  <c r="AD73" i="14"/>
  <c r="AC73" i="14"/>
  <c r="AB73" i="14"/>
  <c r="AA73" i="14"/>
  <c r="Z73" i="14"/>
  <c r="V73" i="14"/>
  <c r="R73" i="14"/>
  <c r="T73" i="14" s="1"/>
  <c r="AS72" i="14"/>
  <c r="AR72" i="14"/>
  <c r="AO72" i="14"/>
  <c r="AF72" i="14"/>
  <c r="AE72" i="14"/>
  <c r="AD72" i="14"/>
  <c r="AC72" i="14"/>
  <c r="AB72" i="14"/>
  <c r="AA72" i="14"/>
  <c r="Z72" i="14"/>
  <c r="V72" i="14"/>
  <c r="R72" i="14"/>
  <c r="T72" i="14" s="1"/>
  <c r="AS71" i="14"/>
  <c r="AR71" i="14"/>
  <c r="AO71" i="14"/>
  <c r="AF71" i="14"/>
  <c r="AE71" i="14"/>
  <c r="AD71" i="14"/>
  <c r="AC71" i="14"/>
  <c r="AB71" i="14"/>
  <c r="AA71" i="14"/>
  <c r="Z71" i="14"/>
  <c r="V71" i="14"/>
  <c r="R71" i="14"/>
  <c r="T71" i="14" s="1"/>
  <c r="AS70" i="14"/>
  <c r="AR70" i="14"/>
  <c r="AO70" i="14"/>
  <c r="AF70" i="14"/>
  <c r="AE70" i="14"/>
  <c r="AD70" i="14"/>
  <c r="AC70" i="14"/>
  <c r="AB70" i="14"/>
  <c r="AA70" i="14"/>
  <c r="Z70" i="14"/>
  <c r="V70" i="14"/>
  <c r="R70" i="14"/>
  <c r="T70" i="14" s="1"/>
  <c r="AS69" i="14"/>
  <c r="AR69" i="14"/>
  <c r="AO69" i="14"/>
  <c r="AF69" i="14"/>
  <c r="AE69" i="14"/>
  <c r="AD69" i="14"/>
  <c r="AC69" i="14"/>
  <c r="AB69" i="14"/>
  <c r="AA69" i="14"/>
  <c r="Z69" i="14"/>
  <c r="V69" i="14"/>
  <c r="R69" i="14"/>
  <c r="T69" i="14" s="1"/>
  <c r="AS68" i="14"/>
  <c r="AR68" i="14"/>
  <c r="AO68" i="14"/>
  <c r="AF68" i="14"/>
  <c r="AE68" i="14"/>
  <c r="AD68" i="14"/>
  <c r="AC68" i="14"/>
  <c r="AB68" i="14"/>
  <c r="AA68" i="14"/>
  <c r="Z68" i="14"/>
  <c r="V68" i="14"/>
  <c r="R68" i="14"/>
  <c r="T68" i="14" s="1"/>
  <c r="AS67" i="14"/>
  <c r="AR67" i="14"/>
  <c r="AO67" i="14"/>
  <c r="AF67" i="14"/>
  <c r="AE67" i="14"/>
  <c r="AD67" i="14"/>
  <c r="AC67" i="14"/>
  <c r="AB67" i="14"/>
  <c r="AA67" i="14"/>
  <c r="Z67" i="14"/>
  <c r="V67" i="14"/>
  <c r="R67" i="14"/>
  <c r="T67" i="14" s="1"/>
  <c r="AS66" i="14"/>
  <c r="AR66" i="14"/>
  <c r="AO66" i="14"/>
  <c r="AF66" i="14"/>
  <c r="AE66" i="14"/>
  <c r="AD66" i="14"/>
  <c r="AC66" i="14"/>
  <c r="AB66" i="14"/>
  <c r="AA66" i="14"/>
  <c r="Z66" i="14"/>
  <c r="V66" i="14"/>
  <c r="T66" i="14"/>
  <c r="S66" i="14"/>
  <c r="R66" i="14"/>
  <c r="AS65" i="14"/>
  <c r="AR65" i="14"/>
  <c r="AO65" i="14"/>
  <c r="AF65" i="14"/>
  <c r="AE65" i="14"/>
  <c r="AD65" i="14"/>
  <c r="AC65" i="14"/>
  <c r="AB65" i="14"/>
  <c r="AA65" i="14"/>
  <c r="Z65" i="14"/>
  <c r="V65" i="14"/>
  <c r="R65" i="14"/>
  <c r="T65" i="14" s="1"/>
  <c r="AS64" i="14"/>
  <c r="AR64" i="14"/>
  <c r="AO64" i="14"/>
  <c r="AF64" i="14"/>
  <c r="AE64" i="14"/>
  <c r="AD64" i="14"/>
  <c r="AC64" i="14"/>
  <c r="AB64" i="14"/>
  <c r="AA64" i="14"/>
  <c r="Z64" i="14"/>
  <c r="V64" i="14"/>
  <c r="R64" i="14"/>
  <c r="T64" i="14" s="1"/>
  <c r="AS63" i="14"/>
  <c r="AR63" i="14"/>
  <c r="AO63" i="14"/>
  <c r="AF63" i="14"/>
  <c r="AE63" i="14"/>
  <c r="AD63" i="14"/>
  <c r="AC63" i="14"/>
  <c r="AB63" i="14"/>
  <c r="AA63" i="14"/>
  <c r="Z63" i="14"/>
  <c r="V63" i="14"/>
  <c r="R63" i="14"/>
  <c r="T63" i="14" s="1"/>
  <c r="AS62" i="14"/>
  <c r="AR62" i="14"/>
  <c r="AO62" i="14"/>
  <c r="AF62" i="14"/>
  <c r="AE62" i="14"/>
  <c r="AD62" i="14"/>
  <c r="AC62" i="14"/>
  <c r="AB62" i="14"/>
  <c r="AA62" i="14"/>
  <c r="Z62" i="14"/>
  <c r="V62" i="14"/>
  <c r="R62" i="14"/>
  <c r="T62" i="14" s="1"/>
  <c r="AS61" i="14"/>
  <c r="AR61" i="14"/>
  <c r="AO61" i="14"/>
  <c r="AF61" i="14"/>
  <c r="AE61" i="14"/>
  <c r="AD61" i="14"/>
  <c r="AC61" i="14"/>
  <c r="AB61" i="14"/>
  <c r="AA61" i="14"/>
  <c r="Z61" i="14"/>
  <c r="V61" i="14"/>
  <c r="R61" i="14"/>
  <c r="T61" i="14" s="1"/>
  <c r="AS60" i="14"/>
  <c r="AR60" i="14"/>
  <c r="AO60" i="14"/>
  <c r="AF60" i="14"/>
  <c r="AE60" i="14"/>
  <c r="AD60" i="14"/>
  <c r="AC60" i="14"/>
  <c r="AB60" i="14"/>
  <c r="AA60" i="14"/>
  <c r="Z60" i="14"/>
  <c r="V60" i="14"/>
  <c r="R60" i="14"/>
  <c r="T60" i="14" s="1"/>
  <c r="AS59" i="14"/>
  <c r="AR59" i="14"/>
  <c r="AO59" i="14"/>
  <c r="AF59" i="14"/>
  <c r="AE59" i="14"/>
  <c r="AD59" i="14"/>
  <c r="AC59" i="14"/>
  <c r="AB59" i="14"/>
  <c r="AA59" i="14"/>
  <c r="Z59" i="14"/>
  <c r="V59" i="14"/>
  <c r="R59" i="14"/>
  <c r="T59" i="14" s="1"/>
  <c r="AS58" i="14"/>
  <c r="AR58" i="14"/>
  <c r="AO58" i="14"/>
  <c r="AF58" i="14"/>
  <c r="AE58" i="14"/>
  <c r="AD58" i="14"/>
  <c r="AC58" i="14"/>
  <c r="AB58" i="14"/>
  <c r="AA58" i="14"/>
  <c r="Z58" i="14"/>
  <c r="V58" i="14"/>
  <c r="R58" i="14"/>
  <c r="T58" i="14" s="1"/>
  <c r="AS57" i="14"/>
  <c r="AR57" i="14"/>
  <c r="AO57" i="14"/>
  <c r="AF57" i="14"/>
  <c r="AE57" i="14"/>
  <c r="AD57" i="14"/>
  <c r="AC57" i="14"/>
  <c r="AB57" i="14"/>
  <c r="AA57" i="14"/>
  <c r="Z57" i="14"/>
  <c r="V57" i="14"/>
  <c r="R57" i="14"/>
  <c r="T57" i="14" s="1"/>
  <c r="AS56" i="14"/>
  <c r="AR56" i="14"/>
  <c r="AO56" i="14"/>
  <c r="AF56" i="14"/>
  <c r="AE56" i="14"/>
  <c r="AD56" i="14"/>
  <c r="AC56" i="14"/>
  <c r="AB56" i="14"/>
  <c r="AA56" i="14"/>
  <c r="Z56" i="14"/>
  <c r="V56" i="14"/>
  <c r="R56" i="14"/>
  <c r="T56" i="14" s="1"/>
  <c r="AS55" i="14"/>
  <c r="AR55" i="14"/>
  <c r="AO55" i="14"/>
  <c r="AF55" i="14"/>
  <c r="AE55" i="14"/>
  <c r="AD55" i="14"/>
  <c r="AC55" i="14"/>
  <c r="AB55" i="14"/>
  <c r="AA55" i="14"/>
  <c r="Z55" i="14"/>
  <c r="V55" i="14"/>
  <c r="R55" i="14"/>
  <c r="T55" i="14" s="1"/>
  <c r="AS54" i="14"/>
  <c r="AR54" i="14"/>
  <c r="AO54" i="14"/>
  <c r="AF54" i="14"/>
  <c r="AE54" i="14"/>
  <c r="AD54" i="14"/>
  <c r="AC54" i="14"/>
  <c r="AB54" i="14"/>
  <c r="AA54" i="14"/>
  <c r="Z54" i="14"/>
  <c r="V54" i="14"/>
  <c r="R54" i="14"/>
  <c r="T54" i="14" s="1"/>
  <c r="AS53" i="14"/>
  <c r="AR53" i="14"/>
  <c r="AO53" i="14"/>
  <c r="AF53" i="14"/>
  <c r="AE53" i="14"/>
  <c r="AD53" i="14"/>
  <c r="AC53" i="14"/>
  <c r="AB53" i="14"/>
  <c r="AA53" i="14"/>
  <c r="Z53" i="14"/>
  <c r="V53" i="14"/>
  <c r="R53" i="14"/>
  <c r="T53" i="14" s="1"/>
  <c r="AS52" i="14"/>
  <c r="AR52" i="14"/>
  <c r="AO52" i="14"/>
  <c r="AF52" i="14"/>
  <c r="AE52" i="14"/>
  <c r="AD52" i="14"/>
  <c r="AC52" i="14"/>
  <c r="AB52" i="14"/>
  <c r="AA52" i="14"/>
  <c r="Z52" i="14"/>
  <c r="V52" i="14"/>
  <c r="T52" i="14"/>
  <c r="S52" i="14"/>
  <c r="R52" i="14"/>
  <c r="AS51" i="14"/>
  <c r="AR51" i="14"/>
  <c r="AO51" i="14"/>
  <c r="AF51" i="14"/>
  <c r="AE51" i="14"/>
  <c r="AD51" i="14"/>
  <c r="AC51" i="14"/>
  <c r="AB51" i="14"/>
  <c r="AA51" i="14"/>
  <c r="Z51" i="14"/>
  <c r="V51" i="14"/>
  <c r="R51" i="14"/>
  <c r="T51" i="14" s="1"/>
  <c r="AS50" i="14"/>
  <c r="AR50" i="14"/>
  <c r="AO50" i="14"/>
  <c r="AF50" i="14"/>
  <c r="AE50" i="14"/>
  <c r="AD50" i="14"/>
  <c r="AC50" i="14"/>
  <c r="AB50" i="14"/>
  <c r="AA50" i="14"/>
  <c r="Z50" i="14"/>
  <c r="V50" i="14"/>
  <c r="R50" i="14"/>
  <c r="T50" i="14" s="1"/>
  <c r="AS49" i="14"/>
  <c r="AR49" i="14"/>
  <c r="AO49" i="14"/>
  <c r="AF49" i="14"/>
  <c r="AE49" i="14"/>
  <c r="AD49" i="14"/>
  <c r="AC49" i="14"/>
  <c r="AB49" i="14"/>
  <c r="AA49" i="14"/>
  <c r="Z49" i="14"/>
  <c r="V49" i="14"/>
  <c r="R49" i="14"/>
  <c r="T49" i="14" s="1"/>
  <c r="AS48" i="14"/>
  <c r="AR48" i="14"/>
  <c r="AO48" i="14"/>
  <c r="AF48" i="14"/>
  <c r="AE48" i="14"/>
  <c r="AD48" i="14"/>
  <c r="AC48" i="14"/>
  <c r="AB48" i="14"/>
  <c r="AA48" i="14"/>
  <c r="Z48" i="14"/>
  <c r="V48" i="14"/>
  <c r="T48" i="14"/>
  <c r="S48" i="14"/>
  <c r="R48" i="14"/>
  <c r="AS47" i="14"/>
  <c r="AR47" i="14"/>
  <c r="AO47" i="14"/>
  <c r="AF47" i="14"/>
  <c r="AE47" i="14"/>
  <c r="AD47" i="14"/>
  <c r="AC47" i="14"/>
  <c r="AB47" i="14"/>
  <c r="AA47" i="14"/>
  <c r="Z47" i="14"/>
  <c r="V47" i="14"/>
  <c r="R47" i="14"/>
  <c r="T47" i="14" s="1"/>
  <c r="AS46" i="14"/>
  <c r="AR46" i="14"/>
  <c r="AO46" i="14"/>
  <c r="AF46" i="14"/>
  <c r="AE46" i="14"/>
  <c r="AD46" i="14"/>
  <c r="AC46" i="14"/>
  <c r="AB46" i="14"/>
  <c r="AA46" i="14"/>
  <c r="Z46" i="14"/>
  <c r="V46" i="14"/>
  <c r="R46" i="14"/>
  <c r="T46" i="14" s="1"/>
  <c r="AS45" i="14"/>
  <c r="AR45" i="14"/>
  <c r="AO45" i="14"/>
  <c r="AF45" i="14"/>
  <c r="AE45" i="14"/>
  <c r="AD45" i="14"/>
  <c r="AC45" i="14"/>
  <c r="AB45" i="14"/>
  <c r="AA45" i="14"/>
  <c r="Z45" i="14"/>
  <c r="V45" i="14"/>
  <c r="R45" i="14"/>
  <c r="T45" i="14" s="1"/>
  <c r="AS44" i="14"/>
  <c r="AR44" i="14"/>
  <c r="AO44" i="14"/>
  <c r="AF44" i="14"/>
  <c r="AE44" i="14"/>
  <c r="AD44" i="14"/>
  <c r="AC44" i="14"/>
  <c r="AB44" i="14"/>
  <c r="AA44" i="14"/>
  <c r="Z44" i="14"/>
  <c r="V44" i="14"/>
  <c r="R44" i="14"/>
  <c r="T44" i="14" s="1"/>
  <c r="AS43" i="14"/>
  <c r="AR43" i="14"/>
  <c r="AO43" i="14"/>
  <c r="AF43" i="14"/>
  <c r="AE43" i="14"/>
  <c r="AD43" i="14"/>
  <c r="AC43" i="14"/>
  <c r="AB43" i="14"/>
  <c r="AA43" i="14"/>
  <c r="Z43" i="14"/>
  <c r="V43" i="14"/>
  <c r="R43" i="14"/>
  <c r="T43" i="14" s="1"/>
  <c r="AS42" i="14"/>
  <c r="AR42" i="14"/>
  <c r="AO42" i="14"/>
  <c r="AF42" i="14"/>
  <c r="AE42" i="14"/>
  <c r="AD42" i="14"/>
  <c r="AC42" i="14"/>
  <c r="AB42" i="14"/>
  <c r="AA42" i="14"/>
  <c r="Z42" i="14"/>
  <c r="V42" i="14"/>
  <c r="R42" i="14"/>
  <c r="T42" i="14" s="1"/>
  <c r="AS41" i="14"/>
  <c r="AR41" i="14"/>
  <c r="AO41" i="14"/>
  <c r="AF41" i="14"/>
  <c r="AE41" i="14"/>
  <c r="AD41" i="14"/>
  <c r="AC41" i="14"/>
  <c r="AB41" i="14"/>
  <c r="AA41" i="14"/>
  <c r="Z41" i="14"/>
  <c r="V41" i="14"/>
  <c r="R41" i="14"/>
  <c r="T41" i="14" s="1"/>
  <c r="AS40" i="14"/>
  <c r="AR40" i="14"/>
  <c r="AO40" i="14"/>
  <c r="AF40" i="14"/>
  <c r="AE40" i="14"/>
  <c r="AD40" i="14"/>
  <c r="AC40" i="14"/>
  <c r="AB40" i="14"/>
  <c r="AA40" i="14"/>
  <c r="Z40" i="14"/>
  <c r="V40" i="14"/>
  <c r="R40" i="14"/>
  <c r="T40" i="14" s="1"/>
  <c r="AS39" i="14"/>
  <c r="AR39" i="14"/>
  <c r="AO39" i="14"/>
  <c r="AF39" i="14"/>
  <c r="AE39" i="14"/>
  <c r="AD39" i="14"/>
  <c r="AC39" i="14"/>
  <c r="AB39" i="14"/>
  <c r="AA39" i="14"/>
  <c r="Z39" i="14"/>
  <c r="V39" i="14"/>
  <c r="R39" i="14"/>
  <c r="T39" i="14" s="1"/>
  <c r="AS38" i="14"/>
  <c r="AR38" i="14"/>
  <c r="AO38" i="14"/>
  <c r="AF38" i="14"/>
  <c r="AE38" i="14"/>
  <c r="AD38" i="14"/>
  <c r="AC38" i="14"/>
  <c r="AB38" i="14"/>
  <c r="AA38" i="14"/>
  <c r="Z38" i="14"/>
  <c r="V38" i="14"/>
  <c r="T38" i="14"/>
  <c r="S38" i="14"/>
  <c r="R38" i="14"/>
  <c r="AS37" i="14"/>
  <c r="AR37" i="14"/>
  <c r="AO37" i="14"/>
  <c r="AF37" i="14"/>
  <c r="AE37" i="14"/>
  <c r="AD37" i="14"/>
  <c r="AC37" i="14"/>
  <c r="AB37" i="14"/>
  <c r="AA37" i="14"/>
  <c r="Z37" i="14"/>
  <c r="V37" i="14"/>
  <c r="R37" i="14"/>
  <c r="T37" i="14" s="1"/>
  <c r="AS36" i="14"/>
  <c r="AR36" i="14"/>
  <c r="AO36" i="14"/>
  <c r="AF36" i="14"/>
  <c r="AE36" i="14"/>
  <c r="AD36" i="14"/>
  <c r="AC36" i="14"/>
  <c r="AB36" i="14"/>
  <c r="AA36" i="14"/>
  <c r="Z36" i="14"/>
  <c r="V36" i="14"/>
  <c r="R36" i="14"/>
  <c r="T36" i="14" s="1"/>
  <c r="AS35" i="14"/>
  <c r="AR35" i="14"/>
  <c r="AO35" i="14"/>
  <c r="AF35" i="14"/>
  <c r="AE35" i="14"/>
  <c r="AD35" i="14"/>
  <c r="AC35" i="14"/>
  <c r="AB35" i="14"/>
  <c r="AA35" i="14"/>
  <c r="Z35" i="14"/>
  <c r="V35" i="14"/>
  <c r="R35" i="14"/>
  <c r="T35" i="14" s="1"/>
  <c r="AS34" i="14"/>
  <c r="AR34" i="14"/>
  <c r="AO34" i="14"/>
  <c r="AF34" i="14"/>
  <c r="AE34" i="14"/>
  <c r="AD34" i="14"/>
  <c r="AC34" i="14"/>
  <c r="AB34" i="14"/>
  <c r="AA34" i="14"/>
  <c r="Z34" i="14"/>
  <c r="V34" i="14"/>
  <c r="R34" i="14"/>
  <c r="T34" i="14" s="1"/>
  <c r="AS33" i="14"/>
  <c r="AR33" i="14"/>
  <c r="AO33" i="14"/>
  <c r="AF33" i="14"/>
  <c r="AE33" i="14"/>
  <c r="AD33" i="14"/>
  <c r="AC33" i="14"/>
  <c r="AB33" i="14"/>
  <c r="AA33" i="14"/>
  <c r="Z33" i="14"/>
  <c r="V33" i="14"/>
  <c r="R33" i="14"/>
  <c r="T33" i="14" s="1"/>
  <c r="AS32" i="14"/>
  <c r="AR32" i="14"/>
  <c r="AO32" i="14"/>
  <c r="AF32" i="14"/>
  <c r="AE32" i="14"/>
  <c r="AD32" i="14"/>
  <c r="AC32" i="14"/>
  <c r="AB32" i="14"/>
  <c r="AA32" i="14"/>
  <c r="Z32" i="14"/>
  <c r="V32" i="14"/>
  <c r="R32" i="14"/>
  <c r="T32" i="14" s="1"/>
  <c r="AS31" i="14"/>
  <c r="AR31" i="14"/>
  <c r="AO31" i="14"/>
  <c r="AF31" i="14"/>
  <c r="AE31" i="14"/>
  <c r="AD31" i="14"/>
  <c r="AC31" i="14"/>
  <c r="AB31" i="14"/>
  <c r="AA31" i="14"/>
  <c r="Z31" i="14"/>
  <c r="V31" i="14"/>
  <c r="R31" i="14"/>
  <c r="T31" i="14" s="1"/>
  <c r="AS30" i="14"/>
  <c r="AR30" i="14"/>
  <c r="AO30" i="14"/>
  <c r="AF30" i="14"/>
  <c r="AE30" i="14"/>
  <c r="AD30" i="14"/>
  <c r="AC30" i="14"/>
  <c r="AB30" i="14"/>
  <c r="AA30" i="14"/>
  <c r="Z30" i="14"/>
  <c r="V30" i="14"/>
  <c r="R30" i="14"/>
  <c r="T30" i="14" s="1"/>
  <c r="AS29" i="14"/>
  <c r="AR29" i="14"/>
  <c r="AO29" i="14"/>
  <c r="AF29" i="14"/>
  <c r="AE29" i="14"/>
  <c r="AD29" i="14"/>
  <c r="AC29" i="14"/>
  <c r="AB29" i="14"/>
  <c r="AA29" i="14"/>
  <c r="Z29" i="14"/>
  <c r="V29" i="14"/>
  <c r="R29" i="14"/>
  <c r="T29" i="14" s="1"/>
  <c r="AS28" i="14"/>
  <c r="AR28" i="14"/>
  <c r="AO28" i="14"/>
  <c r="AF28" i="14"/>
  <c r="AE28" i="14"/>
  <c r="AD28" i="14"/>
  <c r="AC28" i="14"/>
  <c r="AB28" i="14"/>
  <c r="AA28" i="14"/>
  <c r="Z28" i="14"/>
  <c r="V28" i="14"/>
  <c r="R28" i="14"/>
  <c r="T28" i="14" s="1"/>
  <c r="AS27" i="14"/>
  <c r="AR27" i="14"/>
  <c r="AO27" i="14"/>
  <c r="AF27" i="14"/>
  <c r="AE27" i="14"/>
  <c r="AD27" i="14"/>
  <c r="AC27" i="14"/>
  <c r="AB27" i="14"/>
  <c r="AA27" i="14"/>
  <c r="Z27" i="14"/>
  <c r="V27" i="14"/>
  <c r="R27" i="14"/>
  <c r="T27" i="14" s="1"/>
  <c r="AS26" i="14"/>
  <c r="AR26" i="14"/>
  <c r="AO26" i="14"/>
  <c r="AF26" i="14"/>
  <c r="AE26" i="14"/>
  <c r="AD26" i="14"/>
  <c r="AC26" i="14"/>
  <c r="AB26" i="14"/>
  <c r="AA26" i="14"/>
  <c r="Z26" i="14"/>
  <c r="V26" i="14"/>
  <c r="R26" i="14"/>
  <c r="T26" i="14" s="1"/>
  <c r="AS25" i="14"/>
  <c r="AR25" i="14"/>
  <c r="AO25" i="14"/>
  <c r="AF25" i="14"/>
  <c r="AE25" i="14"/>
  <c r="AD25" i="14"/>
  <c r="AC25" i="14"/>
  <c r="AB25" i="14"/>
  <c r="AA25" i="14"/>
  <c r="Z25" i="14"/>
  <c r="V25" i="14"/>
  <c r="R25" i="14"/>
  <c r="T25" i="14" s="1"/>
  <c r="AS24" i="14"/>
  <c r="AR24" i="14"/>
  <c r="AO24" i="14"/>
  <c r="AF24" i="14"/>
  <c r="AE24" i="14"/>
  <c r="AD24" i="14"/>
  <c r="AC24" i="14"/>
  <c r="AB24" i="14"/>
  <c r="AA24" i="14"/>
  <c r="Z24" i="14"/>
  <c r="V24" i="14"/>
  <c r="T24" i="14"/>
  <c r="R24" i="14"/>
  <c r="S24" i="14" s="1"/>
  <c r="AS23" i="14"/>
  <c r="AR23" i="14"/>
  <c r="AO23" i="14"/>
  <c r="AF23" i="14"/>
  <c r="AE23" i="14"/>
  <c r="AD23" i="14"/>
  <c r="AC23" i="14"/>
  <c r="AB23" i="14"/>
  <c r="AA23" i="14"/>
  <c r="Z23" i="14"/>
  <c r="V23" i="14"/>
  <c r="R23" i="14"/>
  <c r="T23" i="14" s="1"/>
  <c r="AS22" i="14"/>
  <c r="AR22" i="14"/>
  <c r="AO22" i="14"/>
  <c r="AF22" i="14"/>
  <c r="AE22" i="14"/>
  <c r="AD22" i="14"/>
  <c r="AC22" i="14"/>
  <c r="AB22" i="14"/>
  <c r="AA22" i="14"/>
  <c r="Z22" i="14"/>
  <c r="V22" i="14"/>
  <c r="R22" i="14"/>
  <c r="T22" i="14" s="1"/>
  <c r="AS21" i="14"/>
  <c r="AR21" i="14"/>
  <c r="AO21" i="14"/>
  <c r="AF21" i="14"/>
  <c r="AE21" i="14"/>
  <c r="AD21" i="14"/>
  <c r="AC21" i="14"/>
  <c r="AB21" i="14"/>
  <c r="AA21" i="14"/>
  <c r="Z21" i="14"/>
  <c r="V21" i="14"/>
  <c r="R21" i="14"/>
  <c r="T21" i="14" s="1"/>
  <c r="AS20" i="14"/>
  <c r="AR20" i="14"/>
  <c r="AO20" i="14"/>
  <c r="AF20" i="14"/>
  <c r="AE20" i="14"/>
  <c r="AD20" i="14"/>
  <c r="AC20" i="14"/>
  <c r="AB20" i="14"/>
  <c r="AA20" i="14"/>
  <c r="Z20" i="14"/>
  <c r="V20" i="14"/>
  <c r="T20" i="14"/>
  <c r="S20" i="14"/>
  <c r="R20" i="14"/>
  <c r="AS19" i="14"/>
  <c r="AR19" i="14"/>
  <c r="AO19" i="14"/>
  <c r="AF19" i="14"/>
  <c r="AE19" i="14"/>
  <c r="AD19" i="14"/>
  <c r="AC19" i="14"/>
  <c r="AB19" i="14"/>
  <c r="AA19" i="14"/>
  <c r="Z19" i="14"/>
  <c r="V19" i="14"/>
  <c r="R19" i="14"/>
  <c r="T19" i="14" s="1"/>
  <c r="AS18" i="14"/>
  <c r="AR18" i="14"/>
  <c r="AO18" i="14"/>
  <c r="AF18" i="14"/>
  <c r="AE18" i="14"/>
  <c r="AD18" i="14"/>
  <c r="AC18" i="14"/>
  <c r="AB18" i="14"/>
  <c r="AA18" i="14"/>
  <c r="Z18" i="14"/>
  <c r="V18" i="14"/>
  <c r="R18" i="14"/>
  <c r="T18" i="14" s="1"/>
  <c r="AS17" i="14"/>
  <c r="AR17" i="14"/>
  <c r="AO17" i="14"/>
  <c r="AF17" i="14"/>
  <c r="AE17" i="14"/>
  <c r="AD17" i="14"/>
  <c r="AC17" i="14"/>
  <c r="AB17" i="14"/>
  <c r="AA17" i="14"/>
  <c r="Z17" i="14"/>
  <c r="V17" i="14"/>
  <c r="R17" i="14"/>
  <c r="T17" i="14" s="1"/>
  <c r="AS16" i="14"/>
  <c r="AR16" i="14"/>
  <c r="AO16" i="14"/>
  <c r="AF16" i="14"/>
  <c r="AE16" i="14"/>
  <c r="AD16" i="14"/>
  <c r="AC16" i="14"/>
  <c r="AB16" i="14"/>
  <c r="AA16" i="14"/>
  <c r="Z16" i="14"/>
  <c r="V16" i="14"/>
  <c r="R16" i="14"/>
  <c r="T16" i="14" s="1"/>
  <c r="AS15" i="14"/>
  <c r="AR15" i="14"/>
  <c r="AO15" i="14"/>
  <c r="AF15" i="14"/>
  <c r="AE15" i="14"/>
  <c r="AD15" i="14"/>
  <c r="AC15" i="14"/>
  <c r="AB15" i="14"/>
  <c r="AA15" i="14"/>
  <c r="Z15" i="14"/>
  <c r="V15" i="14"/>
  <c r="R15" i="14"/>
  <c r="T15" i="14" s="1"/>
  <c r="AS14" i="14"/>
  <c r="AR14" i="14"/>
  <c r="AO14" i="14"/>
  <c r="AF14" i="14"/>
  <c r="AE14" i="14"/>
  <c r="AD14" i="14"/>
  <c r="AC14" i="14"/>
  <c r="AB14" i="14"/>
  <c r="AA14" i="14"/>
  <c r="Z14" i="14"/>
  <c r="V14" i="14"/>
  <c r="R14" i="14"/>
  <c r="T14" i="14" s="1"/>
  <c r="AS13" i="14"/>
  <c r="AR13" i="14"/>
  <c r="AO13" i="14"/>
  <c r="AF13" i="14"/>
  <c r="AE13" i="14"/>
  <c r="AD13" i="14"/>
  <c r="AC13" i="14"/>
  <c r="AB13" i="14"/>
  <c r="AA13" i="14"/>
  <c r="Z13" i="14"/>
  <c r="V13" i="14"/>
  <c r="R13" i="14"/>
  <c r="T13" i="14" s="1"/>
  <c r="AS12" i="14"/>
  <c r="AR12" i="14"/>
  <c r="AO12" i="14"/>
  <c r="AF12" i="14"/>
  <c r="AE12" i="14"/>
  <c r="AD12" i="14"/>
  <c r="AC12" i="14"/>
  <c r="AB12" i="14"/>
  <c r="AA12" i="14"/>
  <c r="Z12" i="14"/>
  <c r="V12" i="14"/>
  <c r="R12" i="14"/>
  <c r="T12" i="14" s="1"/>
  <c r="AS11" i="14"/>
  <c r="AR11" i="14"/>
  <c r="AO11" i="14"/>
  <c r="AF11" i="14"/>
  <c r="AE11" i="14"/>
  <c r="AD11" i="14"/>
  <c r="AC11" i="14"/>
  <c r="AB11" i="14"/>
  <c r="AA11" i="14"/>
  <c r="Z11" i="14"/>
  <c r="V11" i="14"/>
  <c r="R11" i="14"/>
  <c r="T11" i="14" s="1"/>
  <c r="AS10" i="14"/>
  <c r="AR10" i="14"/>
  <c r="AO10" i="14"/>
  <c r="AF10" i="14"/>
  <c r="AE10" i="14"/>
  <c r="AD10" i="14"/>
  <c r="AC10" i="14"/>
  <c r="AB10" i="14"/>
  <c r="AA10" i="14"/>
  <c r="Z10" i="14"/>
  <c r="V10" i="14"/>
  <c r="T10" i="14"/>
  <c r="S10" i="14"/>
  <c r="R10" i="14"/>
  <c r="AS9" i="14"/>
  <c r="AR9" i="14"/>
  <c r="AO9" i="14"/>
  <c r="AF9" i="14"/>
  <c r="AE9" i="14"/>
  <c r="AD9" i="14"/>
  <c r="AC9" i="14"/>
  <c r="AB9" i="14"/>
  <c r="AA9" i="14"/>
  <c r="Z9" i="14"/>
  <c r="V9" i="14"/>
  <c r="R9" i="14"/>
  <c r="T9" i="14" s="1"/>
  <c r="AS8" i="14"/>
  <c r="AR8" i="14"/>
  <c r="AO8" i="14"/>
  <c r="AF8" i="14"/>
  <c r="AE8" i="14"/>
  <c r="AD8" i="14"/>
  <c r="AC8" i="14"/>
  <c r="AB8" i="14"/>
  <c r="AA8" i="14"/>
  <c r="Z8" i="14"/>
  <c r="V8" i="14"/>
  <c r="R8" i="14"/>
  <c r="T8" i="14" s="1"/>
  <c r="AS7" i="14"/>
  <c r="AR7" i="14"/>
  <c r="AO7" i="14"/>
  <c r="AF7" i="14"/>
  <c r="AE7" i="14"/>
  <c r="AD7" i="14"/>
  <c r="AC7" i="14"/>
  <c r="AB7" i="14"/>
  <c r="AA7" i="14"/>
  <c r="Z7" i="14"/>
  <c r="V7" i="14"/>
  <c r="R7" i="14"/>
  <c r="T7" i="14" s="1"/>
  <c r="AS6" i="14"/>
  <c r="AR6" i="14"/>
  <c r="AO6" i="14"/>
  <c r="AF6" i="14"/>
  <c r="AE6" i="14"/>
  <c r="AD6" i="14"/>
  <c r="AC6" i="14"/>
  <c r="AB6" i="14"/>
  <c r="AA6" i="14"/>
  <c r="Z6" i="14"/>
  <c r="V6" i="14"/>
  <c r="R6" i="14"/>
  <c r="T6" i="14" s="1"/>
  <c r="AS5" i="14"/>
  <c r="AR5" i="14"/>
  <c r="AO5" i="14"/>
  <c r="AF5" i="14"/>
  <c r="AE5" i="14"/>
  <c r="AD5" i="14"/>
  <c r="AC5" i="14"/>
  <c r="AB5" i="14"/>
  <c r="AA5" i="14"/>
  <c r="Z5" i="14"/>
  <c r="V5" i="14"/>
  <c r="R5" i="14"/>
  <c r="T5" i="14" s="1"/>
  <c r="AS4" i="14"/>
  <c r="AR4" i="14"/>
  <c r="AO4" i="14"/>
  <c r="AF4" i="14"/>
  <c r="AE4" i="14"/>
  <c r="AD4" i="14"/>
  <c r="AC4" i="14"/>
  <c r="AB4" i="14"/>
  <c r="AA4" i="14"/>
  <c r="Z4" i="14"/>
  <c r="V4" i="14"/>
  <c r="R4" i="14"/>
  <c r="T4" i="14" s="1"/>
  <c r="AS3" i="14"/>
  <c r="AR3" i="14"/>
  <c r="AO3" i="14"/>
  <c r="AF3" i="14"/>
  <c r="AE3" i="14"/>
  <c r="AD3" i="14"/>
  <c r="AC3" i="14"/>
  <c r="AB3" i="14"/>
  <c r="AA3" i="14"/>
  <c r="Z3" i="14"/>
  <c r="V3" i="14"/>
  <c r="R3" i="14"/>
  <c r="T3" i="14" s="1"/>
  <c r="AS2" i="14"/>
  <c r="AR2" i="14"/>
  <c r="AO2" i="14"/>
  <c r="AF2" i="14"/>
  <c r="AE2" i="14"/>
  <c r="AD2" i="14"/>
  <c r="AC2" i="14"/>
  <c r="AB2" i="14"/>
  <c r="AA2" i="14"/>
  <c r="Z2" i="14"/>
  <c r="V2" i="14"/>
  <c r="R2" i="14"/>
  <c r="T2" i="14" s="1"/>
  <c r="AS165" i="13"/>
  <c r="AR165" i="13"/>
  <c r="AO165" i="13"/>
  <c r="AF165" i="13"/>
  <c r="AE165" i="13"/>
  <c r="AD165" i="13"/>
  <c r="AC165" i="13"/>
  <c r="AB165" i="13"/>
  <c r="AA165" i="13"/>
  <c r="Z165" i="13"/>
  <c r="V165" i="13"/>
  <c r="R165" i="13"/>
  <c r="T165" i="13" s="1"/>
  <c r="AS167" i="13"/>
  <c r="AR167" i="13"/>
  <c r="AO167" i="13"/>
  <c r="AF167" i="13"/>
  <c r="AE167" i="13"/>
  <c r="AD167" i="13"/>
  <c r="AC167" i="13"/>
  <c r="AB167" i="13"/>
  <c r="AA167" i="13"/>
  <c r="Z167" i="13"/>
  <c r="V167" i="13"/>
  <c r="R167" i="13"/>
  <c r="T167" i="13" s="1"/>
  <c r="AS171" i="13"/>
  <c r="AR171" i="13"/>
  <c r="AO171" i="13"/>
  <c r="AF171" i="13"/>
  <c r="AE171" i="13"/>
  <c r="AD171" i="13"/>
  <c r="AC171" i="13"/>
  <c r="AB171" i="13"/>
  <c r="AA171" i="13"/>
  <c r="Z171" i="13"/>
  <c r="V171" i="13"/>
  <c r="R171" i="13"/>
  <c r="T171" i="13" s="1"/>
  <c r="AS170" i="13"/>
  <c r="AR170" i="13"/>
  <c r="AO170" i="13"/>
  <c r="AF170" i="13"/>
  <c r="AE170" i="13"/>
  <c r="AD170" i="13"/>
  <c r="AC170" i="13"/>
  <c r="AB170" i="13"/>
  <c r="AA170" i="13"/>
  <c r="Z170" i="13"/>
  <c r="V170" i="13"/>
  <c r="R170" i="13"/>
  <c r="AS169" i="13"/>
  <c r="AR169" i="13"/>
  <c r="AO169" i="13"/>
  <c r="AF169" i="13"/>
  <c r="AE169" i="13"/>
  <c r="AD169" i="13"/>
  <c r="AC169" i="13"/>
  <c r="AB169" i="13"/>
  <c r="AA169" i="13"/>
  <c r="Z169" i="13"/>
  <c r="V169" i="13"/>
  <c r="R169" i="13"/>
  <c r="AS168" i="13"/>
  <c r="AR168" i="13"/>
  <c r="AO168" i="13"/>
  <c r="AF168" i="13"/>
  <c r="AE168" i="13"/>
  <c r="AD168" i="13"/>
  <c r="AC168" i="13"/>
  <c r="AB168" i="13"/>
  <c r="AA168" i="13"/>
  <c r="Z168" i="13"/>
  <c r="V168" i="13"/>
  <c r="R168" i="13"/>
  <c r="AS67" i="13"/>
  <c r="AR67" i="13"/>
  <c r="AO67" i="13"/>
  <c r="AF67" i="13"/>
  <c r="AE67" i="13"/>
  <c r="AD67" i="13"/>
  <c r="AC67" i="13"/>
  <c r="AB67" i="13"/>
  <c r="AA67" i="13"/>
  <c r="Z67" i="13"/>
  <c r="V67" i="13"/>
  <c r="R67" i="13"/>
  <c r="AR166" i="13"/>
  <c r="AR164" i="13"/>
  <c r="AS164" i="13"/>
  <c r="AS166" i="13"/>
  <c r="AO166" i="13"/>
  <c r="AF166" i="13"/>
  <c r="AE166" i="13"/>
  <c r="AD166" i="13"/>
  <c r="AC166" i="13"/>
  <c r="AB166" i="13"/>
  <c r="AA166" i="13"/>
  <c r="Z166" i="13"/>
  <c r="V166" i="13"/>
  <c r="R166" i="13"/>
  <c r="AO164" i="13"/>
  <c r="Z164" i="13"/>
  <c r="AA164" i="13"/>
  <c r="AB164" i="13"/>
  <c r="AC164" i="13"/>
  <c r="AD164" i="13"/>
  <c r="AE164" i="13"/>
  <c r="AF164" i="13"/>
  <c r="V164" i="13"/>
  <c r="R164" i="13"/>
  <c r="S164" i="13" s="1"/>
  <c r="AA100" i="13"/>
  <c r="AS100" i="13"/>
  <c r="AR100" i="13"/>
  <c r="AO100" i="13"/>
  <c r="AF100" i="13"/>
  <c r="AE100" i="13"/>
  <c r="AD100" i="13"/>
  <c r="AC100" i="13"/>
  <c r="AB100" i="13"/>
  <c r="Z100" i="13"/>
  <c r="V100" i="13"/>
  <c r="R100" i="13"/>
  <c r="AR2" i="13"/>
  <c r="AS79" i="13"/>
  <c r="AR79" i="13"/>
  <c r="AO79" i="13"/>
  <c r="AF79" i="13"/>
  <c r="AE79" i="13"/>
  <c r="AD79" i="13"/>
  <c r="AC79" i="13"/>
  <c r="AB79" i="13"/>
  <c r="AA79" i="13"/>
  <c r="Z79" i="13"/>
  <c r="V79" i="13"/>
  <c r="R79" i="13"/>
  <c r="S79" i="13" s="1"/>
  <c r="AS78" i="13"/>
  <c r="AR78" i="13"/>
  <c r="AO78" i="13"/>
  <c r="AF78" i="13"/>
  <c r="AE78" i="13"/>
  <c r="AD78" i="13"/>
  <c r="AC78" i="13"/>
  <c r="AB78" i="13"/>
  <c r="AA78" i="13"/>
  <c r="Z78" i="13"/>
  <c r="V78" i="13"/>
  <c r="R78" i="13"/>
  <c r="T78" i="13" s="1"/>
  <c r="AS108" i="13"/>
  <c r="AR108" i="13"/>
  <c r="AO108" i="13"/>
  <c r="AF108" i="13"/>
  <c r="AE108" i="13"/>
  <c r="AD108" i="13"/>
  <c r="AC108" i="13"/>
  <c r="AB108" i="13"/>
  <c r="AA108" i="13"/>
  <c r="Z108" i="13"/>
  <c r="V108" i="13"/>
  <c r="R108" i="13"/>
  <c r="AS86" i="13"/>
  <c r="AR86" i="13"/>
  <c r="AO86" i="13"/>
  <c r="AF86" i="13"/>
  <c r="AE86" i="13"/>
  <c r="AD86" i="13"/>
  <c r="AC86" i="13"/>
  <c r="AB86" i="13"/>
  <c r="AA86" i="13"/>
  <c r="Z86" i="13"/>
  <c r="V86" i="13"/>
  <c r="R86" i="13"/>
  <c r="AS69" i="13"/>
  <c r="AR69" i="13"/>
  <c r="AO69" i="13"/>
  <c r="AF69" i="13"/>
  <c r="AE69" i="13"/>
  <c r="AD69" i="13"/>
  <c r="AC69" i="13"/>
  <c r="AB69" i="13"/>
  <c r="AA69" i="13"/>
  <c r="Z69" i="13"/>
  <c r="V69" i="13"/>
  <c r="R69" i="13"/>
  <c r="AS59" i="13"/>
  <c r="AR59" i="13"/>
  <c r="AO59" i="13"/>
  <c r="AF59" i="13"/>
  <c r="AE59" i="13"/>
  <c r="AD59" i="13"/>
  <c r="AC59" i="13"/>
  <c r="AB59" i="13"/>
  <c r="AA59" i="13"/>
  <c r="Z59" i="13"/>
  <c r="V59" i="13"/>
  <c r="R59" i="13"/>
  <c r="AS88" i="13"/>
  <c r="AR88" i="13"/>
  <c r="AO88" i="13"/>
  <c r="AF88" i="13"/>
  <c r="AE88" i="13"/>
  <c r="AD88" i="13"/>
  <c r="AC88" i="13"/>
  <c r="AB88" i="13"/>
  <c r="AA88" i="13"/>
  <c r="Z88" i="13"/>
  <c r="V88" i="13"/>
  <c r="R88" i="13"/>
  <c r="AS76" i="13"/>
  <c r="AR76" i="13"/>
  <c r="AO76" i="13"/>
  <c r="AF76" i="13"/>
  <c r="AE76" i="13"/>
  <c r="AD76" i="13"/>
  <c r="AC76" i="13"/>
  <c r="AB76" i="13"/>
  <c r="AA76" i="13"/>
  <c r="Z76" i="13"/>
  <c r="V76" i="13"/>
  <c r="R76" i="13"/>
  <c r="AR77" i="13"/>
  <c r="AR80" i="13"/>
  <c r="AR81" i="13"/>
  <c r="AS77" i="13"/>
  <c r="AS80" i="13"/>
  <c r="AS81" i="13"/>
  <c r="AS82" i="13"/>
  <c r="AS83" i="13"/>
  <c r="AO77" i="13"/>
  <c r="AO80" i="13"/>
  <c r="AO81" i="13"/>
  <c r="AO82" i="13"/>
  <c r="AO83" i="13"/>
  <c r="AO84" i="13"/>
  <c r="Z77" i="13"/>
  <c r="AA77" i="13"/>
  <c r="AB77" i="13"/>
  <c r="AC77" i="13"/>
  <c r="AD77" i="13"/>
  <c r="AE77" i="13"/>
  <c r="AF77" i="13"/>
  <c r="Z80" i="13"/>
  <c r="AA80" i="13"/>
  <c r="AB80" i="13"/>
  <c r="AC80" i="13"/>
  <c r="AD80" i="13"/>
  <c r="AE80" i="13"/>
  <c r="AF80" i="13"/>
  <c r="Z81" i="13"/>
  <c r="AA81" i="13"/>
  <c r="AB81" i="13"/>
  <c r="AC81" i="13"/>
  <c r="AD81" i="13"/>
  <c r="AE81" i="13"/>
  <c r="AF81" i="13"/>
  <c r="Z82" i="13"/>
  <c r="AA82" i="13"/>
  <c r="AB82" i="13"/>
  <c r="AC82" i="13"/>
  <c r="AD82" i="13"/>
  <c r="AE82" i="13"/>
  <c r="AF82" i="13"/>
  <c r="V75" i="13"/>
  <c r="V77" i="13"/>
  <c r="V80" i="13"/>
  <c r="V81" i="13"/>
  <c r="V82" i="13"/>
  <c r="V83" i="13"/>
  <c r="V84" i="13"/>
  <c r="R77" i="13"/>
  <c r="R80" i="13"/>
  <c r="R81" i="13"/>
  <c r="R82" i="13"/>
  <c r="R83" i="13"/>
  <c r="AS85" i="13"/>
  <c r="AR85" i="13"/>
  <c r="AO85" i="13"/>
  <c r="AF85" i="13"/>
  <c r="AE85" i="13"/>
  <c r="AD85" i="13"/>
  <c r="AC85" i="13"/>
  <c r="AB85" i="13"/>
  <c r="AA85" i="13"/>
  <c r="Z85" i="13"/>
  <c r="V85" i="13"/>
  <c r="R85" i="13"/>
  <c r="AS58" i="13"/>
  <c r="AR58" i="13"/>
  <c r="AO58" i="13"/>
  <c r="AF58" i="13"/>
  <c r="AE58" i="13"/>
  <c r="AD58" i="13"/>
  <c r="AC58" i="13"/>
  <c r="AB58" i="13"/>
  <c r="AA58" i="13"/>
  <c r="Z58" i="13"/>
  <c r="V58" i="13"/>
  <c r="R58" i="13"/>
  <c r="AS68" i="13"/>
  <c r="AR68" i="13"/>
  <c r="AO68" i="13"/>
  <c r="AF68" i="13"/>
  <c r="AE68" i="13"/>
  <c r="AD68" i="13"/>
  <c r="AC68" i="13"/>
  <c r="AB68" i="13"/>
  <c r="AA68" i="13"/>
  <c r="Z68" i="13"/>
  <c r="V68" i="13"/>
  <c r="R68" i="13"/>
  <c r="AS161" i="13"/>
  <c r="AR161" i="13"/>
  <c r="AO161" i="13"/>
  <c r="AF161" i="13"/>
  <c r="AE161" i="13"/>
  <c r="AD161" i="13"/>
  <c r="AC161" i="13"/>
  <c r="AB161" i="13"/>
  <c r="AA161" i="13"/>
  <c r="Z161" i="13"/>
  <c r="V161" i="13"/>
  <c r="R161" i="13"/>
  <c r="AS158" i="13"/>
  <c r="AR158" i="13"/>
  <c r="AO158" i="13"/>
  <c r="AF158" i="13"/>
  <c r="AE158" i="13"/>
  <c r="AD158" i="13"/>
  <c r="AC158" i="13"/>
  <c r="AB158" i="13"/>
  <c r="AA158" i="13"/>
  <c r="Z158" i="13"/>
  <c r="V158" i="13"/>
  <c r="R158" i="13"/>
  <c r="AS136" i="13"/>
  <c r="AR136" i="13"/>
  <c r="AO136" i="13"/>
  <c r="AF136" i="13"/>
  <c r="AE136" i="13"/>
  <c r="AD136" i="13"/>
  <c r="AC136" i="13"/>
  <c r="AB136" i="13"/>
  <c r="AA136" i="13"/>
  <c r="Z136" i="13"/>
  <c r="V136" i="13"/>
  <c r="R136" i="13"/>
  <c r="AS135" i="13"/>
  <c r="AR135" i="13"/>
  <c r="AO135" i="13"/>
  <c r="AF135" i="13"/>
  <c r="AE135" i="13"/>
  <c r="AD135" i="13"/>
  <c r="AC135" i="13"/>
  <c r="AB135" i="13"/>
  <c r="AA135" i="13"/>
  <c r="Z135" i="13"/>
  <c r="V135" i="13"/>
  <c r="R135" i="13"/>
  <c r="AS149" i="13"/>
  <c r="AR149" i="13"/>
  <c r="AO149" i="13"/>
  <c r="AF149" i="13"/>
  <c r="AE149" i="13"/>
  <c r="AD149" i="13"/>
  <c r="AC149" i="13"/>
  <c r="AB149" i="13"/>
  <c r="AA149" i="13"/>
  <c r="Z149" i="13"/>
  <c r="V149" i="13"/>
  <c r="R149" i="13"/>
  <c r="AS151" i="13"/>
  <c r="AR151" i="13"/>
  <c r="AO151" i="13"/>
  <c r="AF151" i="13"/>
  <c r="AE151" i="13"/>
  <c r="AD151" i="13"/>
  <c r="AC151" i="13"/>
  <c r="AB151" i="13"/>
  <c r="AA151" i="13"/>
  <c r="Z151" i="13"/>
  <c r="V151" i="13"/>
  <c r="R151" i="13"/>
  <c r="AS147" i="13"/>
  <c r="AR147" i="13"/>
  <c r="AO147" i="13"/>
  <c r="AF147" i="13"/>
  <c r="AE147" i="13"/>
  <c r="AD147" i="13"/>
  <c r="AC147" i="13"/>
  <c r="AB147" i="13"/>
  <c r="AA147" i="13"/>
  <c r="Z147" i="13"/>
  <c r="V147" i="13"/>
  <c r="R147" i="13"/>
  <c r="AS145" i="13"/>
  <c r="AR145" i="13"/>
  <c r="AO145" i="13"/>
  <c r="AF145" i="13"/>
  <c r="AE145" i="13"/>
  <c r="AD145" i="13"/>
  <c r="AC145" i="13"/>
  <c r="AB145" i="13"/>
  <c r="AA145" i="13"/>
  <c r="Z145" i="13"/>
  <c r="V145" i="13"/>
  <c r="R145" i="13"/>
  <c r="AS142" i="13"/>
  <c r="AR142" i="13"/>
  <c r="AO142" i="13"/>
  <c r="AF142" i="13"/>
  <c r="AE142" i="13"/>
  <c r="AD142" i="13"/>
  <c r="AC142" i="13"/>
  <c r="AB142" i="13"/>
  <c r="AA142" i="13"/>
  <c r="Z142" i="13"/>
  <c r="V142" i="13"/>
  <c r="R142" i="13"/>
  <c r="AS156" i="13"/>
  <c r="AR156" i="13"/>
  <c r="AO156" i="13"/>
  <c r="AF156" i="13"/>
  <c r="AE156" i="13"/>
  <c r="AD156" i="13"/>
  <c r="AC156" i="13"/>
  <c r="AB156" i="13"/>
  <c r="AA156" i="13"/>
  <c r="Z156" i="13"/>
  <c r="V156" i="13"/>
  <c r="R156" i="13"/>
  <c r="AS154" i="13"/>
  <c r="AR154" i="13"/>
  <c r="AO154" i="13"/>
  <c r="AF154" i="13"/>
  <c r="AE154" i="13"/>
  <c r="AD154" i="13"/>
  <c r="AC154" i="13"/>
  <c r="AB154" i="13"/>
  <c r="AA154" i="13"/>
  <c r="Z154" i="13"/>
  <c r="V154" i="13"/>
  <c r="R154" i="13"/>
  <c r="AS153" i="13"/>
  <c r="AR153" i="13"/>
  <c r="AO153" i="13"/>
  <c r="AF153" i="13"/>
  <c r="AE153" i="13"/>
  <c r="AD153" i="13"/>
  <c r="AC153" i="13"/>
  <c r="AB153" i="13"/>
  <c r="AA153" i="13"/>
  <c r="Z153" i="13"/>
  <c r="V153" i="13"/>
  <c r="R153" i="13"/>
  <c r="AS139" i="13"/>
  <c r="AR139" i="13"/>
  <c r="AO139" i="13"/>
  <c r="AF139" i="13"/>
  <c r="AE139" i="13"/>
  <c r="AD139" i="13"/>
  <c r="AC139" i="13"/>
  <c r="AB139" i="13"/>
  <c r="AA139" i="13"/>
  <c r="Z139" i="13"/>
  <c r="V139" i="13"/>
  <c r="R139" i="13"/>
  <c r="AS25" i="13"/>
  <c r="AR25" i="13"/>
  <c r="AO25" i="13"/>
  <c r="AF25" i="13"/>
  <c r="AE25" i="13"/>
  <c r="AD25" i="13"/>
  <c r="AC25" i="13"/>
  <c r="AB25" i="13"/>
  <c r="AA25" i="13"/>
  <c r="Z25" i="13"/>
  <c r="V25" i="13"/>
  <c r="R25" i="13"/>
  <c r="AS23" i="13"/>
  <c r="AR23" i="13"/>
  <c r="AO23" i="13"/>
  <c r="AF23" i="13"/>
  <c r="AE23" i="13"/>
  <c r="AD23" i="13"/>
  <c r="AC23" i="13"/>
  <c r="AB23" i="13"/>
  <c r="AA23" i="13"/>
  <c r="Z23" i="13"/>
  <c r="V23" i="13"/>
  <c r="R23" i="13"/>
  <c r="AS38" i="13"/>
  <c r="AR38" i="13"/>
  <c r="AO38" i="13"/>
  <c r="AF38" i="13"/>
  <c r="AE38" i="13"/>
  <c r="AD38" i="13"/>
  <c r="AC38" i="13"/>
  <c r="AB38" i="13"/>
  <c r="AA38" i="13"/>
  <c r="Z38" i="13"/>
  <c r="V38" i="13"/>
  <c r="R38" i="13"/>
  <c r="AS42" i="13"/>
  <c r="AR42" i="13"/>
  <c r="AO42" i="13"/>
  <c r="AF42" i="13"/>
  <c r="AE42" i="13"/>
  <c r="AD42" i="13"/>
  <c r="AC42" i="13"/>
  <c r="AB42" i="13"/>
  <c r="AA42" i="13"/>
  <c r="Z42" i="13"/>
  <c r="V42" i="13"/>
  <c r="R42" i="13"/>
  <c r="AS40" i="13"/>
  <c r="AR40" i="13"/>
  <c r="AO40" i="13"/>
  <c r="AF40" i="13"/>
  <c r="AE40" i="13"/>
  <c r="AD40" i="13"/>
  <c r="AC40" i="13"/>
  <c r="AB40" i="13"/>
  <c r="AA40" i="13"/>
  <c r="Z40" i="13"/>
  <c r="V40" i="13"/>
  <c r="R40" i="13"/>
  <c r="AS36" i="13"/>
  <c r="AR36" i="13"/>
  <c r="AO36" i="13"/>
  <c r="AF36" i="13"/>
  <c r="AE36" i="13"/>
  <c r="AD36" i="13"/>
  <c r="AC36" i="13"/>
  <c r="AB36" i="13"/>
  <c r="AA36" i="13"/>
  <c r="Z36" i="13"/>
  <c r="V36" i="13"/>
  <c r="R36" i="13"/>
  <c r="AS47" i="13"/>
  <c r="AR47" i="13"/>
  <c r="AO47" i="13"/>
  <c r="AF47" i="13"/>
  <c r="AE47" i="13"/>
  <c r="AD47" i="13"/>
  <c r="AC47" i="13"/>
  <c r="AB47" i="13"/>
  <c r="AA47" i="13"/>
  <c r="Z47" i="13"/>
  <c r="V47" i="13"/>
  <c r="R47" i="13"/>
  <c r="AS44" i="13"/>
  <c r="AR44" i="13"/>
  <c r="AO44" i="13"/>
  <c r="AF44" i="13"/>
  <c r="AE44" i="13"/>
  <c r="AD44" i="13"/>
  <c r="AC44" i="13"/>
  <c r="AB44" i="13"/>
  <c r="AA44" i="13"/>
  <c r="Z44" i="13"/>
  <c r="V44" i="13"/>
  <c r="R44" i="13"/>
  <c r="AS121" i="13"/>
  <c r="AR121" i="13"/>
  <c r="AO121" i="13"/>
  <c r="AF121" i="13"/>
  <c r="AE121" i="13"/>
  <c r="AD121" i="13"/>
  <c r="AC121" i="13"/>
  <c r="AB121" i="13"/>
  <c r="AA121" i="13"/>
  <c r="Z121" i="13"/>
  <c r="V121" i="13"/>
  <c r="R121" i="13"/>
  <c r="AS119" i="13"/>
  <c r="AR119" i="13"/>
  <c r="AO119" i="13"/>
  <c r="AF119" i="13"/>
  <c r="AE119" i="13"/>
  <c r="AD119" i="13"/>
  <c r="AC119" i="13"/>
  <c r="AB119" i="13"/>
  <c r="AA119" i="13"/>
  <c r="Z119" i="13"/>
  <c r="V119" i="13"/>
  <c r="R119" i="13"/>
  <c r="AS117" i="13"/>
  <c r="AR117" i="13"/>
  <c r="AO117" i="13"/>
  <c r="AF117" i="13"/>
  <c r="AE117" i="13"/>
  <c r="AD117" i="13"/>
  <c r="AC117" i="13"/>
  <c r="AB117" i="13"/>
  <c r="AA117" i="13"/>
  <c r="Z117" i="13"/>
  <c r="V117" i="13"/>
  <c r="R117" i="13"/>
  <c r="AS116" i="13"/>
  <c r="AR116" i="13"/>
  <c r="AO116" i="13"/>
  <c r="AF116" i="13"/>
  <c r="AE116" i="13"/>
  <c r="AD116" i="13"/>
  <c r="AC116" i="13"/>
  <c r="AB116" i="13"/>
  <c r="AA116" i="13"/>
  <c r="Z116" i="13"/>
  <c r="V116" i="13"/>
  <c r="R116" i="13"/>
  <c r="AS114" i="13"/>
  <c r="AR114" i="13"/>
  <c r="AO114" i="13"/>
  <c r="AF114" i="13"/>
  <c r="AE114" i="13"/>
  <c r="AD114" i="13"/>
  <c r="AC114" i="13"/>
  <c r="AB114" i="13"/>
  <c r="AA114" i="13"/>
  <c r="Z114" i="13"/>
  <c r="V114" i="13"/>
  <c r="R114" i="13"/>
  <c r="AS112" i="13"/>
  <c r="AR112" i="13"/>
  <c r="AO112" i="13"/>
  <c r="AF112" i="13"/>
  <c r="AE112" i="13"/>
  <c r="AD112" i="13"/>
  <c r="AC112" i="13"/>
  <c r="AB112" i="13"/>
  <c r="AA112" i="13"/>
  <c r="Z112" i="13"/>
  <c r="V112" i="13"/>
  <c r="R112" i="13"/>
  <c r="AS110" i="13"/>
  <c r="AR110" i="13"/>
  <c r="AO110" i="13"/>
  <c r="AF110" i="13"/>
  <c r="AE110" i="13"/>
  <c r="AD110" i="13"/>
  <c r="AC110" i="13"/>
  <c r="AB110" i="13"/>
  <c r="AA110" i="13"/>
  <c r="Z110" i="13"/>
  <c r="V110" i="13"/>
  <c r="R110" i="13"/>
  <c r="AS107" i="13"/>
  <c r="AR107" i="13"/>
  <c r="AO107" i="13"/>
  <c r="AF107" i="13"/>
  <c r="AE107" i="13"/>
  <c r="AD107" i="13"/>
  <c r="AC107" i="13"/>
  <c r="AB107" i="13"/>
  <c r="AA107" i="13"/>
  <c r="Z107" i="13"/>
  <c r="V107" i="13"/>
  <c r="R107" i="13"/>
  <c r="AS105" i="13"/>
  <c r="AR105" i="13"/>
  <c r="AO105" i="13"/>
  <c r="AF105" i="13"/>
  <c r="AE105" i="13"/>
  <c r="AD105" i="13"/>
  <c r="AC105" i="13"/>
  <c r="AB105" i="13"/>
  <c r="AA105" i="13"/>
  <c r="Z105" i="13"/>
  <c r="V105" i="13"/>
  <c r="R105" i="13"/>
  <c r="AS103" i="13"/>
  <c r="AR103" i="13"/>
  <c r="AO103" i="13"/>
  <c r="AF103" i="13"/>
  <c r="AE103" i="13"/>
  <c r="AD103" i="13"/>
  <c r="AC103" i="13"/>
  <c r="AB103" i="13"/>
  <c r="AA103" i="13"/>
  <c r="Z103" i="13"/>
  <c r="V103" i="13"/>
  <c r="R103" i="13"/>
  <c r="AS95" i="13"/>
  <c r="AR95" i="13"/>
  <c r="AO95" i="13"/>
  <c r="AF95" i="13"/>
  <c r="AE95" i="13"/>
  <c r="AD95" i="13"/>
  <c r="AC95" i="13"/>
  <c r="AB95" i="13"/>
  <c r="AA95" i="13"/>
  <c r="Z95" i="13"/>
  <c r="V95" i="13"/>
  <c r="R95" i="13"/>
  <c r="AS94" i="13"/>
  <c r="AR94" i="13"/>
  <c r="AO94" i="13"/>
  <c r="AF94" i="13"/>
  <c r="AE94" i="13"/>
  <c r="AD94" i="13"/>
  <c r="AC94" i="13"/>
  <c r="AB94" i="13"/>
  <c r="AA94" i="13"/>
  <c r="Z94" i="13"/>
  <c r="V94" i="13"/>
  <c r="R94" i="13"/>
  <c r="AS92" i="13"/>
  <c r="AR92" i="13"/>
  <c r="AO92" i="13"/>
  <c r="AF92" i="13"/>
  <c r="AE92" i="13"/>
  <c r="AD92" i="13"/>
  <c r="AC92" i="13"/>
  <c r="AB92" i="13"/>
  <c r="AA92" i="13"/>
  <c r="Z92" i="13"/>
  <c r="V92" i="13"/>
  <c r="R92" i="13"/>
  <c r="AS49" i="13"/>
  <c r="AR49" i="13"/>
  <c r="AO49" i="13"/>
  <c r="AF49" i="13"/>
  <c r="AE49" i="13"/>
  <c r="AD49" i="13"/>
  <c r="AC49" i="13"/>
  <c r="AB49" i="13"/>
  <c r="AA49" i="13"/>
  <c r="Z49" i="13"/>
  <c r="V49" i="13"/>
  <c r="R49" i="13"/>
  <c r="AS10" i="13"/>
  <c r="AR10" i="13"/>
  <c r="AO10" i="13"/>
  <c r="AF10" i="13"/>
  <c r="AE10" i="13"/>
  <c r="AD10" i="13"/>
  <c r="AC10" i="13"/>
  <c r="AB10" i="13"/>
  <c r="AA10" i="13"/>
  <c r="Z10" i="13"/>
  <c r="V10" i="13"/>
  <c r="R10" i="13"/>
  <c r="AR6" i="13"/>
  <c r="AR8" i="13"/>
  <c r="AR9" i="13"/>
  <c r="AR48" i="13"/>
  <c r="AR45" i="13"/>
  <c r="AR46" i="13"/>
  <c r="AR34" i="13"/>
  <c r="AR35" i="13"/>
  <c r="AR19" i="13"/>
  <c r="AR20" i="13"/>
  <c r="AR21" i="13"/>
  <c r="AR22" i="13"/>
  <c r="AR17" i="13"/>
  <c r="AR18" i="13"/>
  <c r="AR15" i="13"/>
  <c r="AR16" i="13"/>
  <c r="AR13" i="13"/>
  <c r="AR14" i="13"/>
  <c r="AR11" i="13"/>
  <c r="AR12" i="13"/>
  <c r="AR37" i="13"/>
  <c r="AR41" i="13"/>
  <c r="AR43" i="13"/>
  <c r="AR39" i="13"/>
  <c r="AR24" i="13"/>
  <c r="AR26" i="13"/>
  <c r="AR29" i="13"/>
  <c r="AR30" i="13"/>
  <c r="AR27" i="13"/>
  <c r="AR28" i="13"/>
  <c r="AR31" i="13"/>
  <c r="AR32" i="13"/>
  <c r="AR33" i="13"/>
  <c r="AR5" i="13"/>
  <c r="AR4" i="13"/>
  <c r="AR3" i="13"/>
  <c r="AR50" i="13"/>
  <c r="AR51" i="13"/>
  <c r="AR52" i="13"/>
  <c r="AR53" i="13"/>
  <c r="AR54" i="13"/>
  <c r="AR55" i="13"/>
  <c r="AR56" i="13"/>
  <c r="AR57" i="13"/>
  <c r="AR60" i="13"/>
  <c r="AR62" i="13"/>
  <c r="AR63" i="13"/>
  <c r="AR64" i="13"/>
  <c r="AR65" i="13"/>
  <c r="AR66" i="13"/>
  <c r="AR75" i="13"/>
  <c r="AR70" i="13"/>
  <c r="AR71" i="13"/>
  <c r="AR72" i="13"/>
  <c r="AR73" i="13"/>
  <c r="AR74" i="13"/>
  <c r="AR61" i="13"/>
  <c r="AR89" i="13"/>
  <c r="AR82" i="13"/>
  <c r="AR83" i="13"/>
  <c r="AR84" i="13"/>
  <c r="AR87" i="13"/>
  <c r="AR90" i="13"/>
  <c r="AR93" i="13"/>
  <c r="AR98" i="13"/>
  <c r="AR96" i="13"/>
  <c r="AR97" i="13"/>
  <c r="AR91" i="13"/>
  <c r="AR106" i="13"/>
  <c r="AR123" i="13"/>
  <c r="AR124" i="13"/>
  <c r="AR125" i="13"/>
  <c r="AR126" i="13"/>
  <c r="AR127" i="13"/>
  <c r="AR128" i="13"/>
  <c r="AR109" i="13"/>
  <c r="AR111" i="13"/>
  <c r="AR113" i="13"/>
  <c r="AR115" i="13"/>
  <c r="AR134" i="13"/>
  <c r="AR129" i="13"/>
  <c r="AR130" i="13"/>
  <c r="AR131" i="13"/>
  <c r="AR132" i="13"/>
  <c r="AR133" i="13"/>
  <c r="AR118" i="13"/>
  <c r="AR120" i="13"/>
  <c r="AR122" i="13"/>
  <c r="AR99" i="13"/>
  <c r="AR101" i="13"/>
  <c r="AR102" i="13"/>
  <c r="AR104" i="13"/>
  <c r="AR163" i="13"/>
  <c r="AR140" i="13"/>
  <c r="AR155" i="13"/>
  <c r="AR157" i="13"/>
  <c r="AR148" i="13"/>
  <c r="AR152" i="13"/>
  <c r="AR150" i="13"/>
  <c r="AR141" i="13"/>
  <c r="AR143" i="13"/>
  <c r="AR144" i="13"/>
  <c r="AR146" i="13"/>
  <c r="AR137" i="13"/>
  <c r="AR138" i="13"/>
  <c r="AR159" i="13"/>
  <c r="AR160" i="13"/>
  <c r="AR162" i="13"/>
  <c r="AR7" i="13"/>
  <c r="Z48" i="13"/>
  <c r="R66" i="13"/>
  <c r="V66" i="13"/>
  <c r="Z66" i="13"/>
  <c r="AA66" i="13"/>
  <c r="AB66" i="13"/>
  <c r="AC66" i="13"/>
  <c r="AD66" i="13"/>
  <c r="AE66" i="13"/>
  <c r="AF66" i="13"/>
  <c r="AO66" i="13"/>
  <c r="AS66" i="13"/>
  <c r="R75" i="13"/>
  <c r="Z75" i="13"/>
  <c r="AA75" i="13"/>
  <c r="AB75" i="13"/>
  <c r="AC75" i="13"/>
  <c r="AD75" i="13"/>
  <c r="AE75" i="13"/>
  <c r="AF75" i="13"/>
  <c r="AO75" i="13"/>
  <c r="AS75" i="13"/>
  <c r="R70" i="13"/>
  <c r="V70" i="13"/>
  <c r="Z70" i="13"/>
  <c r="AA70" i="13"/>
  <c r="AB70" i="13"/>
  <c r="AC70" i="13"/>
  <c r="AD70" i="13"/>
  <c r="AE70" i="13"/>
  <c r="AF70" i="13"/>
  <c r="AO70" i="13"/>
  <c r="AS70" i="13"/>
  <c r="R71" i="13"/>
  <c r="V71" i="13"/>
  <c r="Z71" i="13"/>
  <c r="AA71" i="13"/>
  <c r="AB71" i="13"/>
  <c r="AC71" i="13"/>
  <c r="AD71" i="13"/>
  <c r="AE71" i="13"/>
  <c r="AF71" i="13"/>
  <c r="AO71" i="13"/>
  <c r="AS71" i="13"/>
  <c r="R72" i="13"/>
  <c r="V72" i="13"/>
  <c r="Z72" i="13"/>
  <c r="AA72" i="13"/>
  <c r="AB72" i="13"/>
  <c r="AC72" i="13"/>
  <c r="AD72" i="13"/>
  <c r="AE72" i="13"/>
  <c r="AF72" i="13"/>
  <c r="AO72" i="13"/>
  <c r="AS72" i="13"/>
  <c r="R73" i="13"/>
  <c r="V73" i="13"/>
  <c r="Z73" i="13"/>
  <c r="AA73" i="13"/>
  <c r="AB73" i="13"/>
  <c r="AC73" i="13"/>
  <c r="AD73" i="13"/>
  <c r="AE73" i="13"/>
  <c r="AF73" i="13"/>
  <c r="AO73" i="13"/>
  <c r="AS73" i="13"/>
  <c r="R74" i="13"/>
  <c r="V74" i="13"/>
  <c r="Z74" i="13"/>
  <c r="AA74" i="13"/>
  <c r="AB74" i="13"/>
  <c r="AC74" i="13"/>
  <c r="AD74" i="13"/>
  <c r="AE74" i="13"/>
  <c r="AF74" i="13"/>
  <c r="AO74" i="13"/>
  <c r="AS74" i="13"/>
  <c r="R61" i="13"/>
  <c r="V61" i="13"/>
  <c r="Z61" i="13"/>
  <c r="AA61" i="13"/>
  <c r="AB61" i="13"/>
  <c r="AC61" i="13"/>
  <c r="AD61" i="13"/>
  <c r="AE61" i="13"/>
  <c r="AF61" i="13"/>
  <c r="AO61" i="13"/>
  <c r="AS61" i="13"/>
  <c r="R89" i="13"/>
  <c r="V89" i="13"/>
  <c r="Z89" i="13"/>
  <c r="AA89" i="13"/>
  <c r="AB89" i="13"/>
  <c r="AC89" i="13"/>
  <c r="AD89" i="13"/>
  <c r="AE89" i="13"/>
  <c r="AF89" i="13"/>
  <c r="AO89" i="13"/>
  <c r="AS89" i="13"/>
  <c r="Z83" i="13"/>
  <c r="AA83" i="13"/>
  <c r="AB83" i="13"/>
  <c r="AC83" i="13"/>
  <c r="AD83" i="13"/>
  <c r="AE83" i="13"/>
  <c r="AF83" i="13"/>
  <c r="R84" i="13"/>
  <c r="Z84" i="13"/>
  <c r="AA84" i="13"/>
  <c r="AB84" i="13"/>
  <c r="AC84" i="13"/>
  <c r="AD84" i="13"/>
  <c r="AE84" i="13"/>
  <c r="AF84" i="13"/>
  <c r="AS84" i="13"/>
  <c r="R87" i="13"/>
  <c r="V87" i="13"/>
  <c r="Z87" i="13"/>
  <c r="AA87" i="13"/>
  <c r="AB87" i="13"/>
  <c r="AC87" i="13"/>
  <c r="AD87" i="13"/>
  <c r="AE87" i="13"/>
  <c r="AF87" i="13"/>
  <c r="AO87" i="13"/>
  <c r="AS87" i="13"/>
  <c r="R90" i="13"/>
  <c r="V90" i="13"/>
  <c r="Z90" i="13"/>
  <c r="AA90" i="13"/>
  <c r="AB90" i="13"/>
  <c r="AC90" i="13"/>
  <c r="AD90" i="13"/>
  <c r="AE90" i="13"/>
  <c r="AF90" i="13"/>
  <c r="AO90" i="13"/>
  <c r="AS90" i="13"/>
  <c r="R93" i="13"/>
  <c r="V93" i="13"/>
  <c r="Z93" i="13"/>
  <c r="AA93" i="13"/>
  <c r="AB93" i="13"/>
  <c r="AC93" i="13"/>
  <c r="AD93" i="13"/>
  <c r="AE93" i="13"/>
  <c r="AF93" i="13"/>
  <c r="AO93" i="13"/>
  <c r="AS93" i="13"/>
  <c r="R98" i="13"/>
  <c r="V98" i="13"/>
  <c r="Z98" i="13"/>
  <c r="AA98" i="13"/>
  <c r="AB98" i="13"/>
  <c r="AC98" i="13"/>
  <c r="AD98" i="13"/>
  <c r="AE98" i="13"/>
  <c r="AF98" i="13"/>
  <c r="AO98" i="13"/>
  <c r="AS98" i="13"/>
  <c r="R96" i="13"/>
  <c r="V96" i="13"/>
  <c r="Z96" i="13"/>
  <c r="AA96" i="13"/>
  <c r="AB96" i="13"/>
  <c r="AC96" i="13"/>
  <c r="AD96" i="13"/>
  <c r="AE96" i="13"/>
  <c r="AF96" i="13"/>
  <c r="AO96" i="13"/>
  <c r="AS96" i="13"/>
  <c r="R97" i="13"/>
  <c r="V97" i="13"/>
  <c r="Z97" i="13"/>
  <c r="AA97" i="13"/>
  <c r="AB97" i="13"/>
  <c r="AC97" i="13"/>
  <c r="AD97" i="13"/>
  <c r="AE97" i="13"/>
  <c r="AF97" i="13"/>
  <c r="AO97" i="13"/>
  <c r="AS97" i="13"/>
  <c r="R91" i="13"/>
  <c r="V91" i="13"/>
  <c r="Z91" i="13"/>
  <c r="AA91" i="13"/>
  <c r="AB91" i="13"/>
  <c r="AC91" i="13"/>
  <c r="AD91" i="13"/>
  <c r="AE91" i="13"/>
  <c r="AF91" i="13"/>
  <c r="AO91" i="13"/>
  <c r="AS91" i="13"/>
  <c r="R106" i="13"/>
  <c r="V106" i="13"/>
  <c r="Z106" i="13"/>
  <c r="AA106" i="13"/>
  <c r="AB106" i="13"/>
  <c r="AC106" i="13"/>
  <c r="AD106" i="13"/>
  <c r="AE106" i="13"/>
  <c r="AF106" i="13"/>
  <c r="AO106" i="13"/>
  <c r="AS106" i="13"/>
  <c r="R123" i="13"/>
  <c r="V123" i="13"/>
  <c r="Z123" i="13"/>
  <c r="AA123" i="13"/>
  <c r="AB123" i="13"/>
  <c r="AC123" i="13"/>
  <c r="AD123" i="13"/>
  <c r="AE123" i="13"/>
  <c r="AF123" i="13"/>
  <c r="AO123" i="13"/>
  <c r="AS123" i="13"/>
  <c r="R124" i="13"/>
  <c r="V124" i="13"/>
  <c r="Z124" i="13"/>
  <c r="AA124" i="13"/>
  <c r="AB124" i="13"/>
  <c r="AC124" i="13"/>
  <c r="AD124" i="13"/>
  <c r="AE124" i="13"/>
  <c r="AF124" i="13"/>
  <c r="AO124" i="13"/>
  <c r="AS124" i="13"/>
  <c r="R125" i="13"/>
  <c r="V125" i="13"/>
  <c r="Z125" i="13"/>
  <c r="AA125" i="13"/>
  <c r="AB125" i="13"/>
  <c r="AC125" i="13"/>
  <c r="AD125" i="13"/>
  <c r="AE125" i="13"/>
  <c r="AF125" i="13"/>
  <c r="AO125" i="13"/>
  <c r="AS125" i="13"/>
  <c r="R126" i="13"/>
  <c r="V126" i="13"/>
  <c r="Z126" i="13"/>
  <c r="AA126" i="13"/>
  <c r="AB126" i="13"/>
  <c r="AC126" i="13"/>
  <c r="AD126" i="13"/>
  <c r="AE126" i="13"/>
  <c r="AF126" i="13"/>
  <c r="AO126" i="13"/>
  <c r="AS126" i="13"/>
  <c r="R127" i="13"/>
  <c r="V127" i="13"/>
  <c r="Z127" i="13"/>
  <c r="AA127" i="13"/>
  <c r="AB127" i="13"/>
  <c r="AC127" i="13"/>
  <c r="AD127" i="13"/>
  <c r="AE127" i="13"/>
  <c r="AF127" i="13"/>
  <c r="AO127" i="13"/>
  <c r="AS127" i="13"/>
  <c r="R128" i="13"/>
  <c r="V128" i="13"/>
  <c r="Z128" i="13"/>
  <c r="AA128" i="13"/>
  <c r="AB128" i="13"/>
  <c r="AC128" i="13"/>
  <c r="AD128" i="13"/>
  <c r="AE128" i="13"/>
  <c r="AF128" i="13"/>
  <c r="AO128" i="13"/>
  <c r="AS128" i="13"/>
  <c r="R109" i="13"/>
  <c r="V109" i="13"/>
  <c r="Z109" i="13"/>
  <c r="AA109" i="13"/>
  <c r="AB109" i="13"/>
  <c r="AC109" i="13"/>
  <c r="AD109" i="13"/>
  <c r="AE109" i="13"/>
  <c r="AF109" i="13"/>
  <c r="AO109" i="13"/>
  <c r="AS109" i="13"/>
  <c r="R111" i="13"/>
  <c r="V111" i="13"/>
  <c r="Z111" i="13"/>
  <c r="AA111" i="13"/>
  <c r="AB111" i="13"/>
  <c r="AC111" i="13"/>
  <c r="AD111" i="13"/>
  <c r="AE111" i="13"/>
  <c r="AF111" i="13"/>
  <c r="AO111" i="13"/>
  <c r="AS111" i="13"/>
  <c r="R113" i="13"/>
  <c r="V113" i="13"/>
  <c r="Z113" i="13"/>
  <c r="AA113" i="13"/>
  <c r="AB113" i="13"/>
  <c r="AC113" i="13"/>
  <c r="AD113" i="13"/>
  <c r="AE113" i="13"/>
  <c r="AF113" i="13"/>
  <c r="AO113" i="13"/>
  <c r="AS113" i="13"/>
  <c r="R115" i="13"/>
  <c r="V115" i="13"/>
  <c r="Z115" i="13"/>
  <c r="AA115" i="13"/>
  <c r="AB115" i="13"/>
  <c r="AC115" i="13"/>
  <c r="AD115" i="13"/>
  <c r="AE115" i="13"/>
  <c r="AF115" i="13"/>
  <c r="AO115" i="13"/>
  <c r="AS115" i="13"/>
  <c r="R134" i="13"/>
  <c r="V134" i="13"/>
  <c r="Z134" i="13"/>
  <c r="AA134" i="13"/>
  <c r="AB134" i="13"/>
  <c r="AC134" i="13"/>
  <c r="AD134" i="13"/>
  <c r="AE134" i="13"/>
  <c r="AF134" i="13"/>
  <c r="AO134" i="13"/>
  <c r="AS134" i="13"/>
  <c r="R129" i="13"/>
  <c r="V129" i="13"/>
  <c r="Z129" i="13"/>
  <c r="AA129" i="13"/>
  <c r="AB129" i="13"/>
  <c r="AC129" i="13"/>
  <c r="AD129" i="13"/>
  <c r="AE129" i="13"/>
  <c r="AF129" i="13"/>
  <c r="AO129" i="13"/>
  <c r="AS129" i="13"/>
  <c r="R130" i="13"/>
  <c r="V130" i="13"/>
  <c r="Z130" i="13"/>
  <c r="AA130" i="13"/>
  <c r="AB130" i="13"/>
  <c r="AC130" i="13"/>
  <c r="AD130" i="13"/>
  <c r="AE130" i="13"/>
  <c r="AF130" i="13"/>
  <c r="AO130" i="13"/>
  <c r="AS130" i="13"/>
  <c r="R131" i="13"/>
  <c r="V131" i="13"/>
  <c r="Z131" i="13"/>
  <c r="AA131" i="13"/>
  <c r="AB131" i="13"/>
  <c r="AC131" i="13"/>
  <c r="AD131" i="13"/>
  <c r="AE131" i="13"/>
  <c r="AF131" i="13"/>
  <c r="AO131" i="13"/>
  <c r="AS131" i="13"/>
  <c r="R132" i="13"/>
  <c r="V132" i="13"/>
  <c r="Z132" i="13"/>
  <c r="AA132" i="13"/>
  <c r="AB132" i="13"/>
  <c r="AC132" i="13"/>
  <c r="AD132" i="13"/>
  <c r="AE132" i="13"/>
  <c r="AF132" i="13"/>
  <c r="AO132" i="13"/>
  <c r="AS132" i="13"/>
  <c r="R133" i="13"/>
  <c r="V133" i="13"/>
  <c r="Z133" i="13"/>
  <c r="AA133" i="13"/>
  <c r="AB133" i="13"/>
  <c r="AC133" i="13"/>
  <c r="AD133" i="13"/>
  <c r="AE133" i="13"/>
  <c r="AF133" i="13"/>
  <c r="AO133" i="13"/>
  <c r="AS133" i="13"/>
  <c r="R118" i="13"/>
  <c r="V118" i="13"/>
  <c r="Z118" i="13"/>
  <c r="AA118" i="13"/>
  <c r="AB118" i="13"/>
  <c r="AC118" i="13"/>
  <c r="AD118" i="13"/>
  <c r="AE118" i="13"/>
  <c r="AF118" i="13"/>
  <c r="AO118" i="13"/>
  <c r="AS118" i="13"/>
  <c r="R120" i="13"/>
  <c r="V120" i="13"/>
  <c r="Z120" i="13"/>
  <c r="AA120" i="13"/>
  <c r="AB120" i="13"/>
  <c r="AC120" i="13"/>
  <c r="AD120" i="13"/>
  <c r="AE120" i="13"/>
  <c r="AF120" i="13"/>
  <c r="AO120" i="13"/>
  <c r="AS120" i="13"/>
  <c r="R122" i="13"/>
  <c r="V122" i="13"/>
  <c r="Z122" i="13"/>
  <c r="AA122" i="13"/>
  <c r="AB122" i="13"/>
  <c r="AC122" i="13"/>
  <c r="AD122" i="13"/>
  <c r="AE122" i="13"/>
  <c r="AF122" i="13"/>
  <c r="AO122" i="13"/>
  <c r="AS122" i="13"/>
  <c r="R99" i="13"/>
  <c r="V99" i="13"/>
  <c r="Z99" i="13"/>
  <c r="AA99" i="13"/>
  <c r="AB99" i="13"/>
  <c r="AC99" i="13"/>
  <c r="AD99" i="13"/>
  <c r="AE99" i="13"/>
  <c r="AF99" i="13"/>
  <c r="AO99" i="13"/>
  <c r="AS99" i="13"/>
  <c r="R101" i="13"/>
  <c r="V101" i="13"/>
  <c r="Z101" i="13"/>
  <c r="AA101" i="13"/>
  <c r="AB101" i="13"/>
  <c r="AC101" i="13"/>
  <c r="AD101" i="13"/>
  <c r="AE101" i="13"/>
  <c r="AF101" i="13"/>
  <c r="AO101" i="13"/>
  <c r="AS101" i="13"/>
  <c r="R102" i="13"/>
  <c r="V102" i="13"/>
  <c r="Z102" i="13"/>
  <c r="AA102" i="13"/>
  <c r="AB102" i="13"/>
  <c r="AC102" i="13"/>
  <c r="AD102" i="13"/>
  <c r="AE102" i="13"/>
  <c r="AF102" i="13"/>
  <c r="AO102" i="13"/>
  <c r="AS102" i="13"/>
  <c r="R104" i="13"/>
  <c r="V104" i="13"/>
  <c r="Z104" i="13"/>
  <c r="AA104" i="13"/>
  <c r="AB104" i="13"/>
  <c r="AC104" i="13"/>
  <c r="AD104" i="13"/>
  <c r="AE104" i="13"/>
  <c r="AF104" i="13"/>
  <c r="AO104" i="13"/>
  <c r="AS104" i="13"/>
  <c r="R163" i="13"/>
  <c r="V163" i="13"/>
  <c r="Z163" i="13"/>
  <c r="AA163" i="13"/>
  <c r="AB163" i="13"/>
  <c r="AC163" i="13"/>
  <c r="AD163" i="13"/>
  <c r="AE163" i="13"/>
  <c r="AF163" i="13"/>
  <c r="AO163" i="13"/>
  <c r="AS163" i="13"/>
  <c r="R140" i="13"/>
  <c r="V140" i="13"/>
  <c r="Z140" i="13"/>
  <c r="AA140" i="13"/>
  <c r="AB140" i="13"/>
  <c r="AC140" i="13"/>
  <c r="AD140" i="13"/>
  <c r="AE140" i="13"/>
  <c r="AF140" i="13"/>
  <c r="AO140" i="13"/>
  <c r="AS140" i="13"/>
  <c r="R155" i="13"/>
  <c r="V155" i="13"/>
  <c r="Z155" i="13"/>
  <c r="AA155" i="13"/>
  <c r="AB155" i="13"/>
  <c r="AC155" i="13"/>
  <c r="AD155" i="13"/>
  <c r="AE155" i="13"/>
  <c r="AF155" i="13"/>
  <c r="AO155" i="13"/>
  <c r="AS155" i="13"/>
  <c r="R157" i="13"/>
  <c r="V157" i="13"/>
  <c r="Z157" i="13"/>
  <c r="AA157" i="13"/>
  <c r="AB157" i="13"/>
  <c r="AC157" i="13"/>
  <c r="AD157" i="13"/>
  <c r="AE157" i="13"/>
  <c r="AF157" i="13"/>
  <c r="AO157" i="13"/>
  <c r="AS157" i="13"/>
  <c r="R148" i="13"/>
  <c r="V148" i="13"/>
  <c r="Z148" i="13"/>
  <c r="AA148" i="13"/>
  <c r="AB148" i="13"/>
  <c r="AC148" i="13"/>
  <c r="AD148" i="13"/>
  <c r="AE148" i="13"/>
  <c r="AF148" i="13"/>
  <c r="AO148" i="13"/>
  <c r="AS148" i="13"/>
  <c r="R152" i="13"/>
  <c r="V152" i="13"/>
  <c r="Z152" i="13"/>
  <c r="AA152" i="13"/>
  <c r="AB152" i="13"/>
  <c r="AC152" i="13"/>
  <c r="AD152" i="13"/>
  <c r="AE152" i="13"/>
  <c r="AF152" i="13"/>
  <c r="AO152" i="13"/>
  <c r="AS152" i="13"/>
  <c r="R150" i="13"/>
  <c r="V150" i="13"/>
  <c r="Z150" i="13"/>
  <c r="AA150" i="13"/>
  <c r="AB150" i="13"/>
  <c r="AC150" i="13"/>
  <c r="AD150" i="13"/>
  <c r="AE150" i="13"/>
  <c r="AF150" i="13"/>
  <c r="AO150" i="13"/>
  <c r="AS150" i="13"/>
  <c r="R141" i="13"/>
  <c r="V141" i="13"/>
  <c r="Z141" i="13"/>
  <c r="AA141" i="13"/>
  <c r="AB141" i="13"/>
  <c r="AC141" i="13"/>
  <c r="AD141" i="13"/>
  <c r="AE141" i="13"/>
  <c r="AF141" i="13"/>
  <c r="AO141" i="13"/>
  <c r="AS141" i="13"/>
  <c r="R143" i="13"/>
  <c r="V143" i="13"/>
  <c r="Z143" i="13"/>
  <c r="AA143" i="13"/>
  <c r="AB143" i="13"/>
  <c r="AC143" i="13"/>
  <c r="AD143" i="13"/>
  <c r="AE143" i="13"/>
  <c r="AF143" i="13"/>
  <c r="AO143" i="13"/>
  <c r="AS143" i="13"/>
  <c r="R144" i="13"/>
  <c r="V144" i="13"/>
  <c r="Z144" i="13"/>
  <c r="AA144" i="13"/>
  <c r="AB144" i="13"/>
  <c r="AC144" i="13"/>
  <c r="AD144" i="13"/>
  <c r="AE144" i="13"/>
  <c r="AF144" i="13"/>
  <c r="AO144" i="13"/>
  <c r="AS144" i="13"/>
  <c r="R146" i="13"/>
  <c r="V146" i="13"/>
  <c r="Z146" i="13"/>
  <c r="AA146" i="13"/>
  <c r="AB146" i="13"/>
  <c r="AC146" i="13"/>
  <c r="AD146" i="13"/>
  <c r="AE146" i="13"/>
  <c r="AF146" i="13"/>
  <c r="AO146" i="13"/>
  <c r="AS146" i="13"/>
  <c r="R137" i="13"/>
  <c r="V137" i="13"/>
  <c r="Z137" i="13"/>
  <c r="AA137" i="13"/>
  <c r="AB137" i="13"/>
  <c r="AC137" i="13"/>
  <c r="AD137" i="13"/>
  <c r="AE137" i="13"/>
  <c r="AF137" i="13"/>
  <c r="AO137" i="13"/>
  <c r="AS137" i="13"/>
  <c r="R138" i="13"/>
  <c r="V138" i="13"/>
  <c r="Z138" i="13"/>
  <c r="AA138" i="13"/>
  <c r="AB138" i="13"/>
  <c r="AC138" i="13"/>
  <c r="AD138" i="13"/>
  <c r="AE138" i="13"/>
  <c r="AF138" i="13"/>
  <c r="AO138" i="13"/>
  <c r="AS138" i="13"/>
  <c r="R159" i="13"/>
  <c r="V159" i="13"/>
  <c r="Z159" i="13"/>
  <c r="AA159" i="13"/>
  <c r="AB159" i="13"/>
  <c r="AC159" i="13"/>
  <c r="AD159" i="13"/>
  <c r="AE159" i="13"/>
  <c r="AF159" i="13"/>
  <c r="AO159" i="13"/>
  <c r="AS159" i="13"/>
  <c r="R160" i="13"/>
  <c r="V160" i="13"/>
  <c r="Z160" i="13"/>
  <c r="AA160" i="13"/>
  <c r="AB160" i="13"/>
  <c r="AC160" i="13"/>
  <c r="AD160" i="13"/>
  <c r="AE160" i="13"/>
  <c r="AF160" i="13"/>
  <c r="AO160" i="13"/>
  <c r="AS160" i="13"/>
  <c r="R162" i="13"/>
  <c r="V162" i="13"/>
  <c r="Z162" i="13"/>
  <c r="AA162" i="13"/>
  <c r="AB162" i="13"/>
  <c r="AC162" i="13"/>
  <c r="AD162" i="13"/>
  <c r="AE162" i="13"/>
  <c r="AF162" i="13"/>
  <c r="AO162" i="13"/>
  <c r="AS162" i="13"/>
  <c r="V65" i="13"/>
  <c r="Z65" i="13"/>
  <c r="AA65" i="13"/>
  <c r="AB65" i="13"/>
  <c r="AC65" i="13"/>
  <c r="AD65" i="13"/>
  <c r="AE65" i="13"/>
  <c r="AF65" i="13"/>
  <c r="AO65" i="13"/>
  <c r="AS65" i="13"/>
  <c r="AS8" i="13"/>
  <c r="AS9" i="13"/>
  <c r="AS48" i="13"/>
  <c r="AS45" i="13"/>
  <c r="AS46" i="13"/>
  <c r="AS34" i="13"/>
  <c r="AS35" i="13"/>
  <c r="AS19" i="13"/>
  <c r="AS20" i="13"/>
  <c r="AS21" i="13"/>
  <c r="AS22" i="13"/>
  <c r="AS17" i="13"/>
  <c r="AS18" i="13"/>
  <c r="AS15" i="13"/>
  <c r="AS16" i="13"/>
  <c r="AS13" i="13"/>
  <c r="AS14" i="13"/>
  <c r="AS11" i="13"/>
  <c r="AS12" i="13"/>
  <c r="AS37" i="13"/>
  <c r="AS41" i="13"/>
  <c r="AS43" i="13"/>
  <c r="AS39" i="13"/>
  <c r="AS24" i="13"/>
  <c r="AS26" i="13"/>
  <c r="AS29" i="13"/>
  <c r="AS30" i="13"/>
  <c r="AS27" i="13"/>
  <c r="AS28" i="13"/>
  <c r="AS31" i="13"/>
  <c r="AS32" i="13"/>
  <c r="AS33" i="13"/>
  <c r="AS5" i="13"/>
  <c r="AS4" i="13"/>
  <c r="AS3" i="13"/>
  <c r="AS2" i="13"/>
  <c r="AS50" i="13"/>
  <c r="AS51" i="13"/>
  <c r="AS52" i="13"/>
  <c r="AS53" i="13"/>
  <c r="AS54" i="13"/>
  <c r="AS55" i="13"/>
  <c r="AS56" i="13"/>
  <c r="AS57" i="13"/>
  <c r="AS60" i="13"/>
  <c r="AS62" i="13"/>
  <c r="AS63" i="13"/>
  <c r="AS64" i="13"/>
  <c r="AO8" i="13"/>
  <c r="AO9" i="13"/>
  <c r="AO48" i="13"/>
  <c r="AO45" i="13"/>
  <c r="AO46" i="13"/>
  <c r="AO34" i="13"/>
  <c r="AO35" i="13"/>
  <c r="AO19" i="13"/>
  <c r="AO20" i="13"/>
  <c r="AO21" i="13"/>
  <c r="AO22" i="13"/>
  <c r="AO17" i="13"/>
  <c r="AO18" i="13"/>
  <c r="AO15" i="13"/>
  <c r="AO16" i="13"/>
  <c r="AO13" i="13"/>
  <c r="AO14" i="13"/>
  <c r="AO11" i="13"/>
  <c r="AO12" i="13"/>
  <c r="AO37" i="13"/>
  <c r="AO41" i="13"/>
  <c r="AO43" i="13"/>
  <c r="AO39" i="13"/>
  <c r="AO24" i="13"/>
  <c r="AO26" i="13"/>
  <c r="AO29" i="13"/>
  <c r="AO30" i="13"/>
  <c r="AO27" i="13"/>
  <c r="AO28" i="13"/>
  <c r="AO31" i="13"/>
  <c r="AO32" i="13"/>
  <c r="AO33" i="13"/>
  <c r="AO5" i="13"/>
  <c r="AO4" i="13"/>
  <c r="AO3" i="13"/>
  <c r="AO2" i="13"/>
  <c r="AO50" i="13"/>
  <c r="AO51" i="13"/>
  <c r="AO52" i="13"/>
  <c r="AO53" i="13"/>
  <c r="AO54" i="13"/>
  <c r="AO55" i="13"/>
  <c r="AO56" i="13"/>
  <c r="AO57" i="13"/>
  <c r="AO60" i="13"/>
  <c r="AO62" i="13"/>
  <c r="AO63" i="13"/>
  <c r="AO64" i="13"/>
  <c r="AA8" i="13"/>
  <c r="AB8" i="13"/>
  <c r="AC8" i="13"/>
  <c r="AD8" i="13"/>
  <c r="AE8" i="13"/>
  <c r="AF8" i="13"/>
  <c r="AA9" i="13"/>
  <c r="AB9" i="13"/>
  <c r="AC9" i="13"/>
  <c r="AD9" i="13"/>
  <c r="AE9" i="13"/>
  <c r="AF9" i="13"/>
  <c r="AA48" i="13"/>
  <c r="AB48" i="13"/>
  <c r="AC48" i="13"/>
  <c r="AD48" i="13"/>
  <c r="AE48" i="13"/>
  <c r="AF48" i="13"/>
  <c r="AA45" i="13"/>
  <c r="AB45" i="13"/>
  <c r="AC45" i="13"/>
  <c r="AD45" i="13"/>
  <c r="AE45" i="13"/>
  <c r="AF45" i="13"/>
  <c r="AA46" i="13"/>
  <c r="AB46" i="13"/>
  <c r="AC46" i="13"/>
  <c r="AD46" i="13"/>
  <c r="AE46" i="13"/>
  <c r="AF46" i="13"/>
  <c r="AA34" i="13"/>
  <c r="AB34" i="13"/>
  <c r="AC34" i="13"/>
  <c r="AD34" i="13"/>
  <c r="AE34" i="13"/>
  <c r="AF34" i="13"/>
  <c r="AA35" i="13"/>
  <c r="AB35" i="13"/>
  <c r="AC35" i="13"/>
  <c r="AD35" i="13"/>
  <c r="AE35" i="13"/>
  <c r="AF35" i="13"/>
  <c r="AA19" i="13"/>
  <c r="AB19" i="13"/>
  <c r="AC19" i="13"/>
  <c r="AD19" i="13"/>
  <c r="AE19" i="13"/>
  <c r="AF19" i="13"/>
  <c r="AA20" i="13"/>
  <c r="AB20" i="13"/>
  <c r="AC20" i="13"/>
  <c r="AD20" i="13"/>
  <c r="AE20" i="13"/>
  <c r="AF20" i="13"/>
  <c r="AA21" i="13"/>
  <c r="AB21" i="13"/>
  <c r="AC21" i="13"/>
  <c r="AD21" i="13"/>
  <c r="AE21" i="13"/>
  <c r="AF21" i="13"/>
  <c r="AA22" i="13"/>
  <c r="AB22" i="13"/>
  <c r="AC22" i="13"/>
  <c r="AD22" i="13"/>
  <c r="AE22" i="13"/>
  <c r="AF22" i="13"/>
  <c r="AA17" i="13"/>
  <c r="AB17" i="13"/>
  <c r="AC17" i="13"/>
  <c r="AD17" i="13"/>
  <c r="AE17" i="13"/>
  <c r="AF17" i="13"/>
  <c r="AA18" i="13"/>
  <c r="AB18" i="13"/>
  <c r="AC18" i="13"/>
  <c r="AD18" i="13"/>
  <c r="AE18" i="13"/>
  <c r="AF18" i="13"/>
  <c r="AA15" i="13"/>
  <c r="AB15" i="13"/>
  <c r="AC15" i="13"/>
  <c r="AD15" i="13"/>
  <c r="AE15" i="13"/>
  <c r="AF15" i="13"/>
  <c r="AA16" i="13"/>
  <c r="AB16" i="13"/>
  <c r="AC16" i="13"/>
  <c r="AD16" i="13"/>
  <c r="AE16" i="13"/>
  <c r="AF16" i="13"/>
  <c r="AA13" i="13"/>
  <c r="AB13" i="13"/>
  <c r="AC13" i="13"/>
  <c r="AD13" i="13"/>
  <c r="AE13" i="13"/>
  <c r="AF13" i="13"/>
  <c r="AA14" i="13"/>
  <c r="AB14" i="13"/>
  <c r="AC14" i="13"/>
  <c r="AD14" i="13"/>
  <c r="AE14" i="13"/>
  <c r="AF14" i="13"/>
  <c r="AA11" i="13"/>
  <c r="AB11" i="13"/>
  <c r="AC11" i="13"/>
  <c r="AD11" i="13"/>
  <c r="AE11" i="13"/>
  <c r="AF11" i="13"/>
  <c r="AA12" i="13"/>
  <c r="AB12" i="13"/>
  <c r="AC12" i="13"/>
  <c r="AD12" i="13"/>
  <c r="AE12" i="13"/>
  <c r="AF12" i="13"/>
  <c r="AA37" i="13"/>
  <c r="AB37" i="13"/>
  <c r="AC37" i="13"/>
  <c r="AD37" i="13"/>
  <c r="AE37" i="13"/>
  <c r="AF37" i="13"/>
  <c r="AA41" i="13"/>
  <c r="AB41" i="13"/>
  <c r="AC41" i="13"/>
  <c r="AD41" i="13"/>
  <c r="AE41" i="13"/>
  <c r="AF41" i="13"/>
  <c r="AA43" i="13"/>
  <c r="AB43" i="13"/>
  <c r="AC43" i="13"/>
  <c r="AD43" i="13"/>
  <c r="AE43" i="13"/>
  <c r="AF43" i="13"/>
  <c r="AA39" i="13"/>
  <c r="AB39" i="13"/>
  <c r="AC39" i="13"/>
  <c r="AD39" i="13"/>
  <c r="AE39" i="13"/>
  <c r="AF39" i="13"/>
  <c r="AA24" i="13"/>
  <c r="AB24" i="13"/>
  <c r="AC24" i="13"/>
  <c r="AD24" i="13"/>
  <c r="AE24" i="13"/>
  <c r="AF24" i="13"/>
  <c r="AA26" i="13"/>
  <c r="AB26" i="13"/>
  <c r="AC26" i="13"/>
  <c r="AD26" i="13"/>
  <c r="AE26" i="13"/>
  <c r="AF26" i="13"/>
  <c r="AA29" i="13"/>
  <c r="AB29" i="13"/>
  <c r="AC29" i="13"/>
  <c r="AD29" i="13"/>
  <c r="AE29" i="13"/>
  <c r="AF29" i="13"/>
  <c r="AA30" i="13"/>
  <c r="AB30" i="13"/>
  <c r="AC30" i="13"/>
  <c r="AD30" i="13"/>
  <c r="AE30" i="13"/>
  <c r="AF30" i="13"/>
  <c r="AA27" i="13"/>
  <c r="AB27" i="13"/>
  <c r="AC27" i="13"/>
  <c r="AD27" i="13"/>
  <c r="AE27" i="13"/>
  <c r="AF27" i="13"/>
  <c r="AA28" i="13"/>
  <c r="AB28" i="13"/>
  <c r="AC28" i="13"/>
  <c r="AD28" i="13"/>
  <c r="AE28" i="13"/>
  <c r="AF28" i="13"/>
  <c r="AA31" i="13"/>
  <c r="AB31" i="13"/>
  <c r="AC31" i="13"/>
  <c r="AD31" i="13"/>
  <c r="AE31" i="13"/>
  <c r="AF31" i="13"/>
  <c r="AA32" i="13"/>
  <c r="AB32" i="13"/>
  <c r="AC32" i="13"/>
  <c r="AD32" i="13"/>
  <c r="AE32" i="13"/>
  <c r="AF32" i="13"/>
  <c r="AA33" i="13"/>
  <c r="AB33" i="13"/>
  <c r="AC33" i="13"/>
  <c r="AD33" i="13"/>
  <c r="AE33" i="13"/>
  <c r="AF33" i="13"/>
  <c r="AA5" i="13"/>
  <c r="AB5" i="13"/>
  <c r="AC5" i="13"/>
  <c r="AD5" i="13"/>
  <c r="AE5" i="13"/>
  <c r="AF5" i="13"/>
  <c r="AA4" i="13"/>
  <c r="AB4" i="13"/>
  <c r="AC4" i="13"/>
  <c r="AD4" i="13"/>
  <c r="AE4" i="13"/>
  <c r="AF4" i="13"/>
  <c r="AA3" i="13"/>
  <c r="AB3" i="13"/>
  <c r="AC3" i="13"/>
  <c r="AD3" i="13"/>
  <c r="AE3" i="13"/>
  <c r="AF3" i="13"/>
  <c r="AA2" i="13"/>
  <c r="AB2" i="13"/>
  <c r="AC2" i="13"/>
  <c r="AD2" i="13"/>
  <c r="AE2" i="13"/>
  <c r="AF2" i="13"/>
  <c r="AA50" i="13"/>
  <c r="AB50" i="13"/>
  <c r="AC50" i="13"/>
  <c r="AD50" i="13"/>
  <c r="AE50" i="13"/>
  <c r="AF50" i="13"/>
  <c r="AA51" i="13"/>
  <c r="AB51" i="13"/>
  <c r="AC51" i="13"/>
  <c r="AD51" i="13"/>
  <c r="AE51" i="13"/>
  <c r="AF51" i="13"/>
  <c r="AA52" i="13"/>
  <c r="AB52" i="13"/>
  <c r="AC52" i="13"/>
  <c r="AD52" i="13"/>
  <c r="AE52" i="13"/>
  <c r="AF52" i="13"/>
  <c r="AA53" i="13"/>
  <c r="AB53" i="13"/>
  <c r="AC53" i="13"/>
  <c r="AD53" i="13"/>
  <c r="AE53" i="13"/>
  <c r="AF53" i="13"/>
  <c r="AA54" i="13"/>
  <c r="AB54" i="13"/>
  <c r="AC54" i="13"/>
  <c r="AD54" i="13"/>
  <c r="AE54" i="13"/>
  <c r="AF54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AA57" i="13"/>
  <c r="AB57" i="13"/>
  <c r="AC57" i="13"/>
  <c r="AD57" i="13"/>
  <c r="AE57" i="13"/>
  <c r="AF57" i="13"/>
  <c r="AA60" i="13"/>
  <c r="AB60" i="13"/>
  <c r="AC60" i="13"/>
  <c r="AD60" i="13"/>
  <c r="AE60" i="13"/>
  <c r="AF60" i="13"/>
  <c r="AA62" i="13"/>
  <c r="AB62" i="13"/>
  <c r="AC62" i="13"/>
  <c r="AD62" i="13"/>
  <c r="AE62" i="13"/>
  <c r="AF62" i="13"/>
  <c r="AA63" i="13"/>
  <c r="AB63" i="13"/>
  <c r="AC63" i="13"/>
  <c r="AD63" i="13"/>
  <c r="AE63" i="13"/>
  <c r="AF63" i="13"/>
  <c r="AA64" i="13"/>
  <c r="AB64" i="13"/>
  <c r="AC64" i="13"/>
  <c r="AD64" i="13"/>
  <c r="AE64" i="13"/>
  <c r="AF64" i="13"/>
  <c r="Z8" i="13"/>
  <c r="Z9" i="13"/>
  <c r="Z45" i="13"/>
  <c r="Z46" i="13"/>
  <c r="Z34" i="13"/>
  <c r="Z35" i="13"/>
  <c r="Z19" i="13"/>
  <c r="Z20" i="13"/>
  <c r="Z21" i="13"/>
  <c r="Z22" i="13"/>
  <c r="Z17" i="13"/>
  <c r="Z18" i="13"/>
  <c r="Z15" i="13"/>
  <c r="Z16" i="13"/>
  <c r="Z13" i="13"/>
  <c r="Z14" i="13"/>
  <c r="Z11" i="13"/>
  <c r="Z12" i="13"/>
  <c r="Z37" i="13"/>
  <c r="Z41" i="13"/>
  <c r="Z43" i="13"/>
  <c r="Z39" i="13"/>
  <c r="Z24" i="13"/>
  <c r="Z26" i="13"/>
  <c r="Z29" i="13"/>
  <c r="Z30" i="13"/>
  <c r="Z27" i="13"/>
  <c r="Z28" i="13"/>
  <c r="Z31" i="13"/>
  <c r="Z32" i="13"/>
  <c r="Z33" i="13"/>
  <c r="Z5" i="13"/>
  <c r="Z4" i="13"/>
  <c r="Z3" i="13"/>
  <c r="Z2" i="13"/>
  <c r="Z50" i="13"/>
  <c r="Z51" i="13"/>
  <c r="Z52" i="13"/>
  <c r="Z53" i="13"/>
  <c r="Z54" i="13"/>
  <c r="Z55" i="13"/>
  <c r="Z56" i="13"/>
  <c r="Z57" i="13"/>
  <c r="Z60" i="13"/>
  <c r="Z62" i="13"/>
  <c r="Z63" i="13"/>
  <c r="Z64" i="13"/>
  <c r="V8" i="13"/>
  <c r="V9" i="13"/>
  <c r="V48" i="13"/>
  <c r="V45" i="13"/>
  <c r="V46" i="13"/>
  <c r="V34" i="13"/>
  <c r="V35" i="13"/>
  <c r="V19" i="13"/>
  <c r="V20" i="13"/>
  <c r="V21" i="13"/>
  <c r="V22" i="13"/>
  <c r="V17" i="13"/>
  <c r="V18" i="13"/>
  <c r="V15" i="13"/>
  <c r="V16" i="13"/>
  <c r="V13" i="13"/>
  <c r="V14" i="13"/>
  <c r="V11" i="13"/>
  <c r="V12" i="13"/>
  <c r="V37" i="13"/>
  <c r="V41" i="13"/>
  <c r="V43" i="13"/>
  <c r="V39" i="13"/>
  <c r="V24" i="13"/>
  <c r="V26" i="13"/>
  <c r="V29" i="13"/>
  <c r="V30" i="13"/>
  <c r="V27" i="13"/>
  <c r="V28" i="13"/>
  <c r="V31" i="13"/>
  <c r="V32" i="13"/>
  <c r="V33" i="13"/>
  <c r="V5" i="13"/>
  <c r="V4" i="13"/>
  <c r="V3" i="13"/>
  <c r="V2" i="13"/>
  <c r="V50" i="13"/>
  <c r="V51" i="13"/>
  <c r="V52" i="13"/>
  <c r="V53" i="13"/>
  <c r="V54" i="13"/>
  <c r="V55" i="13"/>
  <c r="V56" i="13"/>
  <c r="V57" i="13"/>
  <c r="V60" i="13"/>
  <c r="V62" i="13"/>
  <c r="V63" i="13"/>
  <c r="V64" i="13"/>
  <c r="R8" i="13"/>
  <c r="R9" i="13"/>
  <c r="R48" i="13"/>
  <c r="R45" i="13"/>
  <c r="R46" i="13"/>
  <c r="R34" i="13"/>
  <c r="R35" i="13"/>
  <c r="R19" i="13"/>
  <c r="R20" i="13"/>
  <c r="R21" i="13"/>
  <c r="R22" i="13"/>
  <c r="R17" i="13"/>
  <c r="R18" i="13"/>
  <c r="R15" i="13"/>
  <c r="R16" i="13"/>
  <c r="R13" i="13"/>
  <c r="R14" i="13"/>
  <c r="R11" i="13"/>
  <c r="R12" i="13"/>
  <c r="R37" i="13"/>
  <c r="R41" i="13"/>
  <c r="R43" i="13"/>
  <c r="R39" i="13"/>
  <c r="R24" i="13"/>
  <c r="R26" i="13"/>
  <c r="R29" i="13"/>
  <c r="R30" i="13"/>
  <c r="R27" i="13"/>
  <c r="R28" i="13"/>
  <c r="R31" i="13"/>
  <c r="R32" i="13"/>
  <c r="R33" i="13"/>
  <c r="R5" i="13"/>
  <c r="R4" i="13"/>
  <c r="R3" i="13"/>
  <c r="R2" i="13"/>
  <c r="R50" i="13"/>
  <c r="R51" i="13"/>
  <c r="R52" i="13"/>
  <c r="R53" i="13"/>
  <c r="R54" i="13"/>
  <c r="R55" i="13"/>
  <c r="R56" i="13"/>
  <c r="R57" i="13"/>
  <c r="R60" i="13"/>
  <c r="R62" i="13"/>
  <c r="R63" i="13"/>
  <c r="R64" i="13"/>
  <c r="R65" i="13"/>
  <c r="Z7" i="13"/>
  <c r="Z6" i="13"/>
  <c r="AO6" i="13"/>
  <c r="AO7" i="13"/>
  <c r="AE7" i="13"/>
  <c r="AF7" i="13"/>
  <c r="AE6" i="13"/>
  <c r="AF6" i="13"/>
  <c r="AC7" i="13"/>
  <c r="AD7" i="13"/>
  <c r="AC6" i="13"/>
  <c r="AD6" i="13"/>
  <c r="AB7" i="13"/>
  <c r="AB6" i="13"/>
  <c r="AA7" i="13"/>
  <c r="AA6" i="13"/>
  <c r="B36" i="8"/>
  <c r="AS6" i="13"/>
  <c r="V6" i="13"/>
  <c r="R6" i="13"/>
  <c r="AS7" i="13"/>
  <c r="R7" i="13"/>
  <c r="V7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S152" i="14" l="1"/>
  <c r="S22" i="14"/>
  <c r="S50" i="14"/>
  <c r="S78" i="14"/>
  <c r="S106" i="14"/>
  <c r="S76" i="14"/>
  <c r="S104" i="14"/>
  <c r="S150" i="14"/>
  <c r="S170" i="14"/>
  <c r="S18" i="14"/>
  <c r="S46" i="14"/>
  <c r="S74" i="14"/>
  <c r="S130" i="14"/>
  <c r="S102" i="14"/>
  <c r="S16" i="14"/>
  <c r="S44" i="14"/>
  <c r="S72" i="14"/>
  <c r="S148" i="14"/>
  <c r="S168" i="14"/>
  <c r="S100" i="14"/>
  <c r="S128" i="14"/>
  <c r="S14" i="14"/>
  <c r="S42" i="14"/>
  <c r="S70" i="14"/>
  <c r="S98" i="14"/>
  <c r="S126" i="14"/>
  <c r="S146" i="14"/>
  <c r="S166" i="14"/>
  <c r="S12" i="14"/>
  <c r="S40" i="14"/>
  <c r="S68" i="14"/>
  <c r="S4" i="14"/>
  <c r="S32" i="14"/>
  <c r="S60" i="14"/>
  <c r="T90" i="14"/>
  <c r="T118" i="14"/>
  <c r="S140" i="14"/>
  <c r="T160" i="14"/>
  <c r="S94" i="14"/>
  <c r="S8" i="14"/>
  <c r="T122" i="14"/>
  <c r="S162" i="14"/>
  <c r="S92" i="14"/>
  <c r="S142" i="14"/>
  <c r="S62" i="14"/>
  <c r="S158" i="14"/>
  <c r="T88" i="14"/>
  <c r="S114" i="14"/>
  <c r="S28" i="14"/>
  <c r="S156" i="14"/>
  <c r="S84" i="14"/>
  <c r="S26" i="14"/>
  <c r="S54" i="14"/>
  <c r="T112" i="14"/>
  <c r="S136" i="14"/>
  <c r="S36" i="14"/>
  <c r="S64" i="14"/>
  <c r="S120" i="14"/>
  <c r="S6" i="14"/>
  <c r="S34" i="14"/>
  <c r="S30" i="14"/>
  <c r="T116" i="14"/>
  <c r="S86" i="14"/>
  <c r="S82" i="14"/>
  <c r="S110" i="14"/>
  <c r="S154" i="14"/>
  <c r="S2" i="14"/>
  <c r="S58" i="14"/>
  <c r="S138" i="14"/>
  <c r="S56" i="14"/>
  <c r="S3" i="14"/>
  <c r="S7" i="14"/>
  <c r="S11" i="14"/>
  <c r="S15" i="14"/>
  <c r="S19" i="14"/>
  <c r="S23" i="14"/>
  <c r="S27" i="14"/>
  <c r="S33" i="14"/>
  <c r="S37" i="14"/>
  <c r="S41" i="14"/>
  <c r="S45" i="14"/>
  <c r="S49" i="14"/>
  <c r="S53" i="14"/>
  <c r="S59" i="14"/>
  <c r="S65" i="14"/>
  <c r="S71" i="14"/>
  <c r="S77" i="14"/>
  <c r="S83" i="14"/>
  <c r="S87" i="14"/>
  <c r="S93" i="14"/>
  <c r="S99" i="14"/>
  <c r="S103" i="14"/>
  <c r="S107" i="14"/>
  <c r="S113" i="14"/>
  <c r="S117" i="14"/>
  <c r="S121" i="14"/>
  <c r="S125" i="14"/>
  <c r="S129" i="14"/>
  <c r="S135" i="14"/>
  <c r="S139" i="14"/>
  <c r="S143" i="14"/>
  <c r="S149" i="14"/>
  <c r="S169" i="14"/>
  <c r="S31" i="14"/>
  <c r="S153" i="14"/>
  <c r="S5" i="14"/>
  <c r="S9" i="14"/>
  <c r="S13" i="14"/>
  <c r="S17" i="14"/>
  <c r="S21" i="14"/>
  <c r="S25" i="14"/>
  <c r="S29" i="14"/>
  <c r="S35" i="14"/>
  <c r="S39" i="14"/>
  <c r="S43" i="14"/>
  <c r="S47" i="14"/>
  <c r="S51" i="14"/>
  <c r="S55" i="14"/>
  <c r="S61" i="14"/>
  <c r="S67" i="14"/>
  <c r="S81" i="14"/>
  <c r="S89" i="14"/>
  <c r="S97" i="14"/>
  <c r="S109" i="14"/>
  <c r="S167" i="14"/>
  <c r="T101" i="14"/>
  <c r="T119" i="14"/>
  <c r="T131" i="14"/>
  <c r="T137" i="14"/>
  <c r="T147" i="14"/>
  <c r="T155" i="14"/>
  <c r="T161" i="14"/>
  <c r="S57" i="14"/>
  <c r="S63" i="14"/>
  <c r="S69" i="14"/>
  <c r="S73" i="14"/>
  <c r="S79" i="14"/>
  <c r="S85" i="14"/>
  <c r="S91" i="14"/>
  <c r="S95" i="14"/>
  <c r="S105" i="14"/>
  <c r="S111" i="14"/>
  <c r="S115" i="14"/>
  <c r="S123" i="14"/>
  <c r="S127" i="14"/>
  <c r="S133" i="14"/>
  <c r="S141" i="14"/>
  <c r="S145" i="14"/>
  <c r="S151" i="14"/>
  <c r="S157" i="14"/>
  <c r="S159" i="14"/>
  <c r="S163" i="14"/>
  <c r="S165" i="14"/>
  <c r="S171" i="14"/>
  <c r="S165" i="13"/>
  <c r="S166" i="13"/>
  <c r="S167" i="13"/>
  <c r="T100" i="13"/>
  <c r="S170" i="13"/>
  <c r="T168" i="13"/>
  <c r="T169" i="13"/>
  <c r="T67" i="13"/>
  <c r="T170" i="13"/>
  <c r="S171" i="13"/>
  <c r="S169" i="13"/>
  <c r="S168" i="13"/>
  <c r="S67" i="13"/>
  <c r="T164" i="13"/>
  <c r="S100" i="13"/>
  <c r="T166" i="13"/>
  <c r="S88" i="13"/>
  <c r="S78" i="13"/>
  <c r="T79" i="13"/>
  <c r="S80" i="13"/>
  <c r="S108" i="13"/>
  <c r="S85" i="13"/>
  <c r="T86" i="13"/>
  <c r="T108" i="13"/>
  <c r="S86" i="13"/>
  <c r="S69" i="13"/>
  <c r="S59" i="13"/>
  <c r="T80" i="13"/>
  <c r="T69" i="13"/>
  <c r="T81" i="13"/>
  <c r="T59" i="13"/>
  <c r="S58" i="13"/>
  <c r="T76" i="13"/>
  <c r="S77" i="13"/>
  <c r="T88" i="13"/>
  <c r="T83" i="13"/>
  <c r="S82" i="13"/>
  <c r="S81" i="13"/>
  <c r="T77" i="13"/>
  <c r="S76" i="13"/>
  <c r="S83" i="13"/>
  <c r="T82" i="13"/>
  <c r="T85" i="13"/>
  <c r="T58" i="13"/>
  <c r="T151" i="13"/>
  <c r="T68" i="13"/>
  <c r="S96" i="13"/>
  <c r="T158" i="13"/>
  <c r="T94" i="13"/>
  <c r="S114" i="13"/>
  <c r="S149" i="13"/>
  <c r="S161" i="13"/>
  <c r="S68" i="13"/>
  <c r="S38" i="13"/>
  <c r="S40" i="13"/>
  <c r="S154" i="13"/>
  <c r="T135" i="13"/>
  <c r="S145" i="13"/>
  <c r="S147" i="13"/>
  <c r="T161" i="13"/>
  <c r="S158" i="13"/>
  <c r="T156" i="13"/>
  <c r="T136" i="13"/>
  <c r="S135" i="13"/>
  <c r="S136" i="13"/>
  <c r="T149" i="13"/>
  <c r="S151" i="13"/>
  <c r="T47" i="13"/>
  <c r="T139" i="13"/>
  <c r="T145" i="13"/>
  <c r="T25" i="13"/>
  <c r="T147" i="13"/>
  <c r="T142" i="13"/>
  <c r="T121" i="13"/>
  <c r="T23" i="13"/>
  <c r="S142" i="13"/>
  <c r="S156" i="13"/>
  <c r="T154" i="13"/>
  <c r="T153" i="13"/>
  <c r="S153" i="13"/>
  <c r="S139" i="13"/>
  <c r="T36" i="13"/>
  <c r="S25" i="13"/>
  <c r="S117" i="13"/>
  <c r="T42" i="13"/>
  <c r="S23" i="13"/>
  <c r="T38" i="13"/>
  <c r="S42" i="13"/>
  <c r="T40" i="13"/>
  <c r="S36" i="13"/>
  <c r="T44" i="13"/>
  <c r="S150" i="13"/>
  <c r="S126" i="13"/>
  <c r="S105" i="13"/>
  <c r="S47" i="13"/>
  <c r="S44" i="13"/>
  <c r="T119" i="13"/>
  <c r="S121" i="13"/>
  <c r="S119" i="13"/>
  <c r="S95" i="13"/>
  <c r="S116" i="13"/>
  <c r="T107" i="13"/>
  <c r="T117" i="13"/>
  <c r="T116" i="13"/>
  <c r="S92" i="13"/>
  <c r="S112" i="13"/>
  <c r="T159" i="13"/>
  <c r="T134" i="13"/>
  <c r="T114" i="13"/>
  <c r="T112" i="13"/>
  <c r="T110" i="13"/>
  <c r="S110" i="13"/>
  <c r="T103" i="13"/>
  <c r="S107" i="13"/>
  <c r="S103" i="13"/>
  <c r="T46" i="13"/>
  <c r="S101" i="13"/>
  <c r="T93" i="13"/>
  <c r="T10" i="13"/>
  <c r="T105" i="13"/>
  <c r="S15" i="13"/>
  <c r="S54" i="13"/>
  <c r="S56" i="13"/>
  <c r="T17" i="13"/>
  <c r="T115" i="13"/>
  <c r="S160" i="13"/>
  <c r="S129" i="13"/>
  <c r="S28" i="13"/>
  <c r="S45" i="13"/>
  <c r="S94" i="13"/>
  <c r="T9" i="13"/>
  <c r="S137" i="13"/>
  <c r="S113" i="13"/>
  <c r="T72" i="13"/>
  <c r="T61" i="13"/>
  <c r="T143" i="13"/>
  <c r="S128" i="13"/>
  <c r="S162" i="13"/>
  <c r="S130" i="13"/>
  <c r="T95" i="13"/>
  <c r="S122" i="13"/>
  <c r="S144" i="13"/>
  <c r="S109" i="13"/>
  <c r="T70" i="13"/>
  <c r="T104" i="13"/>
  <c r="T92" i="13"/>
  <c r="S66" i="13"/>
  <c r="S11" i="13"/>
  <c r="T120" i="13"/>
  <c r="S49" i="13"/>
  <c r="S20" i="13"/>
  <c r="S132" i="13"/>
  <c r="S163" i="13"/>
  <c r="S148" i="13"/>
  <c r="S124" i="13"/>
  <c r="T55" i="13"/>
  <c r="T54" i="13"/>
  <c r="T15" i="13"/>
  <c r="T118" i="13"/>
  <c r="T49" i="13"/>
  <c r="S17" i="13"/>
  <c r="T33" i="13"/>
  <c r="T53" i="13"/>
  <c r="S125" i="13"/>
  <c r="S53" i="13"/>
  <c r="T18" i="13"/>
  <c r="T52" i="13"/>
  <c r="S155" i="13"/>
  <c r="S98" i="13"/>
  <c r="S84" i="13"/>
  <c r="S141" i="13"/>
  <c r="S106" i="13"/>
  <c r="S93" i="13"/>
  <c r="S60" i="13"/>
  <c r="T75" i="13"/>
  <c r="S57" i="13"/>
  <c r="S14" i="13"/>
  <c r="S140" i="13"/>
  <c r="S120" i="13"/>
  <c r="S143" i="13"/>
  <c r="S13" i="13"/>
  <c r="S146" i="13"/>
  <c r="S97" i="13"/>
  <c r="S34" i="13"/>
  <c r="S46" i="13"/>
  <c r="S10" i="13"/>
  <c r="T152" i="13"/>
  <c r="S99" i="13"/>
  <c r="S133" i="13"/>
  <c r="T128" i="13"/>
  <c r="S123" i="13"/>
  <c r="S51" i="13"/>
  <c r="T22" i="13"/>
  <c r="S50" i="13"/>
  <c r="S21" i="13"/>
  <c r="S138" i="13"/>
  <c r="S102" i="13"/>
  <c r="S111" i="13"/>
  <c r="S74" i="13"/>
  <c r="S3" i="13"/>
  <c r="S2" i="13"/>
  <c r="S4" i="13"/>
  <c r="S5" i="13"/>
  <c r="T32" i="13"/>
  <c r="T144" i="13"/>
  <c r="T57" i="13"/>
  <c r="T31" i="13"/>
  <c r="S127" i="13"/>
  <c r="T27" i="13"/>
  <c r="T101" i="13"/>
  <c r="S65" i="13"/>
  <c r="T109" i="13"/>
  <c r="T56" i="13"/>
  <c r="S70" i="13"/>
  <c r="T14" i="13"/>
  <c r="S157" i="13"/>
  <c r="S131" i="13"/>
  <c r="T91" i="13"/>
  <c r="S16" i="13"/>
  <c r="S89" i="13"/>
  <c r="S90" i="13"/>
  <c r="S87" i="13"/>
  <c r="S73" i="13"/>
  <c r="T71" i="13"/>
  <c r="S75" i="13"/>
  <c r="T74" i="13"/>
  <c r="S159" i="13"/>
  <c r="T140" i="13"/>
  <c r="S134" i="13"/>
  <c r="T97" i="13"/>
  <c r="T162" i="13"/>
  <c r="T130" i="13"/>
  <c r="T155" i="13"/>
  <c r="T106" i="13"/>
  <c r="T132" i="13"/>
  <c r="T89" i="13"/>
  <c r="T148" i="13"/>
  <c r="T124" i="13"/>
  <c r="T150" i="13"/>
  <c r="T126" i="13"/>
  <c r="T137" i="13"/>
  <c r="T113" i="13"/>
  <c r="S72" i="13"/>
  <c r="S104" i="13"/>
  <c r="T146" i="13"/>
  <c r="T111" i="13"/>
  <c r="S71" i="13"/>
  <c r="T138" i="13"/>
  <c r="T73" i="13"/>
  <c r="T163" i="13"/>
  <c r="S115" i="13"/>
  <c r="T96" i="13"/>
  <c r="T160" i="13"/>
  <c r="T129" i="13"/>
  <c r="S91" i="13"/>
  <c r="T157" i="13"/>
  <c r="S61" i="13"/>
  <c r="T133" i="13"/>
  <c r="T125" i="13"/>
  <c r="T84" i="13"/>
  <c r="T141" i="13"/>
  <c r="S118" i="13"/>
  <c r="T127" i="13"/>
  <c r="T66" i="13"/>
  <c r="T99" i="13"/>
  <c r="T90" i="13"/>
  <c r="T102" i="13"/>
  <c r="T98" i="13"/>
  <c r="T131" i="13"/>
  <c r="T123" i="13"/>
  <c r="S152" i="13"/>
  <c r="T122" i="13"/>
  <c r="T87" i="13"/>
  <c r="T65" i="13"/>
  <c r="S52" i="13"/>
  <c r="T45" i="13"/>
  <c r="S30" i="13"/>
  <c r="S48" i="13"/>
  <c r="T8" i="13"/>
  <c r="T13" i="13"/>
  <c r="S55" i="13"/>
  <c r="S9" i="13"/>
  <c r="S35" i="13"/>
  <c r="S64" i="13"/>
  <c r="T41" i="13"/>
  <c r="T28" i="13"/>
  <c r="S63" i="13"/>
  <c r="S37" i="13"/>
  <c r="S26" i="13"/>
  <c r="S27" i="13"/>
  <c r="S19" i="13"/>
  <c r="S31" i="13"/>
  <c r="T30" i="13"/>
  <c r="S32" i="13"/>
  <c r="T43" i="13"/>
  <c r="S29" i="13"/>
  <c r="T24" i="13"/>
  <c r="S39" i="13"/>
  <c r="T16" i="13"/>
  <c r="T48" i="13"/>
  <c r="T34" i="13"/>
  <c r="T26" i="13"/>
  <c r="S18" i="13"/>
  <c r="S12" i="13"/>
  <c r="S43" i="13"/>
  <c r="S41" i="13"/>
  <c r="T63" i="13"/>
  <c r="S62" i="13"/>
  <c r="T60" i="13"/>
  <c r="T64" i="13"/>
  <c r="T37" i="13"/>
  <c r="T11" i="13"/>
  <c r="T50" i="13"/>
  <c r="T21" i="13"/>
  <c r="T62" i="13"/>
  <c r="T12" i="13"/>
  <c r="T2" i="13"/>
  <c r="T20" i="13"/>
  <c r="S22" i="13"/>
  <c r="T3" i="13"/>
  <c r="T29" i="13"/>
  <c r="T4" i="13"/>
  <c r="T51" i="13"/>
  <c r="T5" i="13"/>
  <c r="T35" i="13"/>
  <c r="S33" i="13"/>
  <c r="T19" i="13"/>
  <c r="S24" i="13"/>
  <c r="T39" i="13"/>
  <c r="S8" i="13"/>
  <c r="T6" i="13"/>
  <c r="S7" i="13"/>
  <c r="S6" i="13"/>
  <c r="T7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E53E6C2F-8D9A-4654-99E9-27BE643310A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F99C1B55-41EF-4B8C-A0FD-A04B0952320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9557C83F-19AA-4499-977C-4A86B4BFF48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27D3DFA9-3862-470A-ACC8-457EC9F032E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E6ACA621-79D7-40CE-B759-9E3D7E7F991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C7CE628B-A600-4DAB-9ABB-2F3396516C3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6436B735-E4E0-4EA4-A391-969BE8D914B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CC16E158-9012-4CF5-A9A5-7C27110C888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9A377433-9BF9-4970-BA7F-52E04BEC046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D9D5053C-741B-454F-8C7C-A200FF432CA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2D04B87B-90E8-4E73-B4C3-5BCCCF8857B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52FFE638-A7E6-4449-8D4E-D3CB232AFF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2C8052AE-42A4-466C-B7F7-02C38C889EE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AF728351-ACD4-4CD4-BF8E-0386A79D128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1BFD51F5-9A56-44BB-A95F-1421DF34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2B1B15B6-6406-4D31-BB7F-7BF4CCD3DD6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31021476-569A-4897-8C93-8CB378E4E06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8E138600-D856-4776-AF20-22120A890AF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664663F-F24B-4961-9AA5-D07C5B29BAA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FF411BF4-E2AD-4969-ACEC-76BCAC6D6A1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221C8FF8-F350-4891-9875-23D94480DB6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B529555A-DB04-41BC-97C9-D4447882A3F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3C462026-DC82-4C3B-BE3C-382B47351BD6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88FD44DD-9EFF-4B75-8F3C-685C1C14C2C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A221616E-95B2-40FB-9B6B-C53D4CB40C0B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02CA0AE-236A-4F11-96FF-41D77FD325D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EC330473-8851-4079-B7F6-C5188DA773BA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E950552-AEF5-4850-A2FA-02A046B4E20B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5F2431B3-CA57-4548-A9D5-EC3C7A34DD99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<sst xmlns="http://schemas.openxmlformats.org/spreadsheetml/2006/main" count="3065" uniqueCount="271">
  <si>
    <t>Vásárlási ár</t>
  </si>
  <si>
    <t>Üzemeltetési költség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</si>
  <si>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</si>
  <si>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</si>
  <si>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</si>
  <si>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</si>
  <si>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</si>
  <si>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</si>
  <si>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</si>
  <si>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</si>
  <si>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</si>
  <si>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</si>
  <si>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</si>
  <si>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</si>
  <si>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</si>
  <si>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</si>
  <si>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</si>
  <si>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</si>
  <si>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</si>
  <si>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</si>
  <si>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</si>
  <si>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</si>
  <si>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Doors</t>
  </si>
  <si>
    <t>Stairs</t>
  </si>
  <si>
    <t>ppl/tick</t>
  </si>
  <si>
    <t>Loading speed</t>
  </si>
  <si>
    <t>Color</t>
  </si>
  <si>
    <t>diesel</t>
  </si>
  <si>
    <t>cng</t>
  </si>
  <si>
    <t>Type</t>
  </si>
  <si>
    <t>CC1</t>
  </si>
  <si>
    <t>Usage</t>
  </si>
  <si>
    <t>City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</si>
  <si>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</si>
  <si>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</si>
  <si>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</si>
  <si>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</si>
  <si>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</si>
  <si>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</si>
  <si>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</si>
  <si>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</si>
  <si>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</si>
  <si>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CC2</t>
  </si>
  <si>
    <t>CC3</t>
  </si>
  <si>
    <t>Új</t>
  </si>
  <si>
    <t>Flag</t>
  </si>
  <si>
    <t>Volan</t>
  </si>
  <si>
    <t>Intercity</t>
  </si>
  <si>
    <t>Tourist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</si>
  <si>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</si>
  <si>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</si>
  <si>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</si>
  <si>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</si>
  <si>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</si>
  <si>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</si>
  <si>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</si>
  <si>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</si>
  <si>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</si>
  <si>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</si>
  <si>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</si>
  <si>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</si>
  <si>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</si>
  <si>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</si>
  <si>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</si>
  <si>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</si>
  <si>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</si>
  <si>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</si>
  <si>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</si>
  <si>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</si>
  <si>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</si>
  <si>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</si>
  <si>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</si>
  <si>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</si>
  <si>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</si>
  <si>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</si>
  <si>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</si>
  <si>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</si>
  <si>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</si>
  <si>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</si>
  <si>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</si>
  <si>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</si>
  <si>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</si>
  <si>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</si>
  <si>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</si>
  <si>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</si>
  <si>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BKV</t>
  </si>
  <si>
    <t>LiveryText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</si>
  <si>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</si>
  <si>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</si>
  <si>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városi</t>
  </si>
  <si>
    <t>AAA</t>
  </si>
  <si>
    <t>Manufacturer</t>
  </si>
  <si>
    <t>Ikarus</t>
  </si>
  <si>
    <t>E98</t>
  </si>
  <si>
    <t>Ik30_a</t>
  </si>
  <si>
    <t>Mavaut</t>
  </si>
  <si>
    <t>BKV1</t>
  </si>
  <si>
    <t>BKV2</t>
  </si>
  <si>
    <t>Ik60P_a</t>
  </si>
  <si>
    <t>Ik31_a</t>
  </si>
  <si>
    <t>Ik556DD_a</t>
  </si>
  <si>
    <t>Ik556_a</t>
  </si>
  <si>
    <t>Ik557_a</t>
  </si>
  <si>
    <t>Ik55_a</t>
  </si>
  <si>
    <t>Ik601_a</t>
  </si>
  <si>
    <t>Ik602_a</t>
  </si>
  <si>
    <t>Ik60_a</t>
  </si>
  <si>
    <t>Ik620_a</t>
  </si>
  <si>
    <t>556DD</t>
  </si>
  <si>
    <t>60P</t>
  </si>
  <si>
    <t>Old</t>
  </si>
  <si>
    <t>417GG</t>
  </si>
  <si>
    <t>E13</t>
  </si>
  <si>
    <t>E91</t>
  </si>
  <si>
    <t>E92</t>
  </si>
  <si>
    <t>E94F</t>
  </si>
  <si>
    <t>E94G</t>
  </si>
  <si>
    <t>E94LF</t>
  </si>
  <si>
    <t>E94</t>
  </si>
  <si>
    <t>E95</t>
  </si>
  <si>
    <t>E99</t>
  </si>
  <si>
    <t>pótkocsis</t>
  </si>
  <si>
    <t>2-2-0</t>
  </si>
  <si>
    <t>kézi ajtós</t>
  </si>
  <si>
    <t>ráncajtós</t>
  </si>
  <si>
    <t>elővárosi</t>
  </si>
  <si>
    <t>modern?</t>
  </si>
  <si>
    <t>gyros</t>
  </si>
  <si>
    <t>proto</t>
  </si>
  <si>
    <t>facelift</t>
  </si>
  <si>
    <t>klímás</t>
  </si>
  <si>
    <t>3tengelyes</t>
  </si>
  <si>
    <t>4tengelyes</t>
  </si>
  <si>
    <t>IC620?</t>
  </si>
  <si>
    <t>IC622?</t>
  </si>
  <si>
    <t>60+tr</t>
  </si>
  <si>
    <t>Ik622_a</t>
  </si>
  <si>
    <t>Ik622_b</t>
  </si>
  <si>
    <t>Ik630_a</t>
  </si>
  <si>
    <t>Ik66_a</t>
  </si>
  <si>
    <t>Ik66_b</t>
  </si>
  <si>
    <t>TR35_a</t>
  </si>
  <si>
    <t>TR5_a</t>
  </si>
  <si>
    <t>Ik180_a</t>
  </si>
  <si>
    <t>Ik210_a</t>
  </si>
  <si>
    <t>Ik211_a</t>
  </si>
  <si>
    <t>Ik212_a</t>
  </si>
  <si>
    <t>Ik222_a</t>
  </si>
  <si>
    <t>Ik250_a</t>
  </si>
  <si>
    <t>Ik250_b</t>
  </si>
  <si>
    <t>Ik254_a</t>
  </si>
  <si>
    <t>Ik255_a</t>
  </si>
  <si>
    <t>Ik256_a</t>
  </si>
  <si>
    <t>Ik256_b</t>
  </si>
  <si>
    <t>Ik256_c</t>
  </si>
  <si>
    <t>Ik260cng_a</t>
  </si>
  <si>
    <t>Ik260_a</t>
  </si>
  <si>
    <t>Ik260_b</t>
  </si>
  <si>
    <t>Ik260_d</t>
  </si>
  <si>
    <t>Ik260_e</t>
  </si>
  <si>
    <t>Ik260_g</t>
  </si>
  <si>
    <t>Ik263_a</t>
  </si>
  <si>
    <t>Ik266_a</t>
  </si>
  <si>
    <t>Ik280cng_a</t>
  </si>
  <si>
    <t>Ik280_a</t>
  </si>
  <si>
    <t>Ik280_b</t>
  </si>
  <si>
    <t>Ik280_d</t>
  </si>
  <si>
    <t>Ik280_e</t>
  </si>
  <si>
    <t>Ik280_f</t>
  </si>
  <si>
    <t>Ik280_g</t>
  </si>
  <si>
    <t>Ik282_a</t>
  </si>
  <si>
    <t>Ik283_b</t>
  </si>
  <si>
    <t>Ik284_a</t>
  </si>
  <si>
    <t>Ik293_a</t>
  </si>
  <si>
    <t>Ik405_a</t>
  </si>
  <si>
    <t>Ik411_a</t>
  </si>
  <si>
    <t>Ik412_a</t>
  </si>
  <si>
    <t>Ik412_b</t>
  </si>
  <si>
    <t>Ik415_a</t>
  </si>
  <si>
    <t>Ik415_b</t>
  </si>
  <si>
    <t>Ik415_c</t>
  </si>
  <si>
    <t>Ik415_d</t>
  </si>
  <si>
    <t>Ik417GG_a</t>
  </si>
  <si>
    <t>Ik417_a</t>
  </si>
  <si>
    <t>Ik417_b</t>
  </si>
  <si>
    <t>Ik435_a</t>
  </si>
  <si>
    <t>Ik435_b</t>
  </si>
  <si>
    <t>Ik435_c</t>
  </si>
  <si>
    <t>Ik435_d</t>
  </si>
  <si>
    <t>Ik315_a</t>
  </si>
  <si>
    <t>Ik350_a</t>
  </si>
  <si>
    <t>Ik397_a</t>
  </si>
  <si>
    <t>Ik955_a</t>
  </si>
  <si>
    <t>IkE13_a</t>
  </si>
  <si>
    <t>IkE91_a</t>
  </si>
  <si>
    <t>IkE91_b</t>
  </si>
  <si>
    <t>IkE92_a</t>
  </si>
  <si>
    <t>IkE94F_a</t>
  </si>
  <si>
    <t>IkE94G_a</t>
  </si>
  <si>
    <t>IkE94LF_a</t>
  </si>
  <si>
    <t>IkE94_a</t>
  </si>
  <si>
    <t>IkE94_b</t>
  </si>
  <si>
    <t>IkE95_a</t>
  </si>
  <si>
    <t>IkE98_a</t>
  </si>
  <si>
    <t>IkE99_a</t>
  </si>
  <si>
    <t>+ Trailer</t>
  </si>
  <si>
    <t>2xx</t>
  </si>
  <si>
    <t>4xx</t>
  </si>
  <si>
    <t>EAG</t>
  </si>
  <si>
    <t>Facelift</t>
  </si>
  <si>
    <t>Proto</t>
  </si>
  <si>
    <t>Eurolines</t>
  </si>
  <si>
    <t>Koros</t>
  </si>
  <si>
    <t>Zala</t>
  </si>
  <si>
    <t>Volan1</t>
  </si>
  <si>
    <t>Volan2</t>
  </si>
  <si>
    <t>Ik263_b</t>
  </si>
  <si>
    <t>Ik263_c</t>
  </si>
  <si>
    <t>Tajvan</t>
  </si>
  <si>
    <t>TR5</t>
  </si>
  <si>
    <t>TR35</t>
  </si>
  <si>
    <t>IkITC601_a</t>
  </si>
  <si>
    <t>IkITC600_a</t>
  </si>
  <si>
    <t>ITC600</t>
  </si>
  <si>
    <t>ITC601</t>
  </si>
  <si>
    <t>601+tr</t>
  </si>
  <si>
    <t>Ik386_a</t>
  </si>
  <si>
    <t>E94L</t>
  </si>
  <si>
    <t>280.37</t>
  </si>
  <si>
    <t>280.00</t>
  </si>
  <si>
    <t>250.59</t>
  </si>
  <si>
    <t>256.44</t>
  </si>
  <si>
    <t>260.00</t>
  </si>
  <si>
    <t>260.31</t>
  </si>
  <si>
    <t>260.32</t>
  </si>
  <si>
    <t>260.46</t>
  </si>
  <si>
    <t>263.10</t>
  </si>
  <si>
    <t>263.01</t>
  </si>
  <si>
    <t>263.04</t>
  </si>
  <si>
    <t>263.06</t>
  </si>
  <si>
    <t>Ik280_h</t>
  </si>
  <si>
    <t>Ik263_d</t>
  </si>
  <si>
    <t>Ik253_a</t>
  </si>
  <si>
    <t>Sor1</t>
  </si>
  <si>
    <t>Sor2</t>
  </si>
  <si>
    <t>Sor3</t>
  </si>
  <si>
    <t>első szériás</t>
  </si>
  <si>
    <t>E92.20</t>
  </si>
  <si>
    <t>Ik325_a</t>
  </si>
  <si>
    <t>C56</t>
  </si>
  <si>
    <t>C56.42</t>
  </si>
  <si>
    <t>IkC56_a</t>
  </si>
  <si>
    <t>IkC56_b</t>
  </si>
  <si>
    <t>C56.22</t>
  </si>
  <si>
    <t>Ik256_d</t>
  </si>
  <si>
    <t>256.42</t>
  </si>
  <si>
    <t>hosszabb</t>
  </si>
  <si>
    <t>C80</t>
  </si>
  <si>
    <t>IkC80_a</t>
  </si>
  <si>
    <t>IkC80_b</t>
  </si>
  <si>
    <t>C80.40A</t>
  </si>
  <si>
    <t>C80.30A</t>
  </si>
  <si>
    <t>IkC83_a</t>
  </si>
  <si>
    <t>IkC83_b</t>
  </si>
  <si>
    <t>C83</t>
  </si>
  <si>
    <t>C83.30</t>
  </si>
  <si>
    <t>C83.40</t>
  </si>
  <si>
    <t>C60</t>
  </si>
  <si>
    <t>IkC60_a</t>
  </si>
  <si>
    <t>C60.30A</t>
  </si>
  <si>
    <t>Suburb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</si>
</sst>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0" xfId="0" applyFill="1"/>
    <xf numFmtId="49" fontId="0" fillId="0" borderId="0" xfId="0" applyNumberFormat="1"/>
    <xf numFmtId="0" fontId="0" fillId="3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center" vertical="center" textRotation="180" wrapText="1"/>
    </xf>
    <xf numFmtId="49" fontId="6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center" vertical="center" textRotation="180" wrapText="1"/>
    </xf>
    <xf numFmtId="1" fontId="6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/>
    <xf numFmtId="2" fontId="6" fillId="4" borderId="0" xfId="0" applyNumberFormat="1" applyFont="1" applyFill="1" applyAlignment="1">
      <alignment horizontal="center" vertical="center" textRotation="180" wrapText="1"/>
    </xf>
    <xf numFmtId="2" fontId="6" fillId="4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</cellXfs>
  <cellStyles count="1">
    <cellStyle name="Normá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V171"/>
  <sheetViews>
    <sheetView tabSelected="1" zoomScale="70" zoomScaleNormal="70" workbookViewId="0">
      <selection sqref="A1:XFD1048576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66">
      <c r="A1" s="24" t="s">
        <v>90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29" t="s">
        <v>56</v>
      </c>
      <c r="T1" s="29" t="s">
        <v>57</v>
      </c>
      <c r="U1" s="24" t="s">
        <v>63</v>
      </c>
      <c r="V1" s="29" t="s">
        <v>62</v>
      </c>
      <c r="W1" s="24" t="s">
        <v>58</v>
      </c>
      <c r="X1" s="24" t="s">
        <v>61</v>
      </c>
      <c r="Y1" s="24" t="s">
        <v>60</v>
      </c>
      <c r="Z1" s="29" t="s">
        <v>59</v>
      </c>
      <c r="AA1" s="29" t="s">
        <v>64</v>
      </c>
      <c r="AB1" s="29" t="s">
        <v>65</v>
      </c>
      <c r="AC1" s="29" t="s">
        <v>66</v>
      </c>
      <c r="AD1" s="29" t="s">
        <v>67</v>
      </c>
      <c r="AE1" s="29" t="s">
        <v>68</v>
      </c>
      <c r="AF1" s="29" t="s">
        <v>69</v>
      </c>
      <c r="AG1" s="24" t="s">
        <v>81</v>
      </c>
      <c r="AH1" s="24" t="s">
        <v>82</v>
      </c>
      <c r="AI1" s="24" t="s">
        <v>83</v>
      </c>
      <c r="AJ1" s="24" t="s">
        <v>70</v>
      </c>
      <c r="AK1" s="24" t="s">
        <v>91</v>
      </c>
      <c r="AL1" s="24" t="s">
        <v>29</v>
      </c>
      <c r="AM1" s="27" t="s">
        <v>71</v>
      </c>
      <c r="AN1" s="24" t="s">
        <v>72</v>
      </c>
      <c r="AO1" s="29" t="s">
        <v>74</v>
      </c>
      <c r="AP1" s="24" t="s">
        <v>73</v>
      </c>
      <c r="AQ1" s="24" t="s">
        <v>31</v>
      </c>
      <c r="AR1" s="24" t="s">
        <v>45</v>
      </c>
      <c r="AS1" s="33" t="s">
        <v>34</v>
      </c>
      <c r="AT1" s="24" t="s">
        <v>243</v>
      </c>
      <c r="AU1" s="24" t="s">
        <v>244</v>
      </c>
      <c r="AV1" s="24" t="s">
        <v>245</v>
      </c>
    </row>
    <row r="2" spans="1:48">
      <c r="A2" s="25">
        <v>5</v>
      </c>
      <c r="D2" s="23">
        <v>2</v>
      </c>
      <c r="E2" s="25" t="s">
        <v>30</v>
      </c>
      <c r="F2" s="25" t="s">
        <v>30</v>
      </c>
      <c r="G2" s="23" t="s">
        <v>27</v>
      </c>
      <c r="H2" s="23" t="s">
        <v>142</v>
      </c>
      <c r="I2" s="25">
        <v>1947</v>
      </c>
      <c r="J2" s="35">
        <v>30</v>
      </c>
      <c r="K2" s="35">
        <v>40</v>
      </c>
      <c r="L2" s="35">
        <v>20</v>
      </c>
      <c r="M2" s="25">
        <v>8</v>
      </c>
      <c r="N2" s="25">
        <v>12</v>
      </c>
      <c r="R2" s="30">
        <f t="shared" ref="R2:R65" si="0">SUM(M2:Q2)</f>
        <v>20</v>
      </c>
      <c r="S2" s="30">
        <f t="shared" ref="S2:S65" si="1">IF(OR(G2="diesel", G2="petrol"), ((X2+(V2/10))/2)+(R2/14), IF(OR(G2="cng", G2="hybrid"), ((X2+(V2/10))/2*1.2)+(R2/14), IF(OR(G2="hydrogen", G2="electric"), ((X2+(V2/10))/2*1.5)+(R2/14), 0)))</f>
        <v>9.1645714285714295</v>
      </c>
      <c r="T2" s="30">
        <f t="shared" ref="T2:T65" si="2">IF(G2="petrol", ((X2+(Y2/15)+V2)/10*1.5)+(R2/14), IF(G2="diesel", ((X2+(Y2/15)+V2)/10)+(R2/14), IF(OR(G2="cng", G2="hybrid"), ((X2+(Y2/15)+V2)/10*0.8)+(R2/14), IF(OR(G2="hydrogen", G2="electric"), ((X2+(Y2/15)+V2)/10*0.5)+(R2/14), 0))))</f>
        <v>12.767238095238097</v>
      </c>
      <c r="U2" s="25">
        <v>58</v>
      </c>
      <c r="V2" s="31">
        <f t="shared" ref="V2:V65" si="3">W2*1.36</f>
        <v>104.72000000000001</v>
      </c>
      <c r="W2" s="25">
        <v>77</v>
      </c>
      <c r="X2" s="25">
        <v>5</v>
      </c>
      <c r="Y2" s="25">
        <v>55</v>
      </c>
      <c r="Z2" s="31">
        <f t="shared" ref="Z2:Z65" si="4">IF(AQ2="Regional", 185, IF(AQ2="Intercity", 150, IF(AQ2="Tourist", 100, 200)))</f>
        <v>200</v>
      </c>
      <c r="AA2" s="31">
        <f t="shared" ref="AA2:AA65" si="5">IF(AG2&gt;8, AG2-8, AG2)</f>
        <v>1</v>
      </c>
      <c r="AB2" s="31">
        <f t="shared" ref="AB2:AB65" si="6">IF(AG2&gt;8, 8, "")</f>
        <v>8</v>
      </c>
      <c r="AC2" s="31" t="str">
        <f t="shared" ref="AC2:AC65" si="7">IF(AH2&gt;8, AH2-8, IF(AH2=0, "", AH2))</f>
        <v/>
      </c>
      <c r="AD2" s="31" t="str">
        <f t="shared" ref="AD2:AD65" si="8">IF(AH2&gt;8, 8, "")</f>
        <v/>
      </c>
      <c r="AE2" s="31" t="str">
        <f t="shared" ref="AE2:AE65" si="9">IF(AI2&gt;8, AI2-8, IF(AI2=0, "", AI2))</f>
        <v/>
      </c>
      <c r="AF2" s="31" t="str">
        <f t="shared" ref="AF2:AF65" si="10">IF(AI2&gt;8, 8, "")</f>
        <v/>
      </c>
      <c r="AG2" s="25">
        <v>9</v>
      </c>
      <c r="AH2" s="25">
        <v>0</v>
      </c>
      <c r="AI2" s="25">
        <v>0</v>
      </c>
      <c r="AJ2" s="23" t="s">
        <v>110</v>
      </c>
      <c r="AK2" s="23" t="s">
        <v>92</v>
      </c>
      <c r="AL2" s="25" t="s">
        <v>219</v>
      </c>
      <c r="AO2" s="32" t="str">
        <f t="shared" ref="AO2:AO65" si="11">IF(Q2&gt;0, "5 doors", IF(P2&gt;0, "4 doors", IF(O2&gt;0, "3 doors", IF(N2&gt;0, "2 doors", "1 door"))))</f>
        <v>2 doors</v>
      </c>
      <c r="AQ2" s="23" t="s">
        <v>32</v>
      </c>
      <c r="AR2" s="23" t="str">
        <f>IF(E2="CC1", "CC", IF(E2="CC2", "CC", IF(E2="CC3", "CC", "Hungary")))</f>
        <v>CC</v>
      </c>
      <c r="AS2" s="34">
        <f t="shared" ref="AS2:AS65" si="12">(AT2*100)+AU2+(AV2/100)</f>
        <v>300</v>
      </c>
      <c r="AT2" s="23">
        <v>3</v>
      </c>
      <c r="AU2" s="23">
        <v>0</v>
      </c>
      <c r="AV2" s="23">
        <v>0</v>
      </c>
    </row>
    <row r="3" spans="1:48">
      <c r="A3" s="25">
        <v>5</v>
      </c>
      <c r="D3" s="23">
        <v>2</v>
      </c>
      <c r="E3" s="25" t="s">
        <v>85</v>
      </c>
      <c r="F3" s="25" t="s">
        <v>85</v>
      </c>
      <c r="G3" s="23" t="s">
        <v>27</v>
      </c>
      <c r="H3" s="23" t="s">
        <v>142</v>
      </c>
      <c r="I3" s="25">
        <v>1947</v>
      </c>
      <c r="J3" s="35">
        <v>30</v>
      </c>
      <c r="K3" s="35">
        <v>40</v>
      </c>
      <c r="L3" s="35">
        <v>20</v>
      </c>
      <c r="M3" s="25">
        <v>8</v>
      </c>
      <c r="N3" s="25">
        <v>12</v>
      </c>
      <c r="R3" s="30">
        <f t="shared" si="0"/>
        <v>20</v>
      </c>
      <c r="S3" s="30">
        <f t="shared" si="1"/>
        <v>9.1645714285714295</v>
      </c>
      <c r="T3" s="30">
        <f t="shared" si="2"/>
        <v>12.767238095238097</v>
      </c>
      <c r="U3" s="25">
        <v>58</v>
      </c>
      <c r="V3" s="31">
        <f t="shared" si="3"/>
        <v>104.72000000000001</v>
      </c>
      <c r="W3" s="25">
        <v>77</v>
      </c>
      <c r="X3" s="25">
        <v>5</v>
      </c>
      <c r="Y3" s="25">
        <v>55</v>
      </c>
      <c r="Z3" s="31">
        <f t="shared" si="4"/>
        <v>200</v>
      </c>
      <c r="AA3" s="31">
        <f t="shared" si="5"/>
        <v>1</v>
      </c>
      <c r="AB3" s="31">
        <f t="shared" si="6"/>
        <v>8</v>
      </c>
      <c r="AC3" s="31" t="str">
        <f t="shared" si="7"/>
        <v/>
      </c>
      <c r="AD3" s="31" t="str">
        <f t="shared" si="8"/>
        <v/>
      </c>
      <c r="AE3" s="31" t="str">
        <f t="shared" si="9"/>
        <v/>
      </c>
      <c r="AF3" s="31" t="str">
        <f t="shared" si="10"/>
        <v/>
      </c>
      <c r="AG3" s="25">
        <v>9</v>
      </c>
      <c r="AH3" s="25">
        <v>0</v>
      </c>
      <c r="AI3" s="25">
        <v>0</v>
      </c>
      <c r="AJ3" s="23" t="s">
        <v>110</v>
      </c>
      <c r="AK3" s="23" t="s">
        <v>92</v>
      </c>
      <c r="AL3" s="25" t="s">
        <v>219</v>
      </c>
      <c r="AO3" s="32" t="str">
        <f t="shared" si="11"/>
        <v>2 doors</v>
      </c>
      <c r="AQ3" s="23" t="s">
        <v>32</v>
      </c>
      <c r="AR3" s="23" t="str">
        <f t="shared" ref="AR3:AR66" si="13">IF(E3="CC1", "CC", IF(E3="CC2", "CC", IF(E3="CC3", "CC", "Hungary")))</f>
        <v>Hungary</v>
      </c>
      <c r="AS3" s="34">
        <f t="shared" si="12"/>
        <v>300.01</v>
      </c>
      <c r="AT3" s="23">
        <v>3</v>
      </c>
      <c r="AU3" s="23">
        <v>0</v>
      </c>
      <c r="AV3" s="23">
        <v>1</v>
      </c>
    </row>
    <row r="4" spans="1:48">
      <c r="A4" s="25">
        <v>35</v>
      </c>
      <c r="D4" s="23">
        <v>2</v>
      </c>
      <c r="E4" s="25" t="s">
        <v>30</v>
      </c>
      <c r="F4" s="25" t="s">
        <v>30</v>
      </c>
      <c r="G4" s="23" t="s">
        <v>27</v>
      </c>
      <c r="H4" s="23" t="s">
        <v>141</v>
      </c>
      <c r="I4" s="25">
        <v>1948</v>
      </c>
      <c r="J4" s="35">
        <v>30</v>
      </c>
      <c r="K4" s="35">
        <v>40</v>
      </c>
      <c r="L4" s="35">
        <v>20</v>
      </c>
      <c r="M4" s="25">
        <v>8</v>
      </c>
      <c r="N4" s="25">
        <v>8</v>
      </c>
      <c r="R4" s="30">
        <f t="shared" si="0"/>
        <v>16</v>
      </c>
      <c r="S4" s="30">
        <f t="shared" si="1"/>
        <v>6.4068571428571435</v>
      </c>
      <c r="T4" s="30">
        <f t="shared" si="2"/>
        <v>8.3508571428571425</v>
      </c>
      <c r="U4" s="25">
        <v>53</v>
      </c>
      <c r="V4" s="31">
        <f t="shared" si="3"/>
        <v>65.28</v>
      </c>
      <c r="W4" s="25">
        <v>48</v>
      </c>
      <c r="X4" s="25">
        <v>4</v>
      </c>
      <c r="Y4" s="25">
        <v>42</v>
      </c>
      <c r="Z4" s="31">
        <f t="shared" si="4"/>
        <v>200</v>
      </c>
      <c r="AA4" s="31">
        <f t="shared" si="5"/>
        <v>8</v>
      </c>
      <c r="AB4" s="31" t="str">
        <f t="shared" si="6"/>
        <v/>
      </c>
      <c r="AC4" s="31" t="str">
        <f t="shared" si="7"/>
        <v/>
      </c>
      <c r="AD4" s="31" t="str">
        <f t="shared" si="8"/>
        <v/>
      </c>
      <c r="AE4" s="31" t="str">
        <f t="shared" si="9"/>
        <v/>
      </c>
      <c r="AF4" s="31" t="str">
        <f t="shared" si="10"/>
        <v/>
      </c>
      <c r="AG4" s="25">
        <v>8</v>
      </c>
      <c r="AH4" s="25">
        <v>0</v>
      </c>
      <c r="AI4" s="25">
        <v>0</v>
      </c>
      <c r="AJ4" s="23" t="s">
        <v>110</v>
      </c>
      <c r="AK4" s="23" t="s">
        <v>92</v>
      </c>
      <c r="AL4" s="25" t="s">
        <v>220</v>
      </c>
      <c r="AO4" s="32" t="str">
        <f t="shared" si="11"/>
        <v>2 doors</v>
      </c>
      <c r="AQ4" s="23" t="s">
        <v>32</v>
      </c>
      <c r="AR4" s="23" t="str">
        <f t="shared" si="13"/>
        <v>CC</v>
      </c>
      <c r="AS4" s="34">
        <f t="shared" si="12"/>
        <v>320</v>
      </c>
      <c r="AT4" s="23">
        <v>3</v>
      </c>
      <c r="AU4" s="23">
        <v>20</v>
      </c>
      <c r="AV4" s="23">
        <v>0</v>
      </c>
    </row>
    <row r="5" spans="1:48">
      <c r="A5" s="25">
        <v>35</v>
      </c>
      <c r="D5" s="23">
        <v>2</v>
      </c>
      <c r="E5" s="25" t="s">
        <v>85</v>
      </c>
      <c r="F5" s="25" t="s">
        <v>85</v>
      </c>
      <c r="G5" s="23" t="s">
        <v>27</v>
      </c>
      <c r="H5" s="23" t="s">
        <v>141</v>
      </c>
      <c r="I5" s="25">
        <v>1948</v>
      </c>
      <c r="J5" s="35">
        <v>30</v>
      </c>
      <c r="K5" s="35">
        <v>40</v>
      </c>
      <c r="L5" s="35">
        <v>20</v>
      </c>
      <c r="M5" s="25">
        <v>8</v>
      </c>
      <c r="N5" s="25">
        <v>8</v>
      </c>
      <c r="R5" s="30">
        <f t="shared" si="0"/>
        <v>16</v>
      </c>
      <c r="S5" s="30">
        <f t="shared" si="1"/>
        <v>6.4068571428571435</v>
      </c>
      <c r="T5" s="30">
        <f t="shared" si="2"/>
        <v>8.3508571428571425</v>
      </c>
      <c r="U5" s="25">
        <v>53</v>
      </c>
      <c r="V5" s="31">
        <f t="shared" si="3"/>
        <v>65.28</v>
      </c>
      <c r="W5" s="25">
        <v>48</v>
      </c>
      <c r="X5" s="25">
        <v>4</v>
      </c>
      <c r="Y5" s="25">
        <v>42</v>
      </c>
      <c r="Z5" s="31">
        <f t="shared" si="4"/>
        <v>200</v>
      </c>
      <c r="AA5" s="31">
        <f t="shared" si="5"/>
        <v>8</v>
      </c>
      <c r="AB5" s="31" t="str">
        <f t="shared" si="6"/>
        <v/>
      </c>
      <c r="AC5" s="31" t="str">
        <f t="shared" si="7"/>
        <v/>
      </c>
      <c r="AD5" s="31" t="str">
        <f t="shared" si="8"/>
        <v/>
      </c>
      <c r="AE5" s="31" t="str">
        <f t="shared" si="9"/>
        <v/>
      </c>
      <c r="AF5" s="31" t="str">
        <f t="shared" si="10"/>
        <v/>
      </c>
      <c r="AG5" s="25">
        <v>8</v>
      </c>
      <c r="AH5" s="25">
        <v>0</v>
      </c>
      <c r="AI5" s="25">
        <v>0</v>
      </c>
      <c r="AJ5" s="23" t="s">
        <v>110</v>
      </c>
      <c r="AK5" s="23" t="s">
        <v>92</v>
      </c>
      <c r="AL5" s="25" t="s">
        <v>220</v>
      </c>
      <c r="AO5" s="32" t="str">
        <f t="shared" si="11"/>
        <v>2 doors</v>
      </c>
      <c r="AQ5" s="23" t="s">
        <v>32</v>
      </c>
      <c r="AR5" s="23" t="str">
        <f t="shared" si="13"/>
        <v>Hungary</v>
      </c>
      <c r="AS5" s="34">
        <f t="shared" si="12"/>
        <v>320.01</v>
      </c>
      <c r="AT5" s="23">
        <v>3</v>
      </c>
      <c r="AU5" s="23">
        <v>20</v>
      </c>
      <c r="AV5" s="23">
        <v>1</v>
      </c>
    </row>
    <row r="6" spans="1:48">
      <c r="A6" s="25">
        <v>30</v>
      </c>
      <c r="D6" s="23">
        <v>2</v>
      </c>
      <c r="E6" s="25" t="s">
        <v>30</v>
      </c>
      <c r="F6" s="25" t="s">
        <v>30</v>
      </c>
      <c r="G6" s="23" t="s">
        <v>27</v>
      </c>
      <c r="H6" s="23" t="s">
        <v>94</v>
      </c>
      <c r="I6" s="25">
        <v>1951</v>
      </c>
      <c r="J6" s="35">
        <v>30</v>
      </c>
      <c r="K6" s="35">
        <v>40</v>
      </c>
      <c r="L6" s="35">
        <v>20</v>
      </c>
      <c r="M6" s="25">
        <v>5</v>
      </c>
      <c r="N6" s="25">
        <v>5</v>
      </c>
      <c r="R6" s="30">
        <f t="shared" si="0"/>
        <v>10</v>
      </c>
      <c r="S6" s="30">
        <f t="shared" si="1"/>
        <v>6.9302857142857146</v>
      </c>
      <c r="T6" s="30">
        <f t="shared" si="2"/>
        <v>9.8129523809523818</v>
      </c>
      <c r="U6" s="25">
        <v>55</v>
      </c>
      <c r="V6" s="31">
        <f t="shared" si="3"/>
        <v>84.320000000000007</v>
      </c>
      <c r="W6" s="25">
        <v>62</v>
      </c>
      <c r="X6" s="25">
        <v>4</v>
      </c>
      <c r="Y6" s="25">
        <v>40</v>
      </c>
      <c r="Z6" s="31">
        <f t="shared" si="4"/>
        <v>200</v>
      </c>
      <c r="AA6" s="31">
        <f t="shared" si="5"/>
        <v>1</v>
      </c>
      <c r="AB6" s="31">
        <f t="shared" si="6"/>
        <v>8</v>
      </c>
      <c r="AC6" s="31" t="str">
        <f t="shared" si="7"/>
        <v/>
      </c>
      <c r="AD6" s="31" t="str">
        <f t="shared" si="8"/>
        <v/>
      </c>
      <c r="AE6" s="31" t="str">
        <f t="shared" si="9"/>
        <v/>
      </c>
      <c r="AF6" s="31" t="str">
        <f t="shared" si="10"/>
        <v/>
      </c>
      <c r="AG6" s="25">
        <v>9</v>
      </c>
      <c r="AH6" s="25">
        <v>0</v>
      </c>
      <c r="AI6" s="25">
        <v>0</v>
      </c>
      <c r="AJ6" s="23" t="s">
        <v>110</v>
      </c>
      <c r="AK6" s="23" t="s">
        <v>92</v>
      </c>
      <c r="AL6" s="25">
        <v>30</v>
      </c>
      <c r="AO6" s="32" t="str">
        <f t="shared" si="11"/>
        <v>2 doors</v>
      </c>
      <c r="AQ6" s="23" t="s">
        <v>32</v>
      </c>
      <c r="AR6" s="23" t="str">
        <f t="shared" si="13"/>
        <v>CC</v>
      </c>
      <c r="AS6" s="34">
        <f t="shared" si="12"/>
        <v>360</v>
      </c>
      <c r="AT6" s="23">
        <v>3</v>
      </c>
      <c r="AU6" s="23">
        <v>60</v>
      </c>
      <c r="AV6" s="23">
        <v>0</v>
      </c>
    </row>
    <row r="7" spans="1:48">
      <c r="A7" s="25">
        <v>30</v>
      </c>
      <c r="D7" s="23">
        <v>2</v>
      </c>
      <c r="E7" s="25" t="s">
        <v>42</v>
      </c>
      <c r="F7" s="25" t="s">
        <v>42</v>
      </c>
      <c r="G7" s="23" t="s">
        <v>27</v>
      </c>
      <c r="H7" s="23" t="s">
        <v>94</v>
      </c>
      <c r="I7" s="25">
        <v>1951</v>
      </c>
      <c r="J7" s="35">
        <v>30</v>
      </c>
      <c r="K7" s="35">
        <v>40</v>
      </c>
      <c r="L7" s="35">
        <v>20</v>
      </c>
      <c r="M7" s="25">
        <v>5</v>
      </c>
      <c r="N7" s="25">
        <v>5</v>
      </c>
      <c r="R7" s="30">
        <f t="shared" si="0"/>
        <v>10</v>
      </c>
      <c r="S7" s="30">
        <f t="shared" si="1"/>
        <v>6.9302857142857146</v>
      </c>
      <c r="T7" s="30">
        <f t="shared" si="2"/>
        <v>9.8129523809523818</v>
      </c>
      <c r="U7" s="25">
        <v>55</v>
      </c>
      <c r="V7" s="31">
        <f t="shared" si="3"/>
        <v>84.320000000000007</v>
      </c>
      <c r="W7" s="25">
        <v>62</v>
      </c>
      <c r="X7" s="25">
        <v>4</v>
      </c>
      <c r="Y7" s="25">
        <v>40</v>
      </c>
      <c r="Z7" s="31">
        <f t="shared" si="4"/>
        <v>200</v>
      </c>
      <c r="AA7" s="31">
        <f t="shared" si="5"/>
        <v>1</v>
      </c>
      <c r="AB7" s="31">
        <f t="shared" si="6"/>
        <v>8</v>
      </c>
      <c r="AC7" s="31" t="str">
        <f t="shared" si="7"/>
        <v/>
      </c>
      <c r="AD7" s="31" t="str">
        <f t="shared" si="8"/>
        <v/>
      </c>
      <c r="AE7" s="31" t="str">
        <f t="shared" si="9"/>
        <v/>
      </c>
      <c r="AF7" s="31" t="str">
        <f t="shared" si="10"/>
        <v/>
      </c>
      <c r="AG7" s="25">
        <v>9</v>
      </c>
      <c r="AH7" s="25">
        <v>0</v>
      </c>
      <c r="AI7" s="25">
        <v>0</v>
      </c>
      <c r="AJ7" s="23" t="s">
        <v>110</v>
      </c>
      <c r="AK7" s="23" t="s">
        <v>92</v>
      </c>
      <c r="AL7" s="25">
        <v>30</v>
      </c>
      <c r="AO7" s="32" t="str">
        <f t="shared" si="11"/>
        <v>2 doors</v>
      </c>
      <c r="AQ7" s="23" t="s">
        <v>32</v>
      </c>
      <c r="AR7" s="23" t="str">
        <f t="shared" si="13"/>
        <v>CC</v>
      </c>
      <c r="AS7" s="34">
        <f t="shared" si="12"/>
        <v>360.01</v>
      </c>
      <c r="AT7" s="23">
        <v>3</v>
      </c>
      <c r="AU7" s="23">
        <v>60</v>
      </c>
      <c r="AV7" s="23">
        <v>1</v>
      </c>
    </row>
    <row r="8" spans="1:48">
      <c r="A8" s="25">
        <v>30</v>
      </c>
      <c r="D8" s="23">
        <v>2</v>
      </c>
      <c r="E8" s="25" t="s">
        <v>85</v>
      </c>
      <c r="F8" s="25" t="s">
        <v>85</v>
      </c>
      <c r="G8" s="23" t="s">
        <v>27</v>
      </c>
      <c r="H8" s="23" t="s">
        <v>94</v>
      </c>
      <c r="I8" s="25">
        <v>1951</v>
      </c>
      <c r="J8" s="35">
        <v>30</v>
      </c>
      <c r="K8" s="35">
        <v>40</v>
      </c>
      <c r="L8" s="35">
        <v>20</v>
      </c>
      <c r="M8" s="25">
        <v>5</v>
      </c>
      <c r="N8" s="25">
        <v>5</v>
      </c>
      <c r="R8" s="30">
        <f t="shared" si="0"/>
        <v>10</v>
      </c>
      <c r="S8" s="30">
        <f t="shared" si="1"/>
        <v>6.9302857142857146</v>
      </c>
      <c r="T8" s="30">
        <f t="shared" si="2"/>
        <v>9.8129523809523818</v>
      </c>
      <c r="U8" s="25">
        <v>55</v>
      </c>
      <c r="V8" s="31">
        <f t="shared" si="3"/>
        <v>84.320000000000007</v>
      </c>
      <c r="W8" s="25">
        <v>62</v>
      </c>
      <c r="X8" s="25">
        <v>4</v>
      </c>
      <c r="Y8" s="25">
        <v>40</v>
      </c>
      <c r="Z8" s="31">
        <f t="shared" si="4"/>
        <v>200</v>
      </c>
      <c r="AA8" s="31">
        <f t="shared" si="5"/>
        <v>1</v>
      </c>
      <c r="AB8" s="31">
        <f t="shared" si="6"/>
        <v>8</v>
      </c>
      <c r="AC8" s="31" t="str">
        <f t="shared" si="7"/>
        <v/>
      </c>
      <c r="AD8" s="31" t="str">
        <f t="shared" si="8"/>
        <v/>
      </c>
      <c r="AE8" s="31" t="str">
        <f t="shared" si="9"/>
        <v/>
      </c>
      <c r="AF8" s="31" t="str">
        <f t="shared" si="10"/>
        <v/>
      </c>
      <c r="AG8" s="25">
        <v>9</v>
      </c>
      <c r="AH8" s="25">
        <v>0</v>
      </c>
      <c r="AI8" s="25">
        <v>0</v>
      </c>
      <c r="AJ8" s="23" t="s">
        <v>110</v>
      </c>
      <c r="AK8" s="23" t="s">
        <v>92</v>
      </c>
      <c r="AL8" s="25">
        <v>30</v>
      </c>
      <c r="AO8" s="32" t="str">
        <f t="shared" si="11"/>
        <v>2 doors</v>
      </c>
      <c r="AQ8" s="23" t="s">
        <v>32</v>
      </c>
      <c r="AR8" s="23" t="str">
        <f t="shared" si="13"/>
        <v>Hungary</v>
      </c>
      <c r="AS8" s="34">
        <f t="shared" si="12"/>
        <v>360.02</v>
      </c>
      <c r="AT8" s="23">
        <v>3</v>
      </c>
      <c r="AU8" s="23">
        <v>60</v>
      </c>
      <c r="AV8" s="23">
        <v>2</v>
      </c>
    </row>
    <row r="9" spans="1:48">
      <c r="A9" s="25">
        <v>31</v>
      </c>
      <c r="D9" s="23">
        <v>1</v>
      </c>
      <c r="E9" s="25" t="s">
        <v>30</v>
      </c>
      <c r="F9" s="25" t="s">
        <v>30</v>
      </c>
      <c r="G9" s="23" t="s">
        <v>27</v>
      </c>
      <c r="H9" s="23" t="s">
        <v>99</v>
      </c>
      <c r="I9" s="25">
        <v>1959</v>
      </c>
      <c r="J9" s="35">
        <v>30</v>
      </c>
      <c r="K9" s="35">
        <v>40</v>
      </c>
      <c r="L9" s="35">
        <v>20</v>
      </c>
      <c r="M9" s="25">
        <v>5</v>
      </c>
      <c r="R9" s="30">
        <f t="shared" si="0"/>
        <v>5</v>
      </c>
      <c r="S9" s="30">
        <f t="shared" si="1"/>
        <v>7.073142857142857</v>
      </c>
      <c r="T9" s="30">
        <f t="shared" si="2"/>
        <v>9.5024761904761927</v>
      </c>
      <c r="U9" s="25">
        <v>76</v>
      </c>
      <c r="V9" s="31">
        <f t="shared" si="3"/>
        <v>84.320000000000007</v>
      </c>
      <c r="W9" s="25">
        <v>62</v>
      </c>
      <c r="X9" s="25">
        <v>5</v>
      </c>
      <c r="Y9" s="25">
        <v>32</v>
      </c>
      <c r="Z9" s="31">
        <f t="shared" si="4"/>
        <v>150</v>
      </c>
      <c r="AA9" s="31">
        <f t="shared" si="5"/>
        <v>8</v>
      </c>
      <c r="AB9" s="31" t="str">
        <f t="shared" si="6"/>
        <v/>
      </c>
      <c r="AC9" s="31" t="str">
        <f t="shared" si="7"/>
        <v/>
      </c>
      <c r="AD9" s="31" t="str">
        <f t="shared" si="8"/>
        <v/>
      </c>
      <c r="AE9" s="31" t="str">
        <f t="shared" si="9"/>
        <v/>
      </c>
      <c r="AF9" s="31" t="str">
        <f t="shared" si="10"/>
        <v/>
      </c>
      <c r="AG9" s="25">
        <v>8</v>
      </c>
      <c r="AH9" s="25">
        <v>0</v>
      </c>
      <c r="AI9" s="25">
        <v>0</v>
      </c>
      <c r="AJ9" s="23" t="s">
        <v>110</v>
      </c>
      <c r="AK9" s="23" t="s">
        <v>92</v>
      </c>
      <c r="AL9" s="25">
        <v>31</v>
      </c>
      <c r="AO9" s="32" t="str">
        <f t="shared" si="11"/>
        <v>1 door</v>
      </c>
      <c r="AQ9" s="23" t="s">
        <v>47</v>
      </c>
      <c r="AR9" s="23" t="str">
        <f t="shared" si="13"/>
        <v>CC</v>
      </c>
      <c r="AS9" s="34">
        <f t="shared" si="12"/>
        <v>370</v>
      </c>
      <c r="AT9" s="23">
        <v>3</v>
      </c>
      <c r="AU9" s="23">
        <v>70</v>
      </c>
      <c r="AV9" s="23">
        <v>0</v>
      </c>
    </row>
    <row r="10" spans="1:48">
      <c r="A10" s="25">
        <v>31</v>
      </c>
      <c r="D10" s="23">
        <v>1</v>
      </c>
      <c r="E10" s="25" t="s">
        <v>95</v>
      </c>
      <c r="F10" s="25" t="s">
        <v>95</v>
      </c>
      <c r="G10" s="23" t="s">
        <v>27</v>
      </c>
      <c r="H10" s="23" t="s">
        <v>99</v>
      </c>
      <c r="I10" s="25">
        <v>1959</v>
      </c>
      <c r="J10" s="35">
        <v>30</v>
      </c>
      <c r="K10" s="35">
        <v>40</v>
      </c>
      <c r="L10" s="35">
        <v>20</v>
      </c>
      <c r="M10" s="25">
        <v>5</v>
      </c>
      <c r="R10" s="30">
        <f t="shared" si="0"/>
        <v>5</v>
      </c>
      <c r="S10" s="30">
        <f t="shared" si="1"/>
        <v>7.073142857142857</v>
      </c>
      <c r="T10" s="30">
        <f t="shared" si="2"/>
        <v>9.5024761904761927</v>
      </c>
      <c r="U10" s="25">
        <v>76</v>
      </c>
      <c r="V10" s="31">
        <f t="shared" si="3"/>
        <v>84.320000000000007</v>
      </c>
      <c r="W10" s="25">
        <v>62</v>
      </c>
      <c r="X10" s="25">
        <v>5</v>
      </c>
      <c r="Y10" s="25">
        <v>32</v>
      </c>
      <c r="Z10" s="31">
        <f t="shared" si="4"/>
        <v>150</v>
      </c>
      <c r="AA10" s="31">
        <f t="shared" si="5"/>
        <v>8</v>
      </c>
      <c r="AB10" s="31" t="str">
        <f t="shared" si="6"/>
        <v/>
      </c>
      <c r="AC10" s="31" t="str">
        <f t="shared" si="7"/>
        <v/>
      </c>
      <c r="AD10" s="31" t="str">
        <f t="shared" si="8"/>
        <v/>
      </c>
      <c r="AE10" s="31" t="str">
        <f t="shared" si="9"/>
        <v/>
      </c>
      <c r="AF10" s="31" t="str">
        <f t="shared" si="10"/>
        <v/>
      </c>
      <c r="AG10" s="25">
        <v>8</v>
      </c>
      <c r="AH10" s="25">
        <v>0</v>
      </c>
      <c r="AI10" s="25">
        <v>0</v>
      </c>
      <c r="AJ10" s="23" t="s">
        <v>110</v>
      </c>
      <c r="AK10" s="23" t="s">
        <v>92</v>
      </c>
      <c r="AL10" s="25">
        <v>31</v>
      </c>
      <c r="AO10" s="32" t="str">
        <f t="shared" si="11"/>
        <v>1 door</v>
      </c>
      <c r="AQ10" s="23" t="s">
        <v>47</v>
      </c>
      <c r="AR10" s="23" t="str">
        <f t="shared" si="13"/>
        <v>Hungary</v>
      </c>
      <c r="AS10" s="34">
        <f t="shared" si="12"/>
        <v>370.01</v>
      </c>
      <c r="AT10" s="23">
        <v>3</v>
      </c>
      <c r="AU10" s="23">
        <v>70</v>
      </c>
      <c r="AV10" s="23">
        <v>1</v>
      </c>
    </row>
    <row r="11" spans="1:48">
      <c r="A11" s="25">
        <v>60</v>
      </c>
      <c r="D11" s="23">
        <v>2</v>
      </c>
      <c r="E11" s="25" t="s">
        <v>30</v>
      </c>
      <c r="F11" s="25" t="s">
        <v>30</v>
      </c>
      <c r="G11" s="23" t="s">
        <v>27</v>
      </c>
      <c r="H11" s="23" t="s">
        <v>106</v>
      </c>
      <c r="I11" s="25">
        <v>1952</v>
      </c>
      <c r="J11" s="35">
        <v>30</v>
      </c>
      <c r="K11" s="35">
        <v>40</v>
      </c>
      <c r="L11" s="35">
        <v>20</v>
      </c>
      <c r="M11" s="25">
        <v>8</v>
      </c>
      <c r="N11" s="25">
        <v>10</v>
      </c>
      <c r="R11" s="30">
        <f t="shared" si="0"/>
        <v>18</v>
      </c>
      <c r="S11" s="30">
        <f t="shared" si="1"/>
        <v>10.973714285714287</v>
      </c>
      <c r="T11" s="30">
        <f t="shared" si="2"/>
        <v>14.761714285714286</v>
      </c>
      <c r="U11" s="25">
        <v>58</v>
      </c>
      <c r="V11" s="31">
        <f t="shared" si="3"/>
        <v>123.76</v>
      </c>
      <c r="W11" s="25">
        <v>91</v>
      </c>
      <c r="X11" s="25">
        <v>7</v>
      </c>
      <c r="Y11" s="25">
        <v>60</v>
      </c>
      <c r="Z11" s="31">
        <f t="shared" si="4"/>
        <v>200</v>
      </c>
      <c r="AA11" s="31">
        <f t="shared" si="5"/>
        <v>2</v>
      </c>
      <c r="AB11" s="31">
        <f t="shared" si="6"/>
        <v>8</v>
      </c>
      <c r="AC11" s="31" t="str">
        <f t="shared" si="7"/>
        <v/>
      </c>
      <c r="AD11" s="31" t="str">
        <f t="shared" si="8"/>
        <v/>
      </c>
      <c r="AE11" s="31" t="str">
        <f t="shared" si="9"/>
        <v/>
      </c>
      <c r="AF11" s="31" t="str">
        <f t="shared" si="10"/>
        <v/>
      </c>
      <c r="AG11" s="25">
        <v>10</v>
      </c>
      <c r="AH11" s="25">
        <v>0</v>
      </c>
      <c r="AI11" s="25">
        <v>0</v>
      </c>
      <c r="AJ11" s="23" t="s">
        <v>110</v>
      </c>
      <c r="AK11" s="23" t="s">
        <v>92</v>
      </c>
      <c r="AL11" s="25">
        <v>60</v>
      </c>
      <c r="AO11" s="32" t="str">
        <f t="shared" si="11"/>
        <v>2 doors</v>
      </c>
      <c r="AQ11" s="23" t="s">
        <v>32</v>
      </c>
      <c r="AR11" s="23" t="str">
        <f t="shared" si="13"/>
        <v>CC</v>
      </c>
      <c r="AS11" s="34">
        <f t="shared" si="12"/>
        <v>400</v>
      </c>
      <c r="AT11" s="23">
        <v>4</v>
      </c>
      <c r="AU11" s="23">
        <v>0</v>
      </c>
      <c r="AV11" s="23">
        <v>0</v>
      </c>
    </row>
    <row r="12" spans="1:48">
      <c r="A12" s="25">
        <v>60</v>
      </c>
      <c r="D12" s="23">
        <v>2</v>
      </c>
      <c r="E12" s="25" t="s">
        <v>42</v>
      </c>
      <c r="F12" s="25" t="s">
        <v>42</v>
      </c>
      <c r="G12" s="23" t="s">
        <v>27</v>
      </c>
      <c r="H12" s="23" t="s">
        <v>106</v>
      </c>
      <c r="I12" s="25">
        <v>1952</v>
      </c>
      <c r="J12" s="35">
        <v>30</v>
      </c>
      <c r="K12" s="35">
        <v>40</v>
      </c>
      <c r="L12" s="35">
        <v>20</v>
      </c>
      <c r="M12" s="25">
        <v>8</v>
      </c>
      <c r="N12" s="25">
        <v>10</v>
      </c>
      <c r="R12" s="30">
        <f t="shared" si="0"/>
        <v>18</v>
      </c>
      <c r="S12" s="30">
        <f t="shared" si="1"/>
        <v>10.973714285714287</v>
      </c>
      <c r="T12" s="30">
        <f t="shared" si="2"/>
        <v>14.761714285714286</v>
      </c>
      <c r="U12" s="25">
        <v>58</v>
      </c>
      <c r="V12" s="31">
        <f t="shared" si="3"/>
        <v>123.76</v>
      </c>
      <c r="W12" s="25">
        <v>91</v>
      </c>
      <c r="X12" s="25">
        <v>7</v>
      </c>
      <c r="Y12" s="25">
        <v>60</v>
      </c>
      <c r="Z12" s="31">
        <f t="shared" si="4"/>
        <v>200</v>
      </c>
      <c r="AA12" s="31">
        <f t="shared" si="5"/>
        <v>2</v>
      </c>
      <c r="AB12" s="31">
        <f t="shared" si="6"/>
        <v>8</v>
      </c>
      <c r="AC12" s="31" t="str">
        <f t="shared" si="7"/>
        <v/>
      </c>
      <c r="AD12" s="31" t="str">
        <f t="shared" si="8"/>
        <v/>
      </c>
      <c r="AE12" s="31" t="str">
        <f t="shared" si="9"/>
        <v/>
      </c>
      <c r="AF12" s="31" t="str">
        <f t="shared" si="10"/>
        <v/>
      </c>
      <c r="AG12" s="25">
        <v>10</v>
      </c>
      <c r="AH12" s="25">
        <v>0</v>
      </c>
      <c r="AI12" s="25">
        <v>0</v>
      </c>
      <c r="AJ12" s="23" t="s">
        <v>110</v>
      </c>
      <c r="AK12" s="23" t="s">
        <v>92</v>
      </c>
      <c r="AL12" s="25">
        <v>60</v>
      </c>
      <c r="AO12" s="32" t="str">
        <f t="shared" si="11"/>
        <v>2 doors</v>
      </c>
      <c r="AQ12" s="23" t="s">
        <v>32</v>
      </c>
      <c r="AR12" s="23" t="str">
        <f t="shared" si="13"/>
        <v>CC</v>
      </c>
      <c r="AS12" s="34">
        <f t="shared" si="12"/>
        <v>400.01</v>
      </c>
      <c r="AT12" s="23">
        <v>4</v>
      </c>
      <c r="AU12" s="23">
        <v>0</v>
      </c>
      <c r="AV12" s="23">
        <v>1</v>
      </c>
    </row>
    <row r="13" spans="1:48">
      <c r="A13" s="25">
        <v>60</v>
      </c>
      <c r="D13" s="23">
        <v>2</v>
      </c>
      <c r="E13" s="25" t="s">
        <v>96</v>
      </c>
      <c r="F13" s="25" t="s">
        <v>85</v>
      </c>
      <c r="G13" s="23" t="s">
        <v>27</v>
      </c>
      <c r="H13" s="23" t="s">
        <v>106</v>
      </c>
      <c r="I13" s="25">
        <v>1952</v>
      </c>
      <c r="J13" s="35">
        <v>30</v>
      </c>
      <c r="K13" s="35">
        <v>40</v>
      </c>
      <c r="L13" s="35">
        <v>20</v>
      </c>
      <c r="M13" s="25">
        <v>8</v>
      </c>
      <c r="N13" s="25">
        <v>10</v>
      </c>
      <c r="R13" s="30">
        <f t="shared" si="0"/>
        <v>18</v>
      </c>
      <c r="S13" s="30">
        <f t="shared" si="1"/>
        <v>10.973714285714287</v>
      </c>
      <c r="T13" s="30">
        <f t="shared" si="2"/>
        <v>14.761714285714286</v>
      </c>
      <c r="U13" s="25">
        <v>58</v>
      </c>
      <c r="V13" s="31">
        <f t="shared" si="3"/>
        <v>123.76</v>
      </c>
      <c r="W13" s="25">
        <v>91</v>
      </c>
      <c r="X13" s="25">
        <v>7</v>
      </c>
      <c r="Y13" s="25">
        <v>60</v>
      </c>
      <c r="Z13" s="31">
        <f t="shared" si="4"/>
        <v>200</v>
      </c>
      <c r="AA13" s="31">
        <f t="shared" si="5"/>
        <v>2</v>
      </c>
      <c r="AB13" s="31">
        <f t="shared" si="6"/>
        <v>8</v>
      </c>
      <c r="AC13" s="31" t="str">
        <f t="shared" si="7"/>
        <v/>
      </c>
      <c r="AD13" s="31" t="str">
        <f t="shared" si="8"/>
        <v/>
      </c>
      <c r="AE13" s="31" t="str">
        <f t="shared" si="9"/>
        <v/>
      </c>
      <c r="AF13" s="31" t="str">
        <f t="shared" si="10"/>
        <v/>
      </c>
      <c r="AG13" s="25">
        <v>10</v>
      </c>
      <c r="AH13" s="25">
        <v>0</v>
      </c>
      <c r="AI13" s="25">
        <v>0</v>
      </c>
      <c r="AJ13" s="23" t="s">
        <v>110</v>
      </c>
      <c r="AK13" s="23" t="s">
        <v>92</v>
      </c>
      <c r="AL13" s="25">
        <v>60</v>
      </c>
      <c r="AO13" s="32" t="str">
        <f t="shared" si="11"/>
        <v>2 doors</v>
      </c>
      <c r="AQ13" s="23" t="s">
        <v>32</v>
      </c>
      <c r="AR13" s="23" t="str">
        <f t="shared" si="13"/>
        <v>Hungary</v>
      </c>
      <c r="AS13" s="34">
        <f t="shared" si="12"/>
        <v>400.02</v>
      </c>
      <c r="AT13" s="23">
        <v>4</v>
      </c>
      <c r="AU13" s="23">
        <v>0</v>
      </c>
      <c r="AV13" s="23">
        <v>2</v>
      </c>
    </row>
    <row r="14" spans="1:48">
      <c r="A14" s="25">
        <v>60</v>
      </c>
      <c r="D14" s="23">
        <v>2</v>
      </c>
      <c r="E14" s="25" t="s">
        <v>97</v>
      </c>
      <c r="F14" s="25" t="s">
        <v>85</v>
      </c>
      <c r="G14" s="23" t="s">
        <v>27</v>
      </c>
      <c r="H14" s="23" t="s">
        <v>106</v>
      </c>
      <c r="I14" s="25">
        <v>1952</v>
      </c>
      <c r="J14" s="35">
        <v>30</v>
      </c>
      <c r="K14" s="35">
        <v>40</v>
      </c>
      <c r="L14" s="35">
        <v>20</v>
      </c>
      <c r="M14" s="25">
        <v>8</v>
      </c>
      <c r="N14" s="25">
        <v>10</v>
      </c>
      <c r="R14" s="30">
        <f t="shared" si="0"/>
        <v>18</v>
      </c>
      <c r="S14" s="30">
        <f t="shared" si="1"/>
        <v>10.973714285714287</v>
      </c>
      <c r="T14" s="30">
        <f t="shared" si="2"/>
        <v>14.761714285714286</v>
      </c>
      <c r="U14" s="25">
        <v>58</v>
      </c>
      <c r="V14" s="31">
        <f t="shared" si="3"/>
        <v>123.76</v>
      </c>
      <c r="W14" s="25">
        <v>91</v>
      </c>
      <c r="X14" s="25">
        <v>7</v>
      </c>
      <c r="Y14" s="25">
        <v>60</v>
      </c>
      <c r="Z14" s="31">
        <f t="shared" si="4"/>
        <v>200</v>
      </c>
      <c r="AA14" s="31">
        <f t="shared" si="5"/>
        <v>2</v>
      </c>
      <c r="AB14" s="31">
        <f t="shared" si="6"/>
        <v>8</v>
      </c>
      <c r="AC14" s="31" t="str">
        <f t="shared" si="7"/>
        <v/>
      </c>
      <c r="AD14" s="31" t="str">
        <f t="shared" si="8"/>
        <v/>
      </c>
      <c r="AE14" s="31" t="str">
        <f t="shared" si="9"/>
        <v/>
      </c>
      <c r="AF14" s="31" t="str">
        <f t="shared" si="10"/>
        <v/>
      </c>
      <c r="AG14" s="25">
        <v>10</v>
      </c>
      <c r="AH14" s="25">
        <v>0</v>
      </c>
      <c r="AI14" s="25">
        <v>0</v>
      </c>
      <c r="AJ14" s="23" t="s">
        <v>110</v>
      </c>
      <c r="AK14" s="23" t="s">
        <v>92</v>
      </c>
      <c r="AL14" s="25">
        <v>60</v>
      </c>
      <c r="AO14" s="32" t="str">
        <f t="shared" si="11"/>
        <v>2 doors</v>
      </c>
      <c r="AQ14" s="23" t="s">
        <v>32</v>
      </c>
      <c r="AR14" s="23" t="str">
        <f t="shared" si="13"/>
        <v>Hungary</v>
      </c>
      <c r="AS14" s="34">
        <f t="shared" si="12"/>
        <v>400.03</v>
      </c>
      <c r="AT14" s="23">
        <v>4</v>
      </c>
      <c r="AU14" s="23">
        <v>0</v>
      </c>
      <c r="AV14" s="23">
        <v>3</v>
      </c>
    </row>
    <row r="15" spans="1:48">
      <c r="A15" s="25" t="s">
        <v>109</v>
      </c>
      <c r="B15" s="23" t="s">
        <v>121</v>
      </c>
      <c r="D15" s="23">
        <v>3</v>
      </c>
      <c r="E15" s="25" t="s">
        <v>30</v>
      </c>
      <c r="F15" s="25" t="s">
        <v>30</v>
      </c>
      <c r="G15" s="23" t="s">
        <v>27</v>
      </c>
      <c r="H15" s="23" t="s">
        <v>98</v>
      </c>
      <c r="I15" s="25">
        <v>1955</v>
      </c>
      <c r="J15" s="35">
        <v>30</v>
      </c>
      <c r="K15" s="35">
        <v>40</v>
      </c>
      <c r="L15" s="35">
        <v>20</v>
      </c>
      <c r="M15" s="25">
        <v>8</v>
      </c>
      <c r="N15" s="25">
        <v>10</v>
      </c>
      <c r="O15" s="25">
        <v>8</v>
      </c>
      <c r="R15" s="30">
        <f t="shared" si="0"/>
        <v>26</v>
      </c>
      <c r="S15" s="30">
        <f t="shared" si="1"/>
        <v>13.545142857142858</v>
      </c>
      <c r="T15" s="30">
        <f t="shared" si="2"/>
        <v>16.033142857142856</v>
      </c>
      <c r="U15" s="25">
        <v>52</v>
      </c>
      <c r="V15" s="31">
        <f t="shared" si="3"/>
        <v>123.76</v>
      </c>
      <c r="W15" s="25">
        <v>91</v>
      </c>
      <c r="X15" s="25">
        <v>11</v>
      </c>
      <c r="Y15" s="25">
        <v>105</v>
      </c>
      <c r="Z15" s="31">
        <f t="shared" si="4"/>
        <v>200</v>
      </c>
      <c r="AA15" s="31">
        <f t="shared" si="5"/>
        <v>2</v>
      </c>
      <c r="AB15" s="31">
        <f t="shared" si="6"/>
        <v>8</v>
      </c>
      <c r="AC15" s="31">
        <f t="shared" si="7"/>
        <v>7</v>
      </c>
      <c r="AD15" s="31" t="str">
        <f t="shared" si="8"/>
        <v/>
      </c>
      <c r="AE15" s="31" t="str">
        <f t="shared" si="9"/>
        <v/>
      </c>
      <c r="AF15" s="31" t="str">
        <f t="shared" si="10"/>
        <v/>
      </c>
      <c r="AG15" s="25">
        <v>10</v>
      </c>
      <c r="AH15" s="25">
        <v>7</v>
      </c>
      <c r="AI15" s="25">
        <v>0</v>
      </c>
      <c r="AJ15" s="23" t="s">
        <v>110</v>
      </c>
      <c r="AK15" s="23" t="s">
        <v>92</v>
      </c>
      <c r="AL15" s="25">
        <v>60</v>
      </c>
      <c r="AM15" s="28" t="s">
        <v>205</v>
      </c>
      <c r="AO15" s="32" t="str">
        <f t="shared" si="11"/>
        <v>3 doors</v>
      </c>
      <c r="AQ15" s="23" t="s">
        <v>32</v>
      </c>
      <c r="AR15" s="23" t="str">
        <f t="shared" si="13"/>
        <v>CC</v>
      </c>
      <c r="AS15" s="34">
        <f t="shared" si="12"/>
        <v>410</v>
      </c>
      <c r="AT15" s="23">
        <v>4</v>
      </c>
      <c r="AU15" s="23">
        <v>10</v>
      </c>
      <c r="AV15" s="23">
        <v>0</v>
      </c>
    </row>
    <row r="16" spans="1:48">
      <c r="A16" s="25" t="s">
        <v>109</v>
      </c>
      <c r="B16" s="23" t="s">
        <v>121</v>
      </c>
      <c r="D16" s="23">
        <v>3</v>
      </c>
      <c r="E16" s="25" t="s">
        <v>42</v>
      </c>
      <c r="F16" s="25" t="s">
        <v>42</v>
      </c>
      <c r="G16" s="23" t="s">
        <v>27</v>
      </c>
      <c r="H16" s="23" t="s">
        <v>98</v>
      </c>
      <c r="I16" s="25">
        <v>1955</v>
      </c>
      <c r="J16" s="35">
        <v>30</v>
      </c>
      <c r="K16" s="35">
        <v>40</v>
      </c>
      <c r="L16" s="35">
        <v>20</v>
      </c>
      <c r="M16" s="25">
        <v>8</v>
      </c>
      <c r="N16" s="25">
        <v>10</v>
      </c>
      <c r="O16" s="25">
        <v>8</v>
      </c>
      <c r="R16" s="30">
        <f t="shared" si="0"/>
        <v>26</v>
      </c>
      <c r="S16" s="30">
        <f t="shared" si="1"/>
        <v>13.545142857142858</v>
      </c>
      <c r="T16" s="30">
        <f t="shared" si="2"/>
        <v>16.033142857142856</v>
      </c>
      <c r="U16" s="25">
        <v>52</v>
      </c>
      <c r="V16" s="31">
        <f t="shared" si="3"/>
        <v>123.76</v>
      </c>
      <c r="W16" s="25">
        <v>91</v>
      </c>
      <c r="X16" s="25">
        <v>11</v>
      </c>
      <c r="Y16" s="25">
        <v>105</v>
      </c>
      <c r="Z16" s="31">
        <f t="shared" si="4"/>
        <v>200</v>
      </c>
      <c r="AA16" s="31">
        <f t="shared" si="5"/>
        <v>2</v>
      </c>
      <c r="AB16" s="31">
        <f t="shared" si="6"/>
        <v>8</v>
      </c>
      <c r="AC16" s="31">
        <f t="shared" si="7"/>
        <v>7</v>
      </c>
      <c r="AD16" s="31" t="str">
        <f t="shared" si="8"/>
        <v/>
      </c>
      <c r="AE16" s="31" t="str">
        <f t="shared" si="9"/>
        <v/>
      </c>
      <c r="AF16" s="31" t="str">
        <f t="shared" si="10"/>
        <v/>
      </c>
      <c r="AG16" s="25">
        <v>10</v>
      </c>
      <c r="AH16" s="25">
        <v>7</v>
      </c>
      <c r="AI16" s="25">
        <v>0</v>
      </c>
      <c r="AJ16" s="23" t="s">
        <v>110</v>
      </c>
      <c r="AK16" s="23" t="s">
        <v>92</v>
      </c>
      <c r="AL16" s="25">
        <v>60</v>
      </c>
      <c r="AM16" s="28" t="s">
        <v>205</v>
      </c>
      <c r="AO16" s="32" t="str">
        <f t="shared" si="11"/>
        <v>3 doors</v>
      </c>
      <c r="AQ16" s="23" t="s">
        <v>32</v>
      </c>
      <c r="AR16" s="23" t="str">
        <f t="shared" si="13"/>
        <v>CC</v>
      </c>
      <c r="AS16" s="34">
        <f t="shared" si="12"/>
        <v>410.01</v>
      </c>
      <c r="AT16" s="23">
        <v>4</v>
      </c>
      <c r="AU16" s="23">
        <v>10</v>
      </c>
      <c r="AV16" s="23">
        <v>1</v>
      </c>
    </row>
    <row r="17" spans="1:48">
      <c r="A17" s="25" t="s">
        <v>109</v>
      </c>
      <c r="B17" s="23" t="s">
        <v>121</v>
      </c>
      <c r="D17" s="23">
        <v>3</v>
      </c>
      <c r="E17" s="25" t="s">
        <v>96</v>
      </c>
      <c r="F17" s="25" t="s">
        <v>85</v>
      </c>
      <c r="G17" s="23" t="s">
        <v>27</v>
      </c>
      <c r="H17" s="23" t="s">
        <v>98</v>
      </c>
      <c r="I17" s="25">
        <v>1955</v>
      </c>
      <c r="J17" s="35">
        <v>30</v>
      </c>
      <c r="K17" s="35">
        <v>40</v>
      </c>
      <c r="L17" s="35">
        <v>20</v>
      </c>
      <c r="M17" s="25">
        <v>8</v>
      </c>
      <c r="N17" s="25">
        <v>10</v>
      </c>
      <c r="O17" s="25">
        <v>8</v>
      </c>
      <c r="R17" s="30">
        <f t="shared" si="0"/>
        <v>26</v>
      </c>
      <c r="S17" s="30">
        <f t="shared" si="1"/>
        <v>13.545142857142858</v>
      </c>
      <c r="T17" s="30">
        <f t="shared" si="2"/>
        <v>16.033142857142856</v>
      </c>
      <c r="U17" s="25">
        <v>52</v>
      </c>
      <c r="V17" s="31">
        <f t="shared" si="3"/>
        <v>123.76</v>
      </c>
      <c r="W17" s="25">
        <v>91</v>
      </c>
      <c r="X17" s="25">
        <v>11</v>
      </c>
      <c r="Y17" s="25">
        <v>105</v>
      </c>
      <c r="Z17" s="31">
        <f t="shared" si="4"/>
        <v>200</v>
      </c>
      <c r="AA17" s="31">
        <f t="shared" si="5"/>
        <v>2</v>
      </c>
      <c r="AB17" s="31">
        <f t="shared" si="6"/>
        <v>8</v>
      </c>
      <c r="AC17" s="31">
        <f t="shared" si="7"/>
        <v>7</v>
      </c>
      <c r="AD17" s="31" t="str">
        <f t="shared" si="8"/>
        <v/>
      </c>
      <c r="AE17" s="31" t="str">
        <f t="shared" si="9"/>
        <v/>
      </c>
      <c r="AF17" s="31" t="str">
        <f t="shared" si="10"/>
        <v/>
      </c>
      <c r="AG17" s="25">
        <v>10</v>
      </c>
      <c r="AH17" s="25">
        <v>7</v>
      </c>
      <c r="AI17" s="25">
        <v>0</v>
      </c>
      <c r="AJ17" s="23" t="s">
        <v>110</v>
      </c>
      <c r="AK17" s="23" t="s">
        <v>92</v>
      </c>
      <c r="AL17" s="25">
        <v>60</v>
      </c>
      <c r="AM17" s="28" t="s">
        <v>205</v>
      </c>
      <c r="AO17" s="32" t="str">
        <f t="shared" si="11"/>
        <v>3 doors</v>
      </c>
      <c r="AQ17" s="23" t="s">
        <v>32</v>
      </c>
      <c r="AR17" s="23" t="str">
        <f t="shared" si="13"/>
        <v>Hungary</v>
      </c>
      <c r="AS17" s="34">
        <f t="shared" si="12"/>
        <v>410.02</v>
      </c>
      <c r="AT17" s="23">
        <v>4</v>
      </c>
      <c r="AU17" s="23">
        <v>10</v>
      </c>
      <c r="AV17" s="23">
        <v>2</v>
      </c>
    </row>
    <row r="18" spans="1:48">
      <c r="A18" s="25" t="s">
        <v>109</v>
      </c>
      <c r="B18" s="23" t="s">
        <v>121</v>
      </c>
      <c r="D18" s="23">
        <v>3</v>
      </c>
      <c r="E18" s="25" t="s">
        <v>97</v>
      </c>
      <c r="F18" s="25" t="s">
        <v>85</v>
      </c>
      <c r="G18" s="23" t="s">
        <v>27</v>
      </c>
      <c r="H18" s="23" t="s">
        <v>98</v>
      </c>
      <c r="I18" s="25">
        <v>1955</v>
      </c>
      <c r="J18" s="35">
        <v>30</v>
      </c>
      <c r="K18" s="35">
        <v>40</v>
      </c>
      <c r="L18" s="35">
        <v>20</v>
      </c>
      <c r="M18" s="25">
        <v>8</v>
      </c>
      <c r="N18" s="25">
        <v>10</v>
      </c>
      <c r="O18" s="25">
        <v>8</v>
      </c>
      <c r="R18" s="30">
        <f t="shared" si="0"/>
        <v>26</v>
      </c>
      <c r="S18" s="30">
        <f t="shared" si="1"/>
        <v>13.545142857142858</v>
      </c>
      <c r="T18" s="30">
        <f t="shared" si="2"/>
        <v>16.033142857142856</v>
      </c>
      <c r="U18" s="25">
        <v>52</v>
      </c>
      <c r="V18" s="31">
        <f t="shared" si="3"/>
        <v>123.76</v>
      </c>
      <c r="W18" s="25">
        <v>91</v>
      </c>
      <c r="X18" s="25">
        <v>11</v>
      </c>
      <c r="Y18" s="25">
        <v>105</v>
      </c>
      <c r="Z18" s="31">
        <f t="shared" si="4"/>
        <v>200</v>
      </c>
      <c r="AA18" s="31">
        <f t="shared" si="5"/>
        <v>2</v>
      </c>
      <c r="AB18" s="31">
        <f t="shared" si="6"/>
        <v>8</v>
      </c>
      <c r="AC18" s="31">
        <f t="shared" si="7"/>
        <v>7</v>
      </c>
      <c r="AD18" s="31" t="str">
        <f t="shared" si="8"/>
        <v/>
      </c>
      <c r="AE18" s="31" t="str">
        <f t="shared" si="9"/>
        <v/>
      </c>
      <c r="AF18" s="31" t="str">
        <f t="shared" si="10"/>
        <v/>
      </c>
      <c r="AG18" s="25">
        <v>10</v>
      </c>
      <c r="AH18" s="25">
        <v>7</v>
      </c>
      <c r="AI18" s="25">
        <v>0</v>
      </c>
      <c r="AJ18" s="23" t="s">
        <v>110</v>
      </c>
      <c r="AK18" s="23" t="s">
        <v>92</v>
      </c>
      <c r="AL18" s="25">
        <v>60</v>
      </c>
      <c r="AM18" s="28" t="s">
        <v>205</v>
      </c>
      <c r="AO18" s="32" t="str">
        <f t="shared" si="11"/>
        <v>3 doors</v>
      </c>
      <c r="AQ18" s="23" t="s">
        <v>32</v>
      </c>
      <c r="AR18" s="23" t="str">
        <f t="shared" si="13"/>
        <v>Hungary</v>
      </c>
      <c r="AS18" s="34">
        <f t="shared" si="12"/>
        <v>410.03</v>
      </c>
      <c r="AT18" s="23">
        <v>4</v>
      </c>
      <c r="AU18" s="23">
        <v>10</v>
      </c>
      <c r="AV18" s="23">
        <v>3</v>
      </c>
    </row>
    <row r="19" spans="1:48">
      <c r="A19" s="25">
        <v>601</v>
      </c>
      <c r="D19" s="23">
        <v>1</v>
      </c>
      <c r="E19" s="25" t="s">
        <v>30</v>
      </c>
      <c r="F19" s="25" t="s">
        <v>30</v>
      </c>
      <c r="G19" s="23" t="s">
        <v>27</v>
      </c>
      <c r="H19" s="23" t="s">
        <v>104</v>
      </c>
      <c r="I19" s="25">
        <v>1952</v>
      </c>
      <c r="J19" s="35">
        <v>30</v>
      </c>
      <c r="K19" s="35">
        <v>40</v>
      </c>
      <c r="L19" s="35">
        <v>20</v>
      </c>
      <c r="M19" s="25">
        <v>5</v>
      </c>
      <c r="R19" s="30">
        <f t="shared" si="0"/>
        <v>5</v>
      </c>
      <c r="S19" s="30">
        <f t="shared" si="1"/>
        <v>10.045142857142858</v>
      </c>
      <c r="T19" s="30">
        <f t="shared" si="2"/>
        <v>13.686476190476192</v>
      </c>
      <c r="U19" s="25">
        <v>76</v>
      </c>
      <c r="V19" s="31">
        <f t="shared" si="3"/>
        <v>123.76</v>
      </c>
      <c r="W19" s="25">
        <v>91</v>
      </c>
      <c r="X19" s="25">
        <v>7</v>
      </c>
      <c r="Y19" s="25">
        <v>38</v>
      </c>
      <c r="Z19" s="31">
        <f t="shared" si="4"/>
        <v>185</v>
      </c>
      <c r="AA19" s="31">
        <f t="shared" si="5"/>
        <v>2</v>
      </c>
      <c r="AB19" s="31">
        <f t="shared" si="6"/>
        <v>8</v>
      </c>
      <c r="AC19" s="31" t="str">
        <f t="shared" si="7"/>
        <v/>
      </c>
      <c r="AD19" s="31" t="str">
        <f t="shared" si="8"/>
        <v/>
      </c>
      <c r="AE19" s="31" t="str">
        <f t="shared" si="9"/>
        <v/>
      </c>
      <c r="AF19" s="31" t="str">
        <f t="shared" si="10"/>
        <v/>
      </c>
      <c r="AG19" s="25">
        <v>10</v>
      </c>
      <c r="AH19" s="25">
        <v>0</v>
      </c>
      <c r="AI19" s="25">
        <v>0</v>
      </c>
      <c r="AJ19" s="23" t="s">
        <v>110</v>
      </c>
      <c r="AK19" s="23" t="s">
        <v>92</v>
      </c>
      <c r="AL19" s="25">
        <v>601</v>
      </c>
      <c r="AO19" s="32" t="str">
        <f t="shared" si="11"/>
        <v>1 door</v>
      </c>
      <c r="AQ19" s="23" t="s">
        <v>33</v>
      </c>
      <c r="AR19" s="23" t="str">
        <f t="shared" si="13"/>
        <v>CC</v>
      </c>
      <c r="AS19" s="34">
        <f t="shared" si="12"/>
        <v>430</v>
      </c>
      <c r="AT19" s="23">
        <v>4</v>
      </c>
      <c r="AU19" s="23">
        <v>30</v>
      </c>
      <c r="AV19" s="23">
        <v>0</v>
      </c>
    </row>
    <row r="20" spans="1:48">
      <c r="A20" s="25">
        <v>601</v>
      </c>
      <c r="D20" s="23">
        <v>1</v>
      </c>
      <c r="E20" s="25" t="s">
        <v>46</v>
      </c>
      <c r="F20" s="25" t="s">
        <v>46</v>
      </c>
      <c r="G20" s="23" t="s">
        <v>27</v>
      </c>
      <c r="H20" s="23" t="s">
        <v>104</v>
      </c>
      <c r="I20" s="25">
        <v>1952</v>
      </c>
      <c r="J20" s="35">
        <v>30</v>
      </c>
      <c r="K20" s="35">
        <v>40</v>
      </c>
      <c r="L20" s="35">
        <v>20</v>
      </c>
      <c r="M20" s="25">
        <v>5</v>
      </c>
      <c r="R20" s="30">
        <f t="shared" si="0"/>
        <v>5</v>
      </c>
      <c r="S20" s="30">
        <f t="shared" si="1"/>
        <v>10.045142857142858</v>
      </c>
      <c r="T20" s="30">
        <f t="shared" si="2"/>
        <v>13.686476190476192</v>
      </c>
      <c r="U20" s="25">
        <v>76</v>
      </c>
      <c r="V20" s="31">
        <f t="shared" si="3"/>
        <v>123.76</v>
      </c>
      <c r="W20" s="25">
        <v>91</v>
      </c>
      <c r="X20" s="25">
        <v>7</v>
      </c>
      <c r="Y20" s="25">
        <v>38</v>
      </c>
      <c r="Z20" s="31">
        <f t="shared" si="4"/>
        <v>185</v>
      </c>
      <c r="AA20" s="31">
        <f t="shared" si="5"/>
        <v>2</v>
      </c>
      <c r="AB20" s="31">
        <f t="shared" si="6"/>
        <v>8</v>
      </c>
      <c r="AC20" s="31" t="str">
        <f t="shared" si="7"/>
        <v/>
      </c>
      <c r="AD20" s="31" t="str">
        <f t="shared" si="8"/>
        <v/>
      </c>
      <c r="AE20" s="31" t="str">
        <f t="shared" si="9"/>
        <v/>
      </c>
      <c r="AF20" s="31" t="str">
        <f t="shared" si="10"/>
        <v/>
      </c>
      <c r="AG20" s="25">
        <v>10</v>
      </c>
      <c r="AH20" s="25">
        <v>0</v>
      </c>
      <c r="AI20" s="25">
        <v>0</v>
      </c>
      <c r="AJ20" s="23" t="s">
        <v>110</v>
      </c>
      <c r="AK20" s="23" t="s">
        <v>92</v>
      </c>
      <c r="AL20" s="25">
        <v>601</v>
      </c>
      <c r="AO20" s="32" t="str">
        <f t="shared" si="11"/>
        <v>1 door</v>
      </c>
      <c r="AQ20" s="23" t="s">
        <v>33</v>
      </c>
      <c r="AR20" s="23" t="str">
        <f t="shared" si="13"/>
        <v>Hungary</v>
      </c>
      <c r="AS20" s="34">
        <f t="shared" si="12"/>
        <v>430.01</v>
      </c>
      <c r="AT20" s="23">
        <v>4</v>
      </c>
      <c r="AU20" s="23">
        <v>30</v>
      </c>
      <c r="AV20" s="23">
        <v>1</v>
      </c>
    </row>
    <row r="21" spans="1:48">
      <c r="A21" s="25">
        <v>602</v>
      </c>
      <c r="D21" s="23">
        <v>1</v>
      </c>
      <c r="E21" s="25" t="s">
        <v>30</v>
      </c>
      <c r="F21" s="25" t="s">
        <v>30</v>
      </c>
      <c r="G21" s="23" t="s">
        <v>27</v>
      </c>
      <c r="H21" s="23" t="s">
        <v>105</v>
      </c>
      <c r="I21" s="25">
        <v>1953</v>
      </c>
      <c r="J21" s="35">
        <v>30</v>
      </c>
      <c r="K21" s="35">
        <v>40</v>
      </c>
      <c r="L21" s="35">
        <v>20</v>
      </c>
      <c r="M21" s="25">
        <v>5</v>
      </c>
      <c r="R21" s="30">
        <f t="shared" si="0"/>
        <v>5</v>
      </c>
      <c r="S21" s="30">
        <f t="shared" si="1"/>
        <v>10.045142857142858</v>
      </c>
      <c r="T21" s="30">
        <f t="shared" si="2"/>
        <v>13.666476190476191</v>
      </c>
      <c r="U21" s="25">
        <v>87</v>
      </c>
      <c r="V21" s="31">
        <f t="shared" si="3"/>
        <v>123.76</v>
      </c>
      <c r="W21" s="25">
        <v>91</v>
      </c>
      <c r="X21" s="25">
        <v>7</v>
      </c>
      <c r="Y21" s="25">
        <v>35</v>
      </c>
      <c r="Z21" s="31">
        <f t="shared" si="4"/>
        <v>150</v>
      </c>
      <c r="AA21" s="31">
        <f t="shared" si="5"/>
        <v>2</v>
      </c>
      <c r="AB21" s="31">
        <f t="shared" si="6"/>
        <v>8</v>
      </c>
      <c r="AC21" s="31" t="str">
        <f t="shared" si="7"/>
        <v/>
      </c>
      <c r="AD21" s="31" t="str">
        <f t="shared" si="8"/>
        <v/>
      </c>
      <c r="AE21" s="31" t="str">
        <f t="shared" si="9"/>
        <v/>
      </c>
      <c r="AF21" s="31" t="str">
        <f t="shared" si="10"/>
        <v/>
      </c>
      <c r="AG21" s="25">
        <v>10</v>
      </c>
      <c r="AH21" s="25">
        <v>0</v>
      </c>
      <c r="AI21" s="25">
        <v>0</v>
      </c>
      <c r="AJ21" s="23" t="s">
        <v>110</v>
      </c>
      <c r="AK21" s="23" t="s">
        <v>92</v>
      </c>
      <c r="AL21" s="25">
        <v>602</v>
      </c>
      <c r="AO21" s="32" t="str">
        <f t="shared" si="11"/>
        <v>1 door</v>
      </c>
      <c r="AQ21" s="23" t="s">
        <v>47</v>
      </c>
      <c r="AR21" s="23" t="str">
        <f t="shared" si="13"/>
        <v>CC</v>
      </c>
      <c r="AS21" s="34">
        <f t="shared" si="12"/>
        <v>440</v>
      </c>
      <c r="AT21" s="23">
        <v>4</v>
      </c>
      <c r="AU21" s="23">
        <v>40</v>
      </c>
      <c r="AV21" s="23">
        <v>0</v>
      </c>
    </row>
    <row r="22" spans="1:48">
      <c r="A22" s="25">
        <v>602</v>
      </c>
      <c r="D22" s="23">
        <v>1</v>
      </c>
      <c r="E22" s="25" t="s">
        <v>48</v>
      </c>
      <c r="F22" s="25" t="s">
        <v>48</v>
      </c>
      <c r="G22" s="23" t="s">
        <v>27</v>
      </c>
      <c r="H22" s="23" t="s">
        <v>105</v>
      </c>
      <c r="I22" s="25">
        <v>1953</v>
      </c>
      <c r="J22" s="35">
        <v>30</v>
      </c>
      <c r="K22" s="35">
        <v>40</v>
      </c>
      <c r="L22" s="35">
        <v>20</v>
      </c>
      <c r="M22" s="25">
        <v>5</v>
      </c>
      <c r="R22" s="30">
        <f t="shared" si="0"/>
        <v>5</v>
      </c>
      <c r="S22" s="30">
        <f t="shared" si="1"/>
        <v>10.045142857142858</v>
      </c>
      <c r="T22" s="30">
        <f t="shared" si="2"/>
        <v>13.666476190476191</v>
      </c>
      <c r="U22" s="25">
        <v>87</v>
      </c>
      <c r="V22" s="31">
        <f t="shared" si="3"/>
        <v>123.76</v>
      </c>
      <c r="W22" s="25">
        <v>91</v>
      </c>
      <c r="X22" s="25">
        <v>7</v>
      </c>
      <c r="Y22" s="25">
        <v>35</v>
      </c>
      <c r="Z22" s="31">
        <f t="shared" si="4"/>
        <v>150</v>
      </c>
      <c r="AA22" s="31">
        <f t="shared" si="5"/>
        <v>2</v>
      </c>
      <c r="AB22" s="31">
        <f t="shared" si="6"/>
        <v>8</v>
      </c>
      <c r="AC22" s="31" t="str">
        <f t="shared" si="7"/>
        <v/>
      </c>
      <c r="AD22" s="31" t="str">
        <f t="shared" si="8"/>
        <v/>
      </c>
      <c r="AE22" s="31" t="str">
        <f t="shared" si="9"/>
        <v/>
      </c>
      <c r="AF22" s="31" t="str">
        <f t="shared" si="10"/>
        <v/>
      </c>
      <c r="AG22" s="25">
        <v>10</v>
      </c>
      <c r="AH22" s="25">
        <v>0</v>
      </c>
      <c r="AI22" s="25">
        <v>0</v>
      </c>
      <c r="AJ22" s="23" t="s">
        <v>110</v>
      </c>
      <c r="AK22" s="23" t="s">
        <v>92</v>
      </c>
      <c r="AL22" s="25">
        <v>602</v>
      </c>
      <c r="AO22" s="32" t="str">
        <f t="shared" si="11"/>
        <v>1 door</v>
      </c>
      <c r="AQ22" s="23" t="s">
        <v>47</v>
      </c>
      <c r="AR22" s="23" t="str">
        <f t="shared" si="13"/>
        <v>Hungary</v>
      </c>
      <c r="AS22" s="34">
        <f t="shared" si="12"/>
        <v>440.01</v>
      </c>
      <c r="AT22" s="23">
        <v>4</v>
      </c>
      <c r="AU22" s="23">
        <v>40</v>
      </c>
      <c r="AV22" s="23">
        <v>1</v>
      </c>
    </row>
    <row r="23" spans="1:48">
      <c r="A23" s="25" t="s">
        <v>223</v>
      </c>
      <c r="B23" s="23" t="s">
        <v>135</v>
      </c>
      <c r="D23" s="23">
        <v>3</v>
      </c>
      <c r="E23" s="25" t="s">
        <v>30</v>
      </c>
      <c r="F23" s="25" t="s">
        <v>30</v>
      </c>
      <c r="G23" s="23" t="s">
        <v>27</v>
      </c>
      <c r="H23" s="23" t="s">
        <v>222</v>
      </c>
      <c r="I23" s="25">
        <v>1961</v>
      </c>
      <c r="J23" s="35">
        <v>30</v>
      </c>
      <c r="K23" s="35">
        <v>40</v>
      </c>
      <c r="L23" s="35">
        <v>20</v>
      </c>
      <c r="M23" s="25">
        <v>8</v>
      </c>
      <c r="N23" s="25">
        <v>8</v>
      </c>
      <c r="O23" s="25">
        <v>10</v>
      </c>
      <c r="R23" s="30">
        <f t="shared" si="0"/>
        <v>26</v>
      </c>
      <c r="S23" s="30">
        <f t="shared" si="1"/>
        <v>15.065142857142858</v>
      </c>
      <c r="T23" s="30">
        <f t="shared" si="2"/>
        <v>18.35314285714286</v>
      </c>
      <c r="U23" s="25">
        <v>55</v>
      </c>
      <c r="V23" s="31">
        <f t="shared" si="3"/>
        <v>144.16</v>
      </c>
      <c r="W23" s="25">
        <v>106</v>
      </c>
      <c r="X23" s="25">
        <v>12</v>
      </c>
      <c r="Y23" s="25">
        <v>132</v>
      </c>
      <c r="Z23" s="31">
        <f t="shared" si="4"/>
        <v>200</v>
      </c>
      <c r="AA23" s="31">
        <f t="shared" si="5"/>
        <v>8</v>
      </c>
      <c r="AB23" s="31" t="str">
        <f t="shared" si="6"/>
        <v/>
      </c>
      <c r="AC23" s="31">
        <f t="shared" si="7"/>
        <v>6</v>
      </c>
      <c r="AD23" s="31" t="str">
        <f t="shared" si="8"/>
        <v/>
      </c>
      <c r="AE23" s="31" t="str">
        <f t="shared" si="9"/>
        <v/>
      </c>
      <c r="AF23" s="31" t="str">
        <f t="shared" si="10"/>
        <v/>
      </c>
      <c r="AG23" s="25">
        <v>8</v>
      </c>
      <c r="AH23" s="25">
        <v>6</v>
      </c>
      <c r="AI23" s="25">
        <v>0</v>
      </c>
      <c r="AJ23" s="23" t="s">
        <v>110</v>
      </c>
      <c r="AK23" s="23" t="s">
        <v>92</v>
      </c>
      <c r="AL23" s="25" t="s">
        <v>223</v>
      </c>
      <c r="AO23" s="32" t="str">
        <f t="shared" si="11"/>
        <v>3 doors</v>
      </c>
      <c r="AQ23" s="23" t="s">
        <v>32</v>
      </c>
      <c r="AR23" s="23" t="str">
        <f t="shared" si="13"/>
        <v>CC</v>
      </c>
      <c r="AS23" s="34">
        <f t="shared" si="12"/>
        <v>460</v>
      </c>
      <c r="AT23" s="23">
        <v>4</v>
      </c>
      <c r="AU23" s="23">
        <v>60</v>
      </c>
      <c r="AV23" s="23">
        <v>0</v>
      </c>
    </row>
    <row r="24" spans="1:48">
      <c r="A24" s="25" t="s">
        <v>223</v>
      </c>
      <c r="B24" s="23" t="s">
        <v>135</v>
      </c>
      <c r="D24" s="23">
        <v>3</v>
      </c>
      <c r="E24" s="25" t="s">
        <v>85</v>
      </c>
      <c r="F24" s="25" t="s">
        <v>85</v>
      </c>
      <c r="G24" s="23" t="s">
        <v>27</v>
      </c>
      <c r="H24" s="23" t="s">
        <v>222</v>
      </c>
      <c r="I24" s="25">
        <v>1961</v>
      </c>
      <c r="J24" s="35">
        <v>30</v>
      </c>
      <c r="K24" s="35">
        <v>40</v>
      </c>
      <c r="L24" s="35">
        <v>20</v>
      </c>
      <c r="M24" s="25">
        <v>8</v>
      </c>
      <c r="N24" s="25">
        <v>8</v>
      </c>
      <c r="O24" s="25">
        <v>10</v>
      </c>
      <c r="R24" s="30">
        <f t="shared" si="0"/>
        <v>26</v>
      </c>
      <c r="S24" s="30">
        <f t="shared" si="1"/>
        <v>15.065142857142858</v>
      </c>
      <c r="T24" s="30">
        <f t="shared" si="2"/>
        <v>18.35314285714286</v>
      </c>
      <c r="U24" s="25">
        <v>55</v>
      </c>
      <c r="V24" s="31">
        <f t="shared" si="3"/>
        <v>144.16</v>
      </c>
      <c r="W24" s="25">
        <v>106</v>
      </c>
      <c r="X24" s="25">
        <v>12</v>
      </c>
      <c r="Y24" s="25">
        <v>132</v>
      </c>
      <c r="Z24" s="31">
        <f t="shared" si="4"/>
        <v>200</v>
      </c>
      <c r="AA24" s="31">
        <f t="shared" si="5"/>
        <v>8</v>
      </c>
      <c r="AB24" s="31" t="str">
        <f t="shared" si="6"/>
        <v/>
      </c>
      <c r="AC24" s="31">
        <f t="shared" si="7"/>
        <v>6</v>
      </c>
      <c r="AD24" s="31" t="str">
        <f t="shared" si="8"/>
        <v/>
      </c>
      <c r="AE24" s="31" t="str">
        <f t="shared" si="9"/>
        <v/>
      </c>
      <c r="AF24" s="31" t="str">
        <f t="shared" si="10"/>
        <v/>
      </c>
      <c r="AG24" s="25">
        <v>8</v>
      </c>
      <c r="AH24" s="25">
        <v>6</v>
      </c>
      <c r="AI24" s="25">
        <v>0</v>
      </c>
      <c r="AJ24" s="23" t="s">
        <v>110</v>
      </c>
      <c r="AK24" s="23" t="s">
        <v>92</v>
      </c>
      <c r="AL24" s="25" t="s">
        <v>223</v>
      </c>
      <c r="AO24" s="32" t="str">
        <f t="shared" si="11"/>
        <v>3 doors</v>
      </c>
      <c r="AQ24" s="23" t="s">
        <v>32</v>
      </c>
      <c r="AR24" s="23" t="str">
        <f t="shared" si="13"/>
        <v>Hungary</v>
      </c>
      <c r="AS24" s="34">
        <f t="shared" si="12"/>
        <v>460.01</v>
      </c>
      <c r="AT24" s="23">
        <v>4</v>
      </c>
      <c r="AU24" s="23">
        <v>60</v>
      </c>
      <c r="AV24" s="23">
        <v>1</v>
      </c>
    </row>
    <row r="25" spans="1:48">
      <c r="A25" s="25" t="s">
        <v>224</v>
      </c>
      <c r="B25" s="23" t="s">
        <v>225</v>
      </c>
      <c r="D25" s="23">
        <v>2</v>
      </c>
      <c r="E25" s="25" t="s">
        <v>30</v>
      </c>
      <c r="F25" s="25" t="s">
        <v>30</v>
      </c>
      <c r="G25" s="23" t="s">
        <v>27</v>
      </c>
      <c r="H25" s="23" t="s">
        <v>221</v>
      </c>
      <c r="I25" s="25">
        <v>1960</v>
      </c>
      <c r="J25" s="35">
        <v>30</v>
      </c>
      <c r="K25" s="35">
        <v>40</v>
      </c>
      <c r="L25" s="35">
        <v>20</v>
      </c>
      <c r="M25" s="25">
        <v>8</v>
      </c>
      <c r="N25" s="25">
        <v>8</v>
      </c>
      <c r="R25" s="30">
        <f t="shared" si="0"/>
        <v>16</v>
      </c>
      <c r="S25" s="30">
        <f t="shared" si="1"/>
        <v>12.830857142857143</v>
      </c>
      <c r="T25" s="30">
        <f t="shared" si="2"/>
        <v>15.472190476190477</v>
      </c>
      <c r="U25" s="25">
        <v>55</v>
      </c>
      <c r="V25" s="31">
        <f t="shared" si="3"/>
        <v>123.76</v>
      </c>
      <c r="W25" s="25">
        <v>91</v>
      </c>
      <c r="X25" s="25">
        <v>11</v>
      </c>
      <c r="Y25" s="25">
        <v>128</v>
      </c>
      <c r="Z25" s="31">
        <f t="shared" si="4"/>
        <v>185</v>
      </c>
      <c r="AA25" s="31">
        <f t="shared" si="5"/>
        <v>8</v>
      </c>
      <c r="AB25" s="31" t="str">
        <f t="shared" si="6"/>
        <v/>
      </c>
      <c r="AC25" s="31">
        <f t="shared" si="7"/>
        <v>6</v>
      </c>
      <c r="AD25" s="31" t="str">
        <f t="shared" si="8"/>
        <v/>
      </c>
      <c r="AE25" s="31" t="str">
        <f t="shared" si="9"/>
        <v/>
      </c>
      <c r="AF25" s="31" t="str">
        <f t="shared" si="10"/>
        <v/>
      </c>
      <c r="AG25" s="25">
        <v>8</v>
      </c>
      <c r="AH25" s="25">
        <v>6</v>
      </c>
      <c r="AI25" s="25">
        <v>0</v>
      </c>
      <c r="AJ25" s="23" t="s">
        <v>110</v>
      </c>
      <c r="AK25" s="23" t="s">
        <v>92</v>
      </c>
      <c r="AL25" s="25" t="s">
        <v>224</v>
      </c>
      <c r="AO25" s="32" t="str">
        <f t="shared" si="11"/>
        <v>2 doors</v>
      </c>
      <c r="AQ25" s="23" t="s">
        <v>33</v>
      </c>
      <c r="AR25" s="23" t="str">
        <f t="shared" si="13"/>
        <v>CC</v>
      </c>
      <c r="AS25" s="34">
        <f t="shared" si="12"/>
        <v>470</v>
      </c>
      <c r="AT25" s="23">
        <v>4</v>
      </c>
      <c r="AU25" s="23">
        <v>70</v>
      </c>
      <c r="AV25" s="23">
        <v>0</v>
      </c>
    </row>
    <row r="26" spans="1:48">
      <c r="A26" s="25" t="s">
        <v>224</v>
      </c>
      <c r="B26" s="23" t="s">
        <v>225</v>
      </c>
      <c r="D26" s="23">
        <v>2</v>
      </c>
      <c r="E26" s="25" t="s">
        <v>95</v>
      </c>
      <c r="F26" s="25" t="s">
        <v>95</v>
      </c>
      <c r="G26" s="23" t="s">
        <v>27</v>
      </c>
      <c r="H26" s="23" t="s">
        <v>221</v>
      </c>
      <c r="I26" s="25">
        <v>1960</v>
      </c>
      <c r="J26" s="35">
        <v>30</v>
      </c>
      <c r="K26" s="35">
        <v>40</v>
      </c>
      <c r="L26" s="35">
        <v>20</v>
      </c>
      <c r="M26" s="25">
        <v>8</v>
      </c>
      <c r="N26" s="25">
        <v>8</v>
      </c>
      <c r="R26" s="30">
        <f t="shared" si="0"/>
        <v>16</v>
      </c>
      <c r="S26" s="30">
        <f t="shared" si="1"/>
        <v>12.830857142857143</v>
      </c>
      <c r="T26" s="30">
        <f t="shared" si="2"/>
        <v>15.472190476190477</v>
      </c>
      <c r="U26" s="25">
        <v>55</v>
      </c>
      <c r="V26" s="31">
        <f t="shared" si="3"/>
        <v>123.76</v>
      </c>
      <c r="W26" s="25">
        <v>91</v>
      </c>
      <c r="X26" s="25">
        <v>11</v>
      </c>
      <c r="Y26" s="25">
        <v>128</v>
      </c>
      <c r="Z26" s="31">
        <f t="shared" si="4"/>
        <v>185</v>
      </c>
      <c r="AA26" s="31">
        <f t="shared" si="5"/>
        <v>8</v>
      </c>
      <c r="AB26" s="31" t="str">
        <f t="shared" si="6"/>
        <v/>
      </c>
      <c r="AC26" s="31">
        <f t="shared" si="7"/>
        <v>6</v>
      </c>
      <c r="AD26" s="31" t="str">
        <f t="shared" si="8"/>
        <v/>
      </c>
      <c r="AE26" s="31" t="str">
        <f t="shared" si="9"/>
        <v/>
      </c>
      <c r="AF26" s="31" t="str">
        <f t="shared" si="10"/>
        <v/>
      </c>
      <c r="AG26" s="25">
        <v>8</v>
      </c>
      <c r="AH26" s="25">
        <v>6</v>
      </c>
      <c r="AI26" s="25">
        <v>0</v>
      </c>
      <c r="AJ26" s="23" t="s">
        <v>110</v>
      </c>
      <c r="AK26" s="23" t="s">
        <v>92</v>
      </c>
      <c r="AL26" s="25" t="s">
        <v>224</v>
      </c>
      <c r="AO26" s="32" t="str">
        <f t="shared" si="11"/>
        <v>2 doors</v>
      </c>
      <c r="AQ26" s="23" t="s">
        <v>33</v>
      </c>
      <c r="AR26" s="23" t="str">
        <f t="shared" si="13"/>
        <v>Hungary</v>
      </c>
      <c r="AS26" s="34">
        <f t="shared" si="12"/>
        <v>470.01</v>
      </c>
      <c r="AT26" s="23">
        <v>4</v>
      </c>
      <c r="AU26" s="23">
        <v>70</v>
      </c>
      <c r="AV26" s="23">
        <v>1</v>
      </c>
    </row>
    <row r="27" spans="1:48">
      <c r="A27" s="25">
        <v>66</v>
      </c>
      <c r="B27" s="23" t="s">
        <v>89</v>
      </c>
      <c r="D27" s="23">
        <v>3</v>
      </c>
      <c r="E27" s="25" t="s">
        <v>30</v>
      </c>
      <c r="F27" s="25" t="s">
        <v>30</v>
      </c>
      <c r="G27" s="23" t="s">
        <v>27</v>
      </c>
      <c r="H27" s="23" t="s">
        <v>139</v>
      </c>
      <c r="I27" s="25">
        <v>1952</v>
      </c>
      <c r="J27" s="35">
        <v>30</v>
      </c>
      <c r="K27" s="35">
        <v>40</v>
      </c>
      <c r="L27" s="35">
        <v>20</v>
      </c>
      <c r="M27" s="25">
        <v>5</v>
      </c>
      <c r="N27" s="25">
        <v>10</v>
      </c>
      <c r="O27" s="25">
        <v>4</v>
      </c>
      <c r="R27" s="30">
        <f t="shared" si="0"/>
        <v>19</v>
      </c>
      <c r="S27" s="30">
        <f t="shared" si="1"/>
        <v>13.065142857142858</v>
      </c>
      <c r="T27" s="30">
        <f t="shared" si="2"/>
        <v>17.406476190476191</v>
      </c>
      <c r="U27" s="25">
        <v>61</v>
      </c>
      <c r="V27" s="31">
        <f t="shared" si="3"/>
        <v>144.16</v>
      </c>
      <c r="W27" s="25">
        <v>106</v>
      </c>
      <c r="X27" s="25">
        <v>9</v>
      </c>
      <c r="Y27" s="25">
        <v>110</v>
      </c>
      <c r="Z27" s="31">
        <f t="shared" si="4"/>
        <v>200</v>
      </c>
      <c r="AA27" s="31">
        <f t="shared" si="5"/>
        <v>6</v>
      </c>
      <c r="AB27" s="31">
        <f t="shared" si="6"/>
        <v>8</v>
      </c>
      <c r="AC27" s="31" t="str">
        <f t="shared" si="7"/>
        <v/>
      </c>
      <c r="AD27" s="31" t="str">
        <f t="shared" si="8"/>
        <v/>
      </c>
      <c r="AE27" s="31" t="str">
        <f t="shared" si="9"/>
        <v/>
      </c>
      <c r="AF27" s="31" t="str">
        <f t="shared" si="10"/>
        <v/>
      </c>
      <c r="AG27" s="25">
        <v>14</v>
      </c>
      <c r="AH27" s="25">
        <v>0</v>
      </c>
      <c r="AI27" s="25">
        <v>0</v>
      </c>
      <c r="AJ27" s="23" t="s">
        <v>110</v>
      </c>
      <c r="AK27" s="23" t="s">
        <v>92</v>
      </c>
      <c r="AL27" s="25">
        <v>66</v>
      </c>
      <c r="AO27" s="32" t="str">
        <f t="shared" si="11"/>
        <v>3 doors</v>
      </c>
      <c r="AQ27" s="23" t="s">
        <v>32</v>
      </c>
      <c r="AR27" s="23" t="str">
        <f t="shared" si="13"/>
        <v>CC</v>
      </c>
      <c r="AS27" s="34">
        <f t="shared" si="12"/>
        <v>500</v>
      </c>
      <c r="AT27" s="23">
        <v>5</v>
      </c>
      <c r="AU27" s="23">
        <v>0</v>
      </c>
      <c r="AV27" s="23">
        <v>0</v>
      </c>
    </row>
    <row r="28" spans="1:48">
      <c r="A28" s="25">
        <v>66</v>
      </c>
      <c r="B28" s="23" t="s">
        <v>89</v>
      </c>
      <c r="D28" s="23">
        <v>3</v>
      </c>
      <c r="E28" s="25" t="s">
        <v>42</v>
      </c>
      <c r="F28" s="25" t="s">
        <v>42</v>
      </c>
      <c r="G28" s="23" t="s">
        <v>27</v>
      </c>
      <c r="H28" s="23" t="s">
        <v>139</v>
      </c>
      <c r="I28" s="25">
        <v>1952</v>
      </c>
      <c r="J28" s="35">
        <v>30</v>
      </c>
      <c r="K28" s="35">
        <v>40</v>
      </c>
      <c r="L28" s="35">
        <v>20</v>
      </c>
      <c r="M28" s="25">
        <v>5</v>
      </c>
      <c r="N28" s="25">
        <v>10</v>
      </c>
      <c r="O28" s="25">
        <v>4</v>
      </c>
      <c r="R28" s="30">
        <f t="shared" si="0"/>
        <v>19</v>
      </c>
      <c r="S28" s="30">
        <f t="shared" si="1"/>
        <v>13.065142857142858</v>
      </c>
      <c r="T28" s="30">
        <f t="shared" si="2"/>
        <v>17.406476190476191</v>
      </c>
      <c r="U28" s="25">
        <v>61</v>
      </c>
      <c r="V28" s="31">
        <f t="shared" si="3"/>
        <v>144.16</v>
      </c>
      <c r="W28" s="25">
        <v>106</v>
      </c>
      <c r="X28" s="25">
        <v>9</v>
      </c>
      <c r="Y28" s="25">
        <v>110</v>
      </c>
      <c r="Z28" s="31">
        <f t="shared" si="4"/>
        <v>200</v>
      </c>
      <c r="AA28" s="31">
        <f t="shared" si="5"/>
        <v>6</v>
      </c>
      <c r="AB28" s="31">
        <f t="shared" si="6"/>
        <v>8</v>
      </c>
      <c r="AC28" s="31" t="str">
        <f t="shared" si="7"/>
        <v/>
      </c>
      <c r="AD28" s="31" t="str">
        <f t="shared" si="8"/>
        <v/>
      </c>
      <c r="AE28" s="31" t="str">
        <f t="shared" si="9"/>
        <v/>
      </c>
      <c r="AF28" s="31" t="str">
        <f t="shared" si="10"/>
        <v/>
      </c>
      <c r="AG28" s="25">
        <v>14</v>
      </c>
      <c r="AH28" s="25">
        <v>0</v>
      </c>
      <c r="AI28" s="25">
        <v>0</v>
      </c>
      <c r="AJ28" s="23" t="s">
        <v>110</v>
      </c>
      <c r="AK28" s="23" t="s">
        <v>92</v>
      </c>
      <c r="AL28" s="25">
        <v>66</v>
      </c>
      <c r="AO28" s="32" t="str">
        <f t="shared" si="11"/>
        <v>3 doors</v>
      </c>
      <c r="AQ28" s="23" t="s">
        <v>32</v>
      </c>
      <c r="AR28" s="23" t="str">
        <f t="shared" si="13"/>
        <v>CC</v>
      </c>
      <c r="AS28" s="34">
        <f t="shared" si="12"/>
        <v>500.01</v>
      </c>
      <c r="AT28" s="23">
        <v>5</v>
      </c>
      <c r="AU28" s="23">
        <v>0</v>
      </c>
      <c r="AV28" s="23">
        <v>1</v>
      </c>
    </row>
    <row r="29" spans="1:48">
      <c r="A29" s="25">
        <v>66</v>
      </c>
      <c r="B29" s="23" t="s">
        <v>89</v>
      </c>
      <c r="D29" s="23">
        <v>3</v>
      </c>
      <c r="E29" s="25" t="s">
        <v>96</v>
      </c>
      <c r="F29" s="25" t="s">
        <v>85</v>
      </c>
      <c r="G29" s="23" t="s">
        <v>27</v>
      </c>
      <c r="H29" s="23" t="s">
        <v>139</v>
      </c>
      <c r="I29" s="25">
        <v>1952</v>
      </c>
      <c r="J29" s="35">
        <v>30</v>
      </c>
      <c r="K29" s="35">
        <v>40</v>
      </c>
      <c r="L29" s="35">
        <v>20</v>
      </c>
      <c r="M29" s="25">
        <v>5</v>
      </c>
      <c r="N29" s="25">
        <v>10</v>
      </c>
      <c r="O29" s="25">
        <v>4</v>
      </c>
      <c r="R29" s="30">
        <f t="shared" si="0"/>
        <v>19</v>
      </c>
      <c r="S29" s="30">
        <f t="shared" si="1"/>
        <v>13.065142857142858</v>
      </c>
      <c r="T29" s="30">
        <f t="shared" si="2"/>
        <v>17.406476190476191</v>
      </c>
      <c r="U29" s="25">
        <v>61</v>
      </c>
      <c r="V29" s="31">
        <f t="shared" si="3"/>
        <v>144.16</v>
      </c>
      <c r="W29" s="25">
        <v>106</v>
      </c>
      <c r="X29" s="25">
        <v>9</v>
      </c>
      <c r="Y29" s="25">
        <v>110</v>
      </c>
      <c r="Z29" s="31">
        <f t="shared" si="4"/>
        <v>200</v>
      </c>
      <c r="AA29" s="31">
        <f t="shared" si="5"/>
        <v>6</v>
      </c>
      <c r="AB29" s="31">
        <f t="shared" si="6"/>
        <v>8</v>
      </c>
      <c r="AC29" s="31" t="str">
        <f t="shared" si="7"/>
        <v/>
      </c>
      <c r="AD29" s="31" t="str">
        <f t="shared" si="8"/>
        <v/>
      </c>
      <c r="AE29" s="31" t="str">
        <f t="shared" si="9"/>
        <v/>
      </c>
      <c r="AF29" s="31" t="str">
        <f t="shared" si="10"/>
        <v/>
      </c>
      <c r="AG29" s="25">
        <v>14</v>
      </c>
      <c r="AH29" s="25">
        <v>0</v>
      </c>
      <c r="AI29" s="25">
        <v>0</v>
      </c>
      <c r="AJ29" s="23" t="s">
        <v>110</v>
      </c>
      <c r="AK29" s="23" t="s">
        <v>92</v>
      </c>
      <c r="AL29" s="25">
        <v>66</v>
      </c>
      <c r="AO29" s="32" t="str">
        <f t="shared" si="11"/>
        <v>3 doors</v>
      </c>
      <c r="AQ29" s="23" t="s">
        <v>32</v>
      </c>
      <c r="AR29" s="23" t="str">
        <f t="shared" si="13"/>
        <v>Hungary</v>
      </c>
      <c r="AS29" s="34">
        <f t="shared" si="12"/>
        <v>500.02</v>
      </c>
      <c r="AT29" s="23">
        <v>5</v>
      </c>
      <c r="AU29" s="23">
        <v>0</v>
      </c>
      <c r="AV29" s="23">
        <v>2</v>
      </c>
    </row>
    <row r="30" spans="1:48">
      <c r="A30" s="25">
        <v>66</v>
      </c>
      <c r="B30" s="23" t="s">
        <v>89</v>
      </c>
      <c r="D30" s="23">
        <v>3</v>
      </c>
      <c r="E30" s="25" t="s">
        <v>97</v>
      </c>
      <c r="F30" s="25" t="s">
        <v>85</v>
      </c>
      <c r="G30" s="23" t="s">
        <v>27</v>
      </c>
      <c r="H30" s="23" t="s">
        <v>139</v>
      </c>
      <c r="I30" s="25">
        <v>1952</v>
      </c>
      <c r="J30" s="35">
        <v>30</v>
      </c>
      <c r="K30" s="35">
        <v>40</v>
      </c>
      <c r="L30" s="35">
        <v>20</v>
      </c>
      <c r="M30" s="25">
        <v>5</v>
      </c>
      <c r="N30" s="25">
        <v>10</v>
      </c>
      <c r="O30" s="25">
        <v>4</v>
      </c>
      <c r="R30" s="30">
        <f t="shared" si="0"/>
        <v>19</v>
      </c>
      <c r="S30" s="30">
        <f t="shared" si="1"/>
        <v>13.065142857142858</v>
      </c>
      <c r="T30" s="30">
        <f t="shared" si="2"/>
        <v>17.406476190476191</v>
      </c>
      <c r="U30" s="25">
        <v>61</v>
      </c>
      <c r="V30" s="31">
        <f t="shared" si="3"/>
        <v>144.16</v>
      </c>
      <c r="W30" s="25">
        <v>106</v>
      </c>
      <c r="X30" s="25">
        <v>9</v>
      </c>
      <c r="Y30" s="25">
        <v>110</v>
      </c>
      <c r="Z30" s="31">
        <f t="shared" si="4"/>
        <v>200</v>
      </c>
      <c r="AA30" s="31">
        <f t="shared" si="5"/>
        <v>6</v>
      </c>
      <c r="AB30" s="31">
        <f t="shared" si="6"/>
        <v>8</v>
      </c>
      <c r="AC30" s="31" t="str">
        <f t="shared" si="7"/>
        <v/>
      </c>
      <c r="AD30" s="31" t="str">
        <f t="shared" si="8"/>
        <v/>
      </c>
      <c r="AE30" s="31" t="str">
        <f t="shared" si="9"/>
        <v/>
      </c>
      <c r="AF30" s="31" t="str">
        <f t="shared" si="10"/>
        <v/>
      </c>
      <c r="AG30" s="25">
        <v>14</v>
      </c>
      <c r="AH30" s="25">
        <v>0</v>
      </c>
      <c r="AI30" s="25">
        <v>0</v>
      </c>
      <c r="AJ30" s="23" t="s">
        <v>110</v>
      </c>
      <c r="AK30" s="23" t="s">
        <v>92</v>
      </c>
      <c r="AL30" s="25">
        <v>66</v>
      </c>
      <c r="AO30" s="32" t="str">
        <f t="shared" si="11"/>
        <v>3 doors</v>
      </c>
      <c r="AQ30" s="23" t="s">
        <v>32</v>
      </c>
      <c r="AR30" s="23" t="str">
        <f t="shared" si="13"/>
        <v>Hungary</v>
      </c>
      <c r="AS30" s="34">
        <f t="shared" si="12"/>
        <v>500.03</v>
      </c>
      <c r="AT30" s="23">
        <v>5</v>
      </c>
      <c r="AU30" s="23">
        <v>0</v>
      </c>
      <c r="AV30" s="23">
        <v>3</v>
      </c>
    </row>
    <row r="31" spans="1:48">
      <c r="A31" s="25">
        <v>66</v>
      </c>
      <c r="D31" s="23">
        <v>2</v>
      </c>
      <c r="E31" s="25" t="s">
        <v>30</v>
      </c>
      <c r="F31" s="25" t="s">
        <v>30</v>
      </c>
      <c r="G31" s="23" t="s">
        <v>27</v>
      </c>
      <c r="H31" s="23" t="s">
        <v>140</v>
      </c>
      <c r="I31" s="25">
        <v>1952</v>
      </c>
      <c r="J31" s="35">
        <v>30</v>
      </c>
      <c r="K31" s="35">
        <v>40</v>
      </c>
      <c r="L31" s="35">
        <v>20</v>
      </c>
      <c r="M31" s="25">
        <v>5</v>
      </c>
      <c r="N31" s="25">
        <v>10</v>
      </c>
      <c r="R31" s="30">
        <f t="shared" si="0"/>
        <v>15</v>
      </c>
      <c r="S31" s="30">
        <f t="shared" si="1"/>
        <v>12.779428571428571</v>
      </c>
      <c r="T31" s="30">
        <f t="shared" si="2"/>
        <v>16.920761904761907</v>
      </c>
      <c r="U31" s="25">
        <v>78</v>
      </c>
      <c r="V31" s="31">
        <f t="shared" si="3"/>
        <v>144.16</v>
      </c>
      <c r="W31" s="25">
        <v>106</v>
      </c>
      <c r="X31" s="25">
        <v>9</v>
      </c>
      <c r="Y31" s="25">
        <v>80</v>
      </c>
      <c r="Z31" s="31">
        <f t="shared" si="4"/>
        <v>185</v>
      </c>
      <c r="AA31" s="31">
        <f t="shared" si="5"/>
        <v>6</v>
      </c>
      <c r="AB31" s="31">
        <f t="shared" si="6"/>
        <v>8</v>
      </c>
      <c r="AC31" s="31" t="str">
        <f t="shared" si="7"/>
        <v/>
      </c>
      <c r="AD31" s="31" t="str">
        <f t="shared" si="8"/>
        <v/>
      </c>
      <c r="AE31" s="31" t="str">
        <f t="shared" si="9"/>
        <v/>
      </c>
      <c r="AF31" s="31" t="str">
        <f t="shared" si="10"/>
        <v/>
      </c>
      <c r="AG31" s="25">
        <v>14</v>
      </c>
      <c r="AH31" s="25">
        <v>0</v>
      </c>
      <c r="AI31" s="25">
        <v>0</v>
      </c>
      <c r="AJ31" s="23" t="s">
        <v>110</v>
      </c>
      <c r="AK31" s="23" t="s">
        <v>92</v>
      </c>
      <c r="AL31" s="25">
        <v>66</v>
      </c>
      <c r="AO31" s="32" t="str">
        <f t="shared" si="11"/>
        <v>2 doors</v>
      </c>
      <c r="AQ31" s="23" t="s">
        <v>33</v>
      </c>
      <c r="AR31" s="23" t="str">
        <f t="shared" si="13"/>
        <v>CC</v>
      </c>
      <c r="AS31" s="34">
        <f t="shared" si="12"/>
        <v>520</v>
      </c>
      <c r="AT31" s="23">
        <v>5</v>
      </c>
      <c r="AU31" s="23">
        <v>20</v>
      </c>
      <c r="AV31" s="23">
        <v>0</v>
      </c>
    </row>
    <row r="32" spans="1:48">
      <c r="A32" s="25">
        <v>66</v>
      </c>
      <c r="D32" s="23">
        <v>2</v>
      </c>
      <c r="E32" s="25" t="s">
        <v>42</v>
      </c>
      <c r="F32" s="25" t="s">
        <v>42</v>
      </c>
      <c r="G32" s="23" t="s">
        <v>27</v>
      </c>
      <c r="H32" s="23" t="s">
        <v>140</v>
      </c>
      <c r="I32" s="25">
        <v>1952</v>
      </c>
      <c r="J32" s="35">
        <v>30</v>
      </c>
      <c r="K32" s="35">
        <v>40</v>
      </c>
      <c r="L32" s="35">
        <v>20</v>
      </c>
      <c r="M32" s="25">
        <v>5</v>
      </c>
      <c r="N32" s="25">
        <v>10</v>
      </c>
      <c r="R32" s="30">
        <f t="shared" si="0"/>
        <v>15</v>
      </c>
      <c r="S32" s="30">
        <f t="shared" si="1"/>
        <v>12.779428571428571</v>
      </c>
      <c r="T32" s="30">
        <f t="shared" si="2"/>
        <v>16.920761904761907</v>
      </c>
      <c r="U32" s="25">
        <v>78</v>
      </c>
      <c r="V32" s="31">
        <f t="shared" si="3"/>
        <v>144.16</v>
      </c>
      <c r="W32" s="25">
        <v>106</v>
      </c>
      <c r="X32" s="25">
        <v>9</v>
      </c>
      <c r="Y32" s="25">
        <v>80</v>
      </c>
      <c r="Z32" s="31">
        <f t="shared" si="4"/>
        <v>185</v>
      </c>
      <c r="AA32" s="31">
        <f t="shared" si="5"/>
        <v>6</v>
      </c>
      <c r="AB32" s="31">
        <f t="shared" si="6"/>
        <v>8</v>
      </c>
      <c r="AC32" s="31" t="str">
        <f t="shared" si="7"/>
        <v/>
      </c>
      <c r="AD32" s="31" t="str">
        <f t="shared" si="8"/>
        <v/>
      </c>
      <c r="AE32" s="31" t="str">
        <f t="shared" si="9"/>
        <v/>
      </c>
      <c r="AF32" s="31" t="str">
        <f t="shared" si="10"/>
        <v/>
      </c>
      <c r="AG32" s="25">
        <v>14</v>
      </c>
      <c r="AH32" s="25">
        <v>0</v>
      </c>
      <c r="AI32" s="25">
        <v>0</v>
      </c>
      <c r="AJ32" s="23" t="s">
        <v>110</v>
      </c>
      <c r="AK32" s="23" t="s">
        <v>92</v>
      </c>
      <c r="AL32" s="25">
        <v>66</v>
      </c>
      <c r="AO32" s="32" t="str">
        <f t="shared" si="11"/>
        <v>2 doors</v>
      </c>
      <c r="AQ32" s="23" t="s">
        <v>33</v>
      </c>
      <c r="AR32" s="23" t="str">
        <f t="shared" si="13"/>
        <v>CC</v>
      </c>
      <c r="AS32" s="34">
        <f t="shared" si="12"/>
        <v>520.01</v>
      </c>
      <c r="AT32" s="23">
        <v>5</v>
      </c>
      <c r="AU32" s="23">
        <v>20</v>
      </c>
      <c r="AV32" s="23">
        <v>1</v>
      </c>
    </row>
    <row r="33" spans="1:48">
      <c r="A33" s="25">
        <v>66</v>
      </c>
      <c r="D33" s="23">
        <v>2</v>
      </c>
      <c r="E33" s="25" t="s">
        <v>46</v>
      </c>
      <c r="F33" s="25" t="s">
        <v>46</v>
      </c>
      <c r="G33" s="23" t="s">
        <v>27</v>
      </c>
      <c r="H33" s="23" t="s">
        <v>140</v>
      </c>
      <c r="I33" s="25">
        <v>1952</v>
      </c>
      <c r="J33" s="35">
        <v>30</v>
      </c>
      <c r="K33" s="35">
        <v>40</v>
      </c>
      <c r="L33" s="35">
        <v>20</v>
      </c>
      <c r="M33" s="25">
        <v>5</v>
      </c>
      <c r="N33" s="25">
        <v>10</v>
      </c>
      <c r="R33" s="30">
        <f t="shared" si="0"/>
        <v>15</v>
      </c>
      <c r="S33" s="30">
        <f t="shared" si="1"/>
        <v>12.779428571428571</v>
      </c>
      <c r="T33" s="30">
        <f t="shared" si="2"/>
        <v>16.920761904761907</v>
      </c>
      <c r="U33" s="25">
        <v>78</v>
      </c>
      <c r="V33" s="31">
        <f t="shared" si="3"/>
        <v>144.16</v>
      </c>
      <c r="W33" s="25">
        <v>106</v>
      </c>
      <c r="X33" s="25">
        <v>9</v>
      </c>
      <c r="Y33" s="25">
        <v>80</v>
      </c>
      <c r="Z33" s="31">
        <f t="shared" si="4"/>
        <v>185</v>
      </c>
      <c r="AA33" s="31">
        <f t="shared" si="5"/>
        <v>6</v>
      </c>
      <c r="AB33" s="31">
        <f t="shared" si="6"/>
        <v>8</v>
      </c>
      <c r="AC33" s="31" t="str">
        <f t="shared" si="7"/>
        <v/>
      </c>
      <c r="AD33" s="31" t="str">
        <f t="shared" si="8"/>
        <v/>
      </c>
      <c r="AE33" s="31" t="str">
        <f t="shared" si="9"/>
        <v/>
      </c>
      <c r="AF33" s="31" t="str">
        <f t="shared" si="10"/>
        <v/>
      </c>
      <c r="AG33" s="25">
        <v>14</v>
      </c>
      <c r="AH33" s="25">
        <v>0</v>
      </c>
      <c r="AI33" s="25">
        <v>0</v>
      </c>
      <c r="AJ33" s="23" t="s">
        <v>110</v>
      </c>
      <c r="AK33" s="23" t="s">
        <v>92</v>
      </c>
      <c r="AL33" s="25">
        <v>66</v>
      </c>
      <c r="AO33" s="32" t="str">
        <f t="shared" si="11"/>
        <v>2 doors</v>
      </c>
      <c r="AQ33" s="23" t="s">
        <v>33</v>
      </c>
      <c r="AR33" s="23" t="str">
        <f t="shared" si="13"/>
        <v>Hungary</v>
      </c>
      <c r="AS33" s="34">
        <f t="shared" si="12"/>
        <v>520.02</v>
      </c>
      <c r="AT33" s="23">
        <v>5</v>
      </c>
      <c r="AU33" s="23">
        <v>20</v>
      </c>
      <c r="AV33" s="23">
        <v>2</v>
      </c>
    </row>
    <row r="34" spans="1:48">
      <c r="A34" s="25">
        <v>55</v>
      </c>
      <c r="D34" s="23">
        <v>1</v>
      </c>
      <c r="E34" s="25" t="s">
        <v>30</v>
      </c>
      <c r="F34" s="25" t="s">
        <v>30</v>
      </c>
      <c r="G34" s="23" t="s">
        <v>27</v>
      </c>
      <c r="H34" s="23" t="s">
        <v>103</v>
      </c>
      <c r="I34" s="25">
        <v>1952</v>
      </c>
      <c r="J34" s="35">
        <v>30</v>
      </c>
      <c r="K34" s="35">
        <v>40</v>
      </c>
      <c r="L34" s="35">
        <v>20</v>
      </c>
      <c r="M34" s="25">
        <v>5</v>
      </c>
      <c r="R34" s="30">
        <f t="shared" si="0"/>
        <v>5</v>
      </c>
      <c r="S34" s="30">
        <f t="shared" si="1"/>
        <v>12.565142857142858</v>
      </c>
      <c r="T34" s="30">
        <f t="shared" si="2"/>
        <v>16.053142857142859</v>
      </c>
      <c r="U34" s="25">
        <v>99</v>
      </c>
      <c r="V34" s="31">
        <f t="shared" si="3"/>
        <v>144.16</v>
      </c>
      <c r="W34" s="25">
        <v>106</v>
      </c>
      <c r="X34" s="25">
        <v>10</v>
      </c>
      <c r="Y34" s="25">
        <v>42</v>
      </c>
      <c r="Z34" s="31">
        <f t="shared" si="4"/>
        <v>150</v>
      </c>
      <c r="AA34" s="31">
        <f t="shared" si="5"/>
        <v>6</v>
      </c>
      <c r="AB34" s="31">
        <f t="shared" si="6"/>
        <v>8</v>
      </c>
      <c r="AC34" s="31" t="str">
        <f t="shared" si="7"/>
        <v/>
      </c>
      <c r="AD34" s="31" t="str">
        <f t="shared" si="8"/>
        <v/>
      </c>
      <c r="AE34" s="31" t="str">
        <f t="shared" si="9"/>
        <v/>
      </c>
      <c r="AF34" s="31" t="str">
        <f t="shared" si="10"/>
        <v/>
      </c>
      <c r="AG34" s="25">
        <v>14</v>
      </c>
      <c r="AH34" s="25">
        <v>0</v>
      </c>
      <c r="AI34" s="25">
        <v>0</v>
      </c>
      <c r="AJ34" s="23" t="s">
        <v>110</v>
      </c>
      <c r="AK34" s="23" t="s">
        <v>92</v>
      </c>
      <c r="AL34" s="25">
        <v>55</v>
      </c>
      <c r="AO34" s="32" t="str">
        <f t="shared" si="11"/>
        <v>1 door</v>
      </c>
      <c r="AQ34" s="23" t="s">
        <v>47</v>
      </c>
      <c r="AR34" s="23" t="str">
        <f t="shared" si="13"/>
        <v>CC</v>
      </c>
      <c r="AS34" s="34">
        <f t="shared" si="12"/>
        <v>540</v>
      </c>
      <c r="AT34" s="23">
        <v>5</v>
      </c>
      <c r="AU34" s="23">
        <v>40</v>
      </c>
      <c r="AV34" s="23">
        <v>0</v>
      </c>
    </row>
    <row r="35" spans="1:48">
      <c r="A35" s="25">
        <v>55</v>
      </c>
      <c r="D35" s="23">
        <v>1</v>
      </c>
      <c r="E35" s="25" t="s">
        <v>42</v>
      </c>
      <c r="F35" s="25" t="s">
        <v>42</v>
      </c>
      <c r="G35" s="23" t="s">
        <v>27</v>
      </c>
      <c r="H35" s="23" t="s">
        <v>103</v>
      </c>
      <c r="I35" s="25">
        <v>1952</v>
      </c>
      <c r="J35" s="35">
        <v>30</v>
      </c>
      <c r="K35" s="35">
        <v>40</v>
      </c>
      <c r="L35" s="35">
        <v>20</v>
      </c>
      <c r="M35" s="25">
        <v>5</v>
      </c>
      <c r="R35" s="30">
        <f t="shared" si="0"/>
        <v>5</v>
      </c>
      <c r="S35" s="30">
        <f t="shared" si="1"/>
        <v>12.565142857142858</v>
      </c>
      <c r="T35" s="30">
        <f t="shared" si="2"/>
        <v>16.053142857142859</v>
      </c>
      <c r="U35" s="25">
        <v>99</v>
      </c>
      <c r="V35" s="31">
        <f t="shared" si="3"/>
        <v>144.16</v>
      </c>
      <c r="W35" s="25">
        <v>106</v>
      </c>
      <c r="X35" s="25">
        <v>10</v>
      </c>
      <c r="Y35" s="25">
        <v>42</v>
      </c>
      <c r="Z35" s="31">
        <f t="shared" si="4"/>
        <v>150</v>
      </c>
      <c r="AA35" s="31">
        <f t="shared" si="5"/>
        <v>6</v>
      </c>
      <c r="AB35" s="31">
        <f t="shared" si="6"/>
        <v>8</v>
      </c>
      <c r="AC35" s="31" t="str">
        <f t="shared" si="7"/>
        <v/>
      </c>
      <c r="AD35" s="31" t="str">
        <f t="shared" si="8"/>
        <v/>
      </c>
      <c r="AE35" s="31" t="str">
        <f t="shared" si="9"/>
        <v/>
      </c>
      <c r="AF35" s="31" t="str">
        <f t="shared" si="10"/>
        <v/>
      </c>
      <c r="AG35" s="25">
        <v>14</v>
      </c>
      <c r="AH35" s="25">
        <v>0</v>
      </c>
      <c r="AI35" s="25">
        <v>0</v>
      </c>
      <c r="AJ35" s="23" t="s">
        <v>110</v>
      </c>
      <c r="AK35" s="23" t="s">
        <v>92</v>
      </c>
      <c r="AL35" s="25">
        <v>55</v>
      </c>
      <c r="AO35" s="32" t="str">
        <f t="shared" si="11"/>
        <v>1 door</v>
      </c>
      <c r="AQ35" s="23" t="s">
        <v>47</v>
      </c>
      <c r="AR35" s="23" t="str">
        <f t="shared" si="13"/>
        <v>CC</v>
      </c>
      <c r="AS35" s="34">
        <f t="shared" si="12"/>
        <v>540.01</v>
      </c>
      <c r="AT35" s="23">
        <v>5</v>
      </c>
      <c r="AU35" s="23">
        <v>40</v>
      </c>
      <c r="AV35" s="23">
        <v>1</v>
      </c>
    </row>
    <row r="36" spans="1:48">
      <c r="A36" s="25">
        <v>620</v>
      </c>
      <c r="D36" s="23">
        <v>2</v>
      </c>
      <c r="E36" s="25" t="s">
        <v>30</v>
      </c>
      <c r="F36" s="25" t="s">
        <v>30</v>
      </c>
      <c r="G36" s="23" t="s">
        <v>27</v>
      </c>
      <c r="H36" s="23" t="s">
        <v>107</v>
      </c>
      <c r="I36" s="25">
        <v>1958</v>
      </c>
      <c r="J36" s="35">
        <v>30</v>
      </c>
      <c r="K36" s="35">
        <v>40</v>
      </c>
      <c r="L36" s="35">
        <v>20</v>
      </c>
      <c r="M36" s="25">
        <v>10</v>
      </c>
      <c r="N36" s="25">
        <v>10</v>
      </c>
      <c r="R36" s="30">
        <f t="shared" si="0"/>
        <v>20</v>
      </c>
      <c r="S36" s="30">
        <f t="shared" si="1"/>
        <v>12.636571428571429</v>
      </c>
      <c r="T36" s="30">
        <f t="shared" si="2"/>
        <v>17.071238095238094</v>
      </c>
      <c r="U36" s="25">
        <v>68</v>
      </c>
      <c r="V36" s="31">
        <f t="shared" si="3"/>
        <v>144.16</v>
      </c>
      <c r="W36" s="25">
        <v>106</v>
      </c>
      <c r="X36" s="25">
        <v>8</v>
      </c>
      <c r="Y36" s="25">
        <v>64</v>
      </c>
      <c r="Z36" s="31">
        <f t="shared" si="4"/>
        <v>200</v>
      </c>
      <c r="AA36" s="31">
        <f t="shared" si="5"/>
        <v>1</v>
      </c>
      <c r="AB36" s="31">
        <f t="shared" si="6"/>
        <v>8</v>
      </c>
      <c r="AC36" s="31" t="str">
        <f t="shared" si="7"/>
        <v/>
      </c>
      <c r="AD36" s="31" t="str">
        <f t="shared" si="8"/>
        <v/>
      </c>
      <c r="AE36" s="31" t="str">
        <f t="shared" si="9"/>
        <v/>
      </c>
      <c r="AF36" s="31" t="str">
        <f t="shared" si="10"/>
        <v/>
      </c>
      <c r="AG36" s="25">
        <v>9</v>
      </c>
      <c r="AH36" s="25">
        <v>0</v>
      </c>
      <c r="AI36" s="25">
        <v>0</v>
      </c>
      <c r="AJ36" s="23" t="s">
        <v>110</v>
      </c>
      <c r="AK36" s="23" t="s">
        <v>92</v>
      </c>
      <c r="AL36" s="25">
        <v>620</v>
      </c>
      <c r="AO36" s="32" t="str">
        <f t="shared" si="11"/>
        <v>2 doors</v>
      </c>
      <c r="AQ36" s="23" t="s">
        <v>32</v>
      </c>
      <c r="AR36" s="23" t="str">
        <f t="shared" si="13"/>
        <v>CC</v>
      </c>
      <c r="AS36" s="34">
        <f t="shared" si="12"/>
        <v>700</v>
      </c>
      <c r="AT36" s="23">
        <v>7</v>
      </c>
      <c r="AU36" s="23">
        <v>0</v>
      </c>
      <c r="AV36" s="23">
        <v>0</v>
      </c>
    </row>
    <row r="37" spans="1:48">
      <c r="A37" s="25">
        <v>620</v>
      </c>
      <c r="D37" s="23">
        <v>2</v>
      </c>
      <c r="E37" s="25" t="s">
        <v>85</v>
      </c>
      <c r="F37" s="25" t="s">
        <v>85</v>
      </c>
      <c r="G37" s="23" t="s">
        <v>27</v>
      </c>
      <c r="H37" s="23" t="s">
        <v>107</v>
      </c>
      <c r="I37" s="25">
        <v>1958</v>
      </c>
      <c r="J37" s="35">
        <v>30</v>
      </c>
      <c r="K37" s="35">
        <v>40</v>
      </c>
      <c r="L37" s="35">
        <v>20</v>
      </c>
      <c r="M37" s="25">
        <v>10</v>
      </c>
      <c r="N37" s="25">
        <v>10</v>
      </c>
      <c r="R37" s="30">
        <f t="shared" si="0"/>
        <v>20</v>
      </c>
      <c r="S37" s="30">
        <f t="shared" si="1"/>
        <v>12.636571428571429</v>
      </c>
      <c r="T37" s="30">
        <f t="shared" si="2"/>
        <v>17.071238095238094</v>
      </c>
      <c r="U37" s="25">
        <v>68</v>
      </c>
      <c r="V37" s="31">
        <f t="shared" si="3"/>
        <v>144.16</v>
      </c>
      <c r="W37" s="25">
        <v>106</v>
      </c>
      <c r="X37" s="25">
        <v>8</v>
      </c>
      <c r="Y37" s="25">
        <v>64</v>
      </c>
      <c r="Z37" s="31">
        <f t="shared" si="4"/>
        <v>200</v>
      </c>
      <c r="AA37" s="31">
        <f t="shared" si="5"/>
        <v>1</v>
      </c>
      <c r="AB37" s="31">
        <f t="shared" si="6"/>
        <v>8</v>
      </c>
      <c r="AC37" s="31" t="str">
        <f t="shared" si="7"/>
        <v/>
      </c>
      <c r="AD37" s="31" t="str">
        <f t="shared" si="8"/>
        <v/>
      </c>
      <c r="AE37" s="31" t="str">
        <f t="shared" si="9"/>
        <v/>
      </c>
      <c r="AF37" s="31" t="str">
        <f t="shared" si="10"/>
        <v/>
      </c>
      <c r="AG37" s="25">
        <v>9</v>
      </c>
      <c r="AH37" s="25">
        <v>0</v>
      </c>
      <c r="AI37" s="25">
        <v>0</v>
      </c>
      <c r="AJ37" s="23" t="s">
        <v>110</v>
      </c>
      <c r="AK37" s="23" t="s">
        <v>92</v>
      </c>
      <c r="AL37" s="25">
        <v>620</v>
      </c>
      <c r="AO37" s="32" t="str">
        <f t="shared" si="11"/>
        <v>2 doors</v>
      </c>
      <c r="AQ37" s="23" t="s">
        <v>32</v>
      </c>
      <c r="AR37" s="23" t="str">
        <f t="shared" si="13"/>
        <v>Hungary</v>
      </c>
      <c r="AS37" s="34">
        <f t="shared" si="12"/>
        <v>700.01</v>
      </c>
      <c r="AT37" s="23">
        <v>7</v>
      </c>
      <c r="AU37" s="23">
        <v>0</v>
      </c>
      <c r="AV37" s="23">
        <v>1</v>
      </c>
    </row>
    <row r="38" spans="1:48">
      <c r="A38" s="25">
        <v>630</v>
      </c>
      <c r="D38" s="23">
        <v>1</v>
      </c>
      <c r="E38" s="25" t="s">
        <v>30</v>
      </c>
      <c r="F38" s="25" t="s">
        <v>30</v>
      </c>
      <c r="G38" s="23" t="s">
        <v>27</v>
      </c>
      <c r="H38" s="23" t="s">
        <v>138</v>
      </c>
      <c r="I38" s="25">
        <v>1958</v>
      </c>
      <c r="J38" s="35">
        <v>30</v>
      </c>
      <c r="K38" s="35">
        <v>40</v>
      </c>
      <c r="L38" s="35">
        <v>20</v>
      </c>
      <c r="M38" s="25">
        <v>10</v>
      </c>
      <c r="R38" s="30">
        <f t="shared" si="0"/>
        <v>10</v>
      </c>
      <c r="S38" s="30">
        <f t="shared" si="1"/>
        <v>11.922285714285714</v>
      </c>
      <c r="T38" s="30">
        <f t="shared" si="2"/>
        <v>16.316952380952383</v>
      </c>
      <c r="U38" s="25">
        <v>78</v>
      </c>
      <c r="V38" s="31">
        <f t="shared" si="3"/>
        <v>144.16</v>
      </c>
      <c r="W38" s="25">
        <v>106</v>
      </c>
      <c r="X38" s="25">
        <v>8</v>
      </c>
      <c r="Y38" s="25">
        <v>58</v>
      </c>
      <c r="Z38" s="31">
        <f t="shared" si="4"/>
        <v>150</v>
      </c>
      <c r="AA38" s="31">
        <f t="shared" si="5"/>
        <v>1</v>
      </c>
      <c r="AB38" s="31">
        <f t="shared" si="6"/>
        <v>8</v>
      </c>
      <c r="AC38" s="31" t="str">
        <f t="shared" si="7"/>
        <v/>
      </c>
      <c r="AD38" s="31" t="str">
        <f t="shared" si="8"/>
        <v/>
      </c>
      <c r="AE38" s="31" t="str">
        <f t="shared" si="9"/>
        <v/>
      </c>
      <c r="AF38" s="31" t="str">
        <f t="shared" si="10"/>
        <v/>
      </c>
      <c r="AG38" s="25">
        <v>9</v>
      </c>
      <c r="AH38" s="25">
        <v>0</v>
      </c>
      <c r="AI38" s="25">
        <v>0</v>
      </c>
      <c r="AJ38" s="23" t="s">
        <v>110</v>
      </c>
      <c r="AK38" s="23" t="s">
        <v>92</v>
      </c>
      <c r="AL38" s="25">
        <v>630</v>
      </c>
      <c r="AO38" s="32" t="str">
        <f t="shared" si="11"/>
        <v>1 door</v>
      </c>
      <c r="AQ38" s="23" t="s">
        <v>47</v>
      </c>
      <c r="AR38" s="23" t="str">
        <f t="shared" si="13"/>
        <v>CC</v>
      </c>
      <c r="AS38" s="34">
        <f t="shared" si="12"/>
        <v>720</v>
      </c>
      <c r="AT38" s="23">
        <v>7</v>
      </c>
      <c r="AU38" s="23">
        <v>20</v>
      </c>
      <c r="AV38" s="23">
        <v>0</v>
      </c>
    </row>
    <row r="39" spans="1:48">
      <c r="A39" s="25">
        <v>630</v>
      </c>
      <c r="D39" s="23">
        <v>1</v>
      </c>
      <c r="E39" s="25" t="s">
        <v>46</v>
      </c>
      <c r="F39" s="25" t="s">
        <v>46</v>
      </c>
      <c r="G39" s="23" t="s">
        <v>27</v>
      </c>
      <c r="H39" s="23" t="s">
        <v>138</v>
      </c>
      <c r="I39" s="25">
        <v>1958</v>
      </c>
      <c r="J39" s="35">
        <v>30</v>
      </c>
      <c r="K39" s="35">
        <v>40</v>
      </c>
      <c r="L39" s="35">
        <v>20</v>
      </c>
      <c r="M39" s="25">
        <v>10</v>
      </c>
      <c r="R39" s="30">
        <f t="shared" si="0"/>
        <v>10</v>
      </c>
      <c r="S39" s="30">
        <f t="shared" si="1"/>
        <v>11.922285714285714</v>
      </c>
      <c r="T39" s="30">
        <f t="shared" si="2"/>
        <v>16.316952380952383</v>
      </c>
      <c r="U39" s="25">
        <v>78</v>
      </c>
      <c r="V39" s="31">
        <f t="shared" si="3"/>
        <v>144.16</v>
      </c>
      <c r="W39" s="25">
        <v>106</v>
      </c>
      <c r="X39" s="25">
        <v>8</v>
      </c>
      <c r="Y39" s="25">
        <v>58</v>
      </c>
      <c r="Z39" s="31">
        <f t="shared" si="4"/>
        <v>150</v>
      </c>
      <c r="AA39" s="31">
        <f t="shared" si="5"/>
        <v>1</v>
      </c>
      <c r="AB39" s="31">
        <f t="shared" si="6"/>
        <v>8</v>
      </c>
      <c r="AC39" s="31" t="str">
        <f t="shared" si="7"/>
        <v/>
      </c>
      <c r="AD39" s="31" t="str">
        <f t="shared" si="8"/>
        <v/>
      </c>
      <c r="AE39" s="31" t="str">
        <f t="shared" si="9"/>
        <v/>
      </c>
      <c r="AF39" s="31" t="str">
        <f t="shared" si="10"/>
        <v/>
      </c>
      <c r="AG39" s="25">
        <v>9</v>
      </c>
      <c r="AH39" s="25">
        <v>0</v>
      </c>
      <c r="AI39" s="25">
        <v>0</v>
      </c>
      <c r="AJ39" s="23" t="s">
        <v>110</v>
      </c>
      <c r="AK39" s="23" t="s">
        <v>92</v>
      </c>
      <c r="AL39" s="25">
        <v>630</v>
      </c>
      <c r="AO39" s="32" t="str">
        <f t="shared" si="11"/>
        <v>1 door</v>
      </c>
      <c r="AQ39" s="23" t="s">
        <v>47</v>
      </c>
      <c r="AR39" s="23" t="str">
        <f t="shared" si="13"/>
        <v>Hungary</v>
      </c>
      <c r="AS39" s="34">
        <f t="shared" si="12"/>
        <v>720.01</v>
      </c>
      <c r="AT39" s="23">
        <v>7</v>
      </c>
      <c r="AU39" s="23">
        <v>20</v>
      </c>
      <c r="AV39" s="23">
        <v>1</v>
      </c>
    </row>
    <row r="40" spans="1:48">
      <c r="A40" s="25">
        <v>622</v>
      </c>
      <c r="B40" s="23" t="s">
        <v>134</v>
      </c>
      <c r="C40" s="23" t="s">
        <v>132</v>
      </c>
      <c r="D40" s="23">
        <v>3</v>
      </c>
      <c r="E40" s="25" t="s">
        <v>30</v>
      </c>
      <c r="F40" s="25" t="s">
        <v>30</v>
      </c>
      <c r="G40" s="23" t="s">
        <v>27</v>
      </c>
      <c r="H40" s="23" t="s">
        <v>136</v>
      </c>
      <c r="I40" s="25">
        <v>1961</v>
      </c>
      <c r="J40" s="35">
        <v>30</v>
      </c>
      <c r="K40" s="35">
        <v>40</v>
      </c>
      <c r="L40" s="35">
        <v>20</v>
      </c>
      <c r="M40" s="25">
        <v>10</v>
      </c>
      <c r="N40" s="25">
        <v>10</v>
      </c>
      <c r="O40" s="25">
        <v>10</v>
      </c>
      <c r="R40" s="30">
        <f t="shared" si="0"/>
        <v>30</v>
      </c>
      <c r="S40" s="30">
        <f t="shared" si="1"/>
        <v>15.350857142857143</v>
      </c>
      <c r="T40" s="30">
        <f t="shared" si="2"/>
        <v>18.718857142857143</v>
      </c>
      <c r="U40" s="25">
        <v>61</v>
      </c>
      <c r="V40" s="31">
        <f t="shared" si="3"/>
        <v>144.16</v>
      </c>
      <c r="W40" s="25">
        <v>106</v>
      </c>
      <c r="X40" s="25">
        <v>12</v>
      </c>
      <c r="Y40" s="25">
        <v>144</v>
      </c>
      <c r="Z40" s="31">
        <f t="shared" si="4"/>
        <v>200</v>
      </c>
      <c r="AA40" s="31">
        <f t="shared" si="5"/>
        <v>8</v>
      </c>
      <c r="AB40" s="31" t="str">
        <f t="shared" si="6"/>
        <v/>
      </c>
      <c r="AC40" s="31">
        <f t="shared" si="7"/>
        <v>7</v>
      </c>
      <c r="AD40" s="31" t="str">
        <f t="shared" si="8"/>
        <v/>
      </c>
      <c r="AE40" s="31" t="str">
        <f t="shared" si="9"/>
        <v/>
      </c>
      <c r="AF40" s="31" t="str">
        <f t="shared" si="10"/>
        <v/>
      </c>
      <c r="AG40" s="25">
        <v>8</v>
      </c>
      <c r="AH40" s="25">
        <v>7</v>
      </c>
      <c r="AI40" s="25">
        <v>0</v>
      </c>
      <c r="AJ40" s="23" t="s">
        <v>110</v>
      </c>
      <c r="AK40" s="23" t="s">
        <v>92</v>
      </c>
      <c r="AL40" s="25">
        <v>622</v>
      </c>
      <c r="AO40" s="32" t="str">
        <f t="shared" si="11"/>
        <v>3 doors</v>
      </c>
      <c r="AQ40" s="23" t="s">
        <v>32</v>
      </c>
      <c r="AR40" s="23" t="str">
        <f t="shared" si="13"/>
        <v>CC</v>
      </c>
      <c r="AS40" s="34">
        <f t="shared" si="12"/>
        <v>740</v>
      </c>
      <c r="AT40" s="23">
        <v>7</v>
      </c>
      <c r="AU40" s="23">
        <v>40</v>
      </c>
      <c r="AV40" s="23">
        <v>0</v>
      </c>
    </row>
    <row r="41" spans="1:48">
      <c r="A41" s="25">
        <v>622</v>
      </c>
      <c r="B41" s="23" t="s">
        <v>134</v>
      </c>
      <c r="C41" s="23" t="s">
        <v>132</v>
      </c>
      <c r="D41" s="23">
        <v>3</v>
      </c>
      <c r="E41" s="25" t="s">
        <v>85</v>
      </c>
      <c r="F41" s="25" t="s">
        <v>85</v>
      </c>
      <c r="G41" s="23" t="s">
        <v>27</v>
      </c>
      <c r="H41" s="23" t="s">
        <v>136</v>
      </c>
      <c r="I41" s="25">
        <v>1961</v>
      </c>
      <c r="J41" s="35">
        <v>30</v>
      </c>
      <c r="K41" s="35">
        <v>40</v>
      </c>
      <c r="L41" s="35">
        <v>20</v>
      </c>
      <c r="M41" s="25">
        <v>10</v>
      </c>
      <c r="N41" s="25">
        <v>10</v>
      </c>
      <c r="O41" s="25">
        <v>10</v>
      </c>
      <c r="R41" s="30">
        <f t="shared" si="0"/>
        <v>30</v>
      </c>
      <c r="S41" s="30">
        <f t="shared" si="1"/>
        <v>15.350857142857143</v>
      </c>
      <c r="T41" s="30">
        <f t="shared" si="2"/>
        <v>18.718857142857143</v>
      </c>
      <c r="U41" s="25">
        <v>61</v>
      </c>
      <c r="V41" s="31">
        <f t="shared" si="3"/>
        <v>144.16</v>
      </c>
      <c r="W41" s="25">
        <v>106</v>
      </c>
      <c r="X41" s="25">
        <v>12</v>
      </c>
      <c r="Y41" s="25">
        <v>144</v>
      </c>
      <c r="Z41" s="31">
        <f t="shared" si="4"/>
        <v>200</v>
      </c>
      <c r="AA41" s="31">
        <f t="shared" si="5"/>
        <v>8</v>
      </c>
      <c r="AB41" s="31" t="str">
        <f t="shared" si="6"/>
        <v/>
      </c>
      <c r="AC41" s="31">
        <f t="shared" si="7"/>
        <v>7</v>
      </c>
      <c r="AD41" s="31" t="str">
        <f t="shared" si="8"/>
        <v/>
      </c>
      <c r="AE41" s="31" t="str">
        <f t="shared" si="9"/>
        <v/>
      </c>
      <c r="AF41" s="31" t="str">
        <f t="shared" si="10"/>
        <v/>
      </c>
      <c r="AG41" s="25">
        <v>8</v>
      </c>
      <c r="AH41" s="25">
        <v>7</v>
      </c>
      <c r="AI41" s="25">
        <v>0</v>
      </c>
      <c r="AJ41" s="23" t="s">
        <v>110</v>
      </c>
      <c r="AK41" s="23" t="s">
        <v>92</v>
      </c>
      <c r="AL41" s="25">
        <v>622</v>
      </c>
      <c r="AO41" s="32" t="str">
        <f t="shared" si="11"/>
        <v>3 doors</v>
      </c>
      <c r="AQ41" s="23" t="s">
        <v>32</v>
      </c>
      <c r="AR41" s="23" t="str">
        <f t="shared" si="13"/>
        <v>Hungary</v>
      </c>
      <c r="AS41" s="34">
        <f t="shared" si="12"/>
        <v>740.01</v>
      </c>
      <c r="AT41" s="23">
        <v>7</v>
      </c>
      <c r="AU41" s="23">
        <v>40</v>
      </c>
      <c r="AV41" s="23">
        <v>1</v>
      </c>
    </row>
    <row r="42" spans="1:48">
      <c r="A42" s="25">
        <v>622</v>
      </c>
      <c r="B42" s="23" t="s">
        <v>133</v>
      </c>
      <c r="C42" s="23" t="s">
        <v>131</v>
      </c>
      <c r="D42" s="23">
        <v>3</v>
      </c>
      <c r="E42" s="25" t="s">
        <v>30</v>
      </c>
      <c r="F42" s="25" t="s">
        <v>30</v>
      </c>
      <c r="G42" s="23" t="s">
        <v>27</v>
      </c>
      <c r="H42" s="23" t="s">
        <v>137</v>
      </c>
      <c r="I42" s="25">
        <v>1962</v>
      </c>
      <c r="J42" s="35">
        <v>30</v>
      </c>
      <c r="K42" s="35">
        <v>40</v>
      </c>
      <c r="L42" s="35">
        <v>20</v>
      </c>
      <c r="M42" s="25">
        <v>10</v>
      </c>
      <c r="N42" s="25">
        <v>10</v>
      </c>
      <c r="O42" s="25">
        <v>10</v>
      </c>
      <c r="R42" s="30">
        <f t="shared" si="0"/>
        <v>30</v>
      </c>
      <c r="S42" s="30">
        <f t="shared" si="1"/>
        <v>14.850857142857143</v>
      </c>
      <c r="T42" s="30">
        <f t="shared" si="2"/>
        <v>18.538857142857143</v>
      </c>
      <c r="U42" s="25">
        <v>61</v>
      </c>
      <c r="V42" s="31">
        <f t="shared" si="3"/>
        <v>144.16</v>
      </c>
      <c r="W42" s="25">
        <v>106</v>
      </c>
      <c r="X42" s="25">
        <v>11</v>
      </c>
      <c r="Y42" s="25">
        <v>132</v>
      </c>
      <c r="Z42" s="31">
        <f t="shared" si="4"/>
        <v>200</v>
      </c>
      <c r="AA42" s="31">
        <f t="shared" si="5"/>
        <v>8</v>
      </c>
      <c r="AB42" s="31" t="str">
        <f t="shared" si="6"/>
        <v/>
      </c>
      <c r="AC42" s="31">
        <f t="shared" si="7"/>
        <v>6</v>
      </c>
      <c r="AD42" s="31" t="str">
        <f t="shared" si="8"/>
        <v/>
      </c>
      <c r="AE42" s="31" t="str">
        <f t="shared" si="9"/>
        <v/>
      </c>
      <c r="AF42" s="31" t="str">
        <f t="shared" si="10"/>
        <v/>
      </c>
      <c r="AG42" s="25">
        <v>8</v>
      </c>
      <c r="AH42" s="25">
        <v>6</v>
      </c>
      <c r="AI42" s="25">
        <v>0</v>
      </c>
      <c r="AJ42" s="23" t="s">
        <v>110</v>
      </c>
      <c r="AK42" s="23" t="s">
        <v>92</v>
      </c>
      <c r="AL42" s="25">
        <v>622</v>
      </c>
      <c r="AO42" s="32" t="str">
        <f t="shared" si="11"/>
        <v>3 doors</v>
      </c>
      <c r="AQ42" s="23" t="s">
        <v>32</v>
      </c>
      <c r="AR42" s="23" t="str">
        <f t="shared" si="13"/>
        <v>CC</v>
      </c>
      <c r="AS42" s="34">
        <f t="shared" si="12"/>
        <v>750</v>
      </c>
      <c r="AT42" s="23">
        <v>7</v>
      </c>
      <c r="AU42" s="23">
        <v>50</v>
      </c>
      <c r="AV42" s="23">
        <v>0</v>
      </c>
    </row>
    <row r="43" spans="1:48">
      <c r="A43" s="25">
        <v>622</v>
      </c>
      <c r="B43" s="23" t="s">
        <v>133</v>
      </c>
      <c r="C43" s="23" t="s">
        <v>131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137</v>
      </c>
      <c r="I43" s="25">
        <v>1962</v>
      </c>
      <c r="J43" s="35">
        <v>30</v>
      </c>
      <c r="K43" s="35">
        <v>40</v>
      </c>
      <c r="L43" s="35">
        <v>20</v>
      </c>
      <c r="M43" s="25">
        <v>10</v>
      </c>
      <c r="N43" s="25">
        <v>10</v>
      </c>
      <c r="O43" s="25">
        <v>10</v>
      </c>
      <c r="R43" s="30">
        <f t="shared" si="0"/>
        <v>30</v>
      </c>
      <c r="S43" s="30">
        <f t="shared" si="1"/>
        <v>14.850857142857143</v>
      </c>
      <c r="T43" s="30">
        <f t="shared" si="2"/>
        <v>18.538857142857143</v>
      </c>
      <c r="U43" s="25">
        <v>61</v>
      </c>
      <c r="V43" s="31">
        <f t="shared" si="3"/>
        <v>144.16</v>
      </c>
      <c r="W43" s="25">
        <v>106</v>
      </c>
      <c r="X43" s="25">
        <v>11</v>
      </c>
      <c r="Y43" s="25">
        <v>132</v>
      </c>
      <c r="Z43" s="31">
        <f t="shared" si="4"/>
        <v>200</v>
      </c>
      <c r="AA43" s="31">
        <f t="shared" si="5"/>
        <v>8</v>
      </c>
      <c r="AB43" s="31" t="str">
        <f t="shared" si="6"/>
        <v/>
      </c>
      <c r="AC43" s="31">
        <f t="shared" si="7"/>
        <v>6</v>
      </c>
      <c r="AD43" s="31" t="str">
        <f t="shared" si="8"/>
        <v/>
      </c>
      <c r="AE43" s="31" t="str">
        <f t="shared" si="9"/>
        <v/>
      </c>
      <c r="AF43" s="31" t="str">
        <f t="shared" si="10"/>
        <v/>
      </c>
      <c r="AG43" s="25">
        <v>8</v>
      </c>
      <c r="AH43" s="25">
        <v>6</v>
      </c>
      <c r="AI43" s="25">
        <v>0</v>
      </c>
      <c r="AJ43" s="23" t="s">
        <v>110</v>
      </c>
      <c r="AK43" s="23" t="s">
        <v>92</v>
      </c>
      <c r="AL43" s="25">
        <v>622</v>
      </c>
      <c r="AO43" s="32" t="str">
        <f t="shared" si="11"/>
        <v>3 doors</v>
      </c>
      <c r="AQ43" s="23" t="s">
        <v>32</v>
      </c>
      <c r="AR43" s="23" t="str">
        <f t="shared" si="13"/>
        <v>Hungary</v>
      </c>
      <c r="AS43" s="34">
        <f t="shared" si="12"/>
        <v>750.01</v>
      </c>
      <c r="AT43" s="23">
        <v>7</v>
      </c>
      <c r="AU43" s="23">
        <v>50</v>
      </c>
      <c r="AV43" s="23">
        <v>1</v>
      </c>
    </row>
    <row r="44" spans="1:48">
      <c r="A44" s="25">
        <v>556</v>
      </c>
      <c r="D44" s="23">
        <v>3</v>
      </c>
      <c r="E44" s="25" t="s">
        <v>30</v>
      </c>
      <c r="F44" s="25" t="s">
        <v>30</v>
      </c>
      <c r="G44" s="23" t="s">
        <v>27</v>
      </c>
      <c r="H44" s="23" t="s">
        <v>101</v>
      </c>
      <c r="I44" s="25">
        <v>1965</v>
      </c>
      <c r="J44" s="35">
        <v>30</v>
      </c>
      <c r="K44" s="35">
        <v>40</v>
      </c>
      <c r="L44" s="35">
        <v>20</v>
      </c>
      <c r="M44" s="25">
        <v>5</v>
      </c>
      <c r="N44" s="25">
        <v>10</v>
      </c>
      <c r="O44" s="25">
        <v>12</v>
      </c>
      <c r="R44" s="30">
        <f t="shared" si="0"/>
        <v>27</v>
      </c>
      <c r="S44" s="30">
        <f t="shared" si="1"/>
        <v>15.51657142857143</v>
      </c>
      <c r="T44" s="30">
        <f t="shared" si="2"/>
        <v>22.571238095238094</v>
      </c>
      <c r="U44" s="25">
        <v>63</v>
      </c>
      <c r="V44" s="31">
        <f t="shared" si="3"/>
        <v>191.76000000000002</v>
      </c>
      <c r="W44" s="25">
        <v>141</v>
      </c>
      <c r="X44" s="25">
        <v>8</v>
      </c>
      <c r="Y44" s="25">
        <v>100</v>
      </c>
      <c r="Z44" s="31">
        <f t="shared" si="4"/>
        <v>200</v>
      </c>
      <c r="AA44" s="31">
        <f t="shared" si="5"/>
        <v>2</v>
      </c>
      <c r="AB44" s="31">
        <f t="shared" si="6"/>
        <v>8</v>
      </c>
      <c r="AC44" s="31" t="str">
        <f t="shared" si="7"/>
        <v/>
      </c>
      <c r="AD44" s="31" t="str">
        <f t="shared" si="8"/>
        <v/>
      </c>
      <c r="AE44" s="31" t="str">
        <f t="shared" si="9"/>
        <v/>
      </c>
      <c r="AF44" s="31" t="str">
        <f t="shared" si="10"/>
        <v/>
      </c>
      <c r="AG44" s="25">
        <v>10</v>
      </c>
      <c r="AH44" s="25">
        <v>0</v>
      </c>
      <c r="AI44" s="25">
        <v>0</v>
      </c>
      <c r="AJ44" s="23" t="s">
        <v>110</v>
      </c>
      <c r="AK44" s="23" t="s">
        <v>92</v>
      </c>
      <c r="AL44" s="25">
        <v>556</v>
      </c>
      <c r="AO44" s="32" t="str">
        <f t="shared" si="11"/>
        <v>3 doors</v>
      </c>
      <c r="AQ44" s="23" t="s">
        <v>32</v>
      </c>
      <c r="AR44" s="23" t="str">
        <f t="shared" si="13"/>
        <v>CC</v>
      </c>
      <c r="AS44" s="34">
        <f t="shared" si="12"/>
        <v>800</v>
      </c>
      <c r="AT44" s="23">
        <v>8</v>
      </c>
      <c r="AU44" s="23">
        <v>0</v>
      </c>
      <c r="AV44" s="23">
        <v>0</v>
      </c>
    </row>
    <row r="45" spans="1:48">
      <c r="A45" s="25">
        <v>556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101</v>
      </c>
      <c r="I45" s="25">
        <v>1965</v>
      </c>
      <c r="J45" s="35">
        <v>30</v>
      </c>
      <c r="K45" s="35">
        <v>40</v>
      </c>
      <c r="L45" s="35">
        <v>20</v>
      </c>
      <c r="M45" s="25">
        <v>5</v>
      </c>
      <c r="N45" s="25">
        <v>10</v>
      </c>
      <c r="O45" s="25">
        <v>12</v>
      </c>
      <c r="R45" s="30">
        <f t="shared" si="0"/>
        <v>27</v>
      </c>
      <c r="S45" s="30">
        <f t="shared" si="1"/>
        <v>15.51657142857143</v>
      </c>
      <c r="T45" s="30">
        <f t="shared" si="2"/>
        <v>22.571238095238094</v>
      </c>
      <c r="U45" s="25">
        <v>63</v>
      </c>
      <c r="V45" s="31">
        <f t="shared" si="3"/>
        <v>191.76000000000002</v>
      </c>
      <c r="W45" s="25">
        <v>141</v>
      </c>
      <c r="X45" s="25">
        <v>8</v>
      </c>
      <c r="Y45" s="25">
        <v>100</v>
      </c>
      <c r="Z45" s="31">
        <f t="shared" si="4"/>
        <v>200</v>
      </c>
      <c r="AA45" s="31">
        <f t="shared" si="5"/>
        <v>2</v>
      </c>
      <c r="AB45" s="31">
        <f t="shared" si="6"/>
        <v>8</v>
      </c>
      <c r="AC45" s="31" t="str">
        <f t="shared" si="7"/>
        <v/>
      </c>
      <c r="AD45" s="31" t="str">
        <f t="shared" si="8"/>
        <v/>
      </c>
      <c r="AE45" s="31" t="str">
        <f t="shared" si="9"/>
        <v/>
      </c>
      <c r="AF45" s="31" t="str">
        <f t="shared" si="10"/>
        <v/>
      </c>
      <c r="AG45" s="25">
        <v>10</v>
      </c>
      <c r="AH45" s="25">
        <v>0</v>
      </c>
      <c r="AI45" s="25">
        <v>0</v>
      </c>
      <c r="AJ45" s="23" t="s">
        <v>110</v>
      </c>
      <c r="AK45" s="23" t="s">
        <v>92</v>
      </c>
      <c r="AL45" s="25">
        <v>556</v>
      </c>
      <c r="AO45" s="32" t="str">
        <f t="shared" si="11"/>
        <v>3 doors</v>
      </c>
      <c r="AQ45" s="23" t="s">
        <v>32</v>
      </c>
      <c r="AR45" s="23" t="str">
        <f t="shared" si="13"/>
        <v>Hungary</v>
      </c>
      <c r="AS45" s="34">
        <f t="shared" si="12"/>
        <v>800.01</v>
      </c>
      <c r="AT45" s="23">
        <v>8</v>
      </c>
      <c r="AU45" s="23">
        <v>0</v>
      </c>
      <c r="AV45" s="23">
        <v>1</v>
      </c>
    </row>
    <row r="46" spans="1:48">
      <c r="A46" s="25">
        <v>557</v>
      </c>
      <c r="D46" s="23">
        <v>1</v>
      </c>
      <c r="E46" s="25" t="s">
        <v>30</v>
      </c>
      <c r="F46" s="25" t="s">
        <v>30</v>
      </c>
      <c r="G46" s="23" t="s">
        <v>27</v>
      </c>
      <c r="H46" s="23" t="s">
        <v>102</v>
      </c>
      <c r="I46" s="25">
        <v>1964</v>
      </c>
      <c r="J46" s="35">
        <v>30</v>
      </c>
      <c r="K46" s="35">
        <v>40</v>
      </c>
      <c r="L46" s="35">
        <v>20</v>
      </c>
      <c r="M46" s="25">
        <v>5</v>
      </c>
      <c r="R46" s="30">
        <f t="shared" si="0"/>
        <v>5</v>
      </c>
      <c r="S46" s="30">
        <f t="shared" si="1"/>
        <v>13.945142857142859</v>
      </c>
      <c r="T46" s="30">
        <f t="shared" si="2"/>
        <v>20.659809523809528</v>
      </c>
      <c r="U46" s="25">
        <v>103</v>
      </c>
      <c r="V46" s="31">
        <f t="shared" si="3"/>
        <v>191.76000000000002</v>
      </c>
      <c r="W46" s="25">
        <v>141</v>
      </c>
      <c r="X46" s="25">
        <v>8</v>
      </c>
      <c r="Y46" s="25">
        <v>49</v>
      </c>
      <c r="Z46" s="31">
        <f t="shared" si="4"/>
        <v>150</v>
      </c>
      <c r="AA46" s="31">
        <f t="shared" si="5"/>
        <v>2</v>
      </c>
      <c r="AB46" s="31">
        <f t="shared" si="6"/>
        <v>8</v>
      </c>
      <c r="AC46" s="31" t="str">
        <f t="shared" si="7"/>
        <v/>
      </c>
      <c r="AD46" s="31" t="str">
        <f t="shared" si="8"/>
        <v/>
      </c>
      <c r="AE46" s="31" t="str">
        <f t="shared" si="9"/>
        <v/>
      </c>
      <c r="AF46" s="31" t="str">
        <f t="shared" si="10"/>
        <v/>
      </c>
      <c r="AG46" s="25">
        <v>10</v>
      </c>
      <c r="AH46" s="25">
        <v>0</v>
      </c>
      <c r="AI46" s="25">
        <v>0</v>
      </c>
      <c r="AJ46" s="23" t="s">
        <v>110</v>
      </c>
      <c r="AK46" s="23" t="s">
        <v>92</v>
      </c>
      <c r="AL46" s="25">
        <v>557</v>
      </c>
      <c r="AO46" s="32" t="str">
        <f t="shared" si="11"/>
        <v>1 door</v>
      </c>
      <c r="AQ46" s="23" t="s">
        <v>47</v>
      </c>
      <c r="AR46" s="23" t="str">
        <f t="shared" si="13"/>
        <v>CC</v>
      </c>
      <c r="AS46" s="34">
        <f t="shared" si="12"/>
        <v>820</v>
      </c>
      <c r="AT46" s="23">
        <v>8</v>
      </c>
      <c r="AU46" s="23">
        <v>20</v>
      </c>
      <c r="AV46" s="23">
        <v>0</v>
      </c>
    </row>
    <row r="47" spans="1:48">
      <c r="A47" s="25" t="s">
        <v>108</v>
      </c>
      <c r="D47" s="23">
        <v>2</v>
      </c>
      <c r="E47" s="25" t="s">
        <v>30</v>
      </c>
      <c r="F47" s="25" t="s">
        <v>30</v>
      </c>
      <c r="G47" s="23" t="s">
        <v>27</v>
      </c>
      <c r="H47" s="23" t="s">
        <v>100</v>
      </c>
      <c r="I47" s="25">
        <v>1969</v>
      </c>
      <c r="J47" s="35">
        <v>30</v>
      </c>
      <c r="K47" s="35">
        <v>40</v>
      </c>
      <c r="L47" s="35">
        <v>20</v>
      </c>
      <c r="M47" s="25">
        <v>5</v>
      </c>
      <c r="N47" s="25">
        <v>12</v>
      </c>
      <c r="R47" s="30">
        <f t="shared" si="0"/>
        <v>17</v>
      </c>
      <c r="S47" s="30">
        <f t="shared" si="1"/>
        <v>16.802285714285716</v>
      </c>
      <c r="T47" s="30">
        <f t="shared" si="2"/>
        <v>22.423619047619052</v>
      </c>
      <c r="U47" s="25">
        <v>63</v>
      </c>
      <c r="V47" s="31">
        <f t="shared" si="3"/>
        <v>191.76000000000002</v>
      </c>
      <c r="W47" s="25">
        <v>141</v>
      </c>
      <c r="X47" s="25">
        <v>12</v>
      </c>
      <c r="Y47" s="25">
        <v>125</v>
      </c>
      <c r="Z47" s="31">
        <f t="shared" si="4"/>
        <v>200</v>
      </c>
      <c r="AA47" s="31">
        <f t="shared" si="5"/>
        <v>2</v>
      </c>
      <c r="AB47" s="31">
        <f t="shared" si="6"/>
        <v>8</v>
      </c>
      <c r="AC47" s="31" t="str">
        <f t="shared" si="7"/>
        <v/>
      </c>
      <c r="AD47" s="31" t="str">
        <f t="shared" si="8"/>
        <v/>
      </c>
      <c r="AE47" s="31" t="str">
        <f t="shared" si="9"/>
        <v/>
      </c>
      <c r="AF47" s="31" t="str">
        <f t="shared" si="10"/>
        <v/>
      </c>
      <c r="AG47" s="25">
        <v>10</v>
      </c>
      <c r="AH47" s="25">
        <v>0</v>
      </c>
      <c r="AI47" s="25">
        <v>0</v>
      </c>
      <c r="AJ47" s="23" t="s">
        <v>110</v>
      </c>
      <c r="AK47" s="23" t="s">
        <v>92</v>
      </c>
      <c r="AL47" s="25" t="s">
        <v>108</v>
      </c>
      <c r="AO47" s="32" t="str">
        <f t="shared" si="11"/>
        <v>2 doors</v>
      </c>
      <c r="AQ47" s="23" t="s">
        <v>32</v>
      </c>
      <c r="AR47" s="23" t="str">
        <f t="shared" si="13"/>
        <v>CC</v>
      </c>
      <c r="AS47" s="34">
        <f t="shared" si="12"/>
        <v>840</v>
      </c>
      <c r="AT47" s="23">
        <v>8</v>
      </c>
      <c r="AU47" s="23">
        <v>40</v>
      </c>
      <c r="AV47" s="23">
        <v>0</v>
      </c>
    </row>
    <row r="48" spans="1:48">
      <c r="A48" s="25" t="s">
        <v>108</v>
      </c>
      <c r="D48" s="23">
        <v>2</v>
      </c>
      <c r="E48" s="25" t="s">
        <v>95</v>
      </c>
      <c r="F48" s="25" t="s">
        <v>95</v>
      </c>
      <c r="G48" s="23" t="s">
        <v>27</v>
      </c>
      <c r="H48" s="23" t="s">
        <v>100</v>
      </c>
      <c r="I48" s="25">
        <v>1969</v>
      </c>
      <c r="J48" s="35">
        <v>30</v>
      </c>
      <c r="K48" s="35">
        <v>40</v>
      </c>
      <c r="L48" s="35">
        <v>20</v>
      </c>
      <c r="M48" s="25">
        <v>5</v>
      </c>
      <c r="N48" s="25">
        <v>12</v>
      </c>
      <c r="R48" s="30">
        <f t="shared" si="0"/>
        <v>17</v>
      </c>
      <c r="S48" s="30">
        <f t="shared" si="1"/>
        <v>16.802285714285716</v>
      </c>
      <c r="T48" s="30">
        <f t="shared" si="2"/>
        <v>22.423619047619052</v>
      </c>
      <c r="U48" s="25">
        <v>63</v>
      </c>
      <c r="V48" s="31">
        <f t="shared" si="3"/>
        <v>191.76000000000002</v>
      </c>
      <c r="W48" s="25">
        <v>141</v>
      </c>
      <c r="X48" s="25">
        <v>12</v>
      </c>
      <c r="Y48" s="25">
        <v>125</v>
      </c>
      <c r="Z48" s="31">
        <f t="shared" si="4"/>
        <v>200</v>
      </c>
      <c r="AA48" s="31">
        <f t="shared" si="5"/>
        <v>2</v>
      </c>
      <c r="AB48" s="31">
        <f t="shared" si="6"/>
        <v>8</v>
      </c>
      <c r="AC48" s="31" t="str">
        <f t="shared" si="7"/>
        <v/>
      </c>
      <c r="AD48" s="31" t="str">
        <f t="shared" si="8"/>
        <v/>
      </c>
      <c r="AE48" s="31" t="str">
        <f t="shared" si="9"/>
        <v/>
      </c>
      <c r="AF48" s="31" t="str">
        <f t="shared" si="10"/>
        <v/>
      </c>
      <c r="AG48" s="25">
        <v>10</v>
      </c>
      <c r="AH48" s="25">
        <v>0</v>
      </c>
      <c r="AI48" s="25">
        <v>0</v>
      </c>
      <c r="AJ48" s="23" t="s">
        <v>110</v>
      </c>
      <c r="AK48" s="23" t="s">
        <v>92</v>
      </c>
      <c r="AL48" s="25" t="s">
        <v>108</v>
      </c>
      <c r="AO48" s="32" t="str">
        <f t="shared" si="11"/>
        <v>2 doors</v>
      </c>
      <c r="AQ48" s="23" t="s">
        <v>32</v>
      </c>
      <c r="AR48" s="23" t="str">
        <f t="shared" si="13"/>
        <v>Hungary</v>
      </c>
      <c r="AS48" s="34">
        <f t="shared" si="12"/>
        <v>840.01</v>
      </c>
      <c r="AT48" s="23">
        <v>8</v>
      </c>
      <c r="AU48" s="23">
        <v>40</v>
      </c>
      <c r="AV48" s="23">
        <v>1</v>
      </c>
    </row>
    <row r="49" spans="1:48">
      <c r="A49" s="25">
        <v>180</v>
      </c>
      <c r="D49" s="23">
        <v>4</v>
      </c>
      <c r="E49" s="25" t="s">
        <v>30</v>
      </c>
      <c r="F49" s="25" t="s">
        <v>30</v>
      </c>
      <c r="G49" s="23" t="s">
        <v>27</v>
      </c>
      <c r="H49" s="23" t="s">
        <v>143</v>
      </c>
      <c r="I49" s="25">
        <v>1966</v>
      </c>
      <c r="J49" s="35">
        <v>30</v>
      </c>
      <c r="K49" s="35">
        <v>40</v>
      </c>
      <c r="L49" s="35">
        <v>20</v>
      </c>
      <c r="M49" s="25">
        <v>8</v>
      </c>
      <c r="N49" s="25">
        <v>10</v>
      </c>
      <c r="O49" s="25">
        <v>8</v>
      </c>
      <c r="P49" s="25">
        <v>15</v>
      </c>
      <c r="R49" s="30">
        <f t="shared" si="0"/>
        <v>41</v>
      </c>
      <c r="S49" s="30">
        <f t="shared" si="1"/>
        <v>18.516571428571428</v>
      </c>
      <c r="T49" s="30">
        <f t="shared" si="2"/>
        <v>24.517904761904763</v>
      </c>
      <c r="U49" s="25">
        <v>63</v>
      </c>
      <c r="V49" s="31">
        <f t="shared" si="3"/>
        <v>191.76000000000002</v>
      </c>
      <c r="W49" s="25">
        <v>141</v>
      </c>
      <c r="X49" s="25">
        <v>12</v>
      </c>
      <c r="Y49" s="25">
        <v>182</v>
      </c>
      <c r="Z49" s="31">
        <f t="shared" si="4"/>
        <v>200</v>
      </c>
      <c r="AA49" s="31">
        <f t="shared" si="5"/>
        <v>1</v>
      </c>
      <c r="AB49" s="31">
        <f t="shared" si="6"/>
        <v>8</v>
      </c>
      <c r="AC49" s="31">
        <f t="shared" si="7"/>
        <v>7</v>
      </c>
      <c r="AD49" s="31" t="str">
        <f t="shared" si="8"/>
        <v/>
      </c>
      <c r="AE49" s="31" t="str">
        <f t="shared" si="9"/>
        <v/>
      </c>
      <c r="AF49" s="31" t="str">
        <f t="shared" si="10"/>
        <v/>
      </c>
      <c r="AG49" s="25">
        <v>9</v>
      </c>
      <c r="AH49" s="25">
        <v>7</v>
      </c>
      <c r="AI49" s="25">
        <v>0</v>
      </c>
      <c r="AJ49" s="23" t="s">
        <v>110</v>
      </c>
      <c r="AK49" s="23" t="s">
        <v>92</v>
      </c>
      <c r="AL49" s="25">
        <v>180</v>
      </c>
      <c r="AO49" s="32" t="str">
        <f t="shared" si="11"/>
        <v>4 doors</v>
      </c>
      <c r="AQ49" s="23" t="s">
        <v>32</v>
      </c>
      <c r="AR49" s="23" t="str">
        <f t="shared" si="13"/>
        <v>CC</v>
      </c>
      <c r="AS49" s="34">
        <f t="shared" si="12"/>
        <v>860</v>
      </c>
      <c r="AT49" s="23">
        <v>8</v>
      </c>
      <c r="AU49" s="23">
        <v>60</v>
      </c>
      <c r="AV49" s="23">
        <v>0</v>
      </c>
    </row>
    <row r="50" spans="1:48">
      <c r="A50" s="25">
        <v>180</v>
      </c>
      <c r="D50" s="23">
        <v>4</v>
      </c>
      <c r="E50" s="25" t="s">
        <v>85</v>
      </c>
      <c r="F50" s="25" t="s">
        <v>85</v>
      </c>
      <c r="G50" s="23" t="s">
        <v>27</v>
      </c>
      <c r="H50" s="23" t="s">
        <v>143</v>
      </c>
      <c r="I50" s="25">
        <v>1966</v>
      </c>
      <c r="J50" s="35">
        <v>30</v>
      </c>
      <c r="K50" s="35">
        <v>40</v>
      </c>
      <c r="L50" s="35">
        <v>20</v>
      </c>
      <c r="M50" s="25">
        <v>8</v>
      </c>
      <c r="N50" s="25">
        <v>10</v>
      </c>
      <c r="O50" s="25">
        <v>8</v>
      </c>
      <c r="P50" s="25">
        <v>15</v>
      </c>
      <c r="R50" s="30">
        <f t="shared" si="0"/>
        <v>41</v>
      </c>
      <c r="S50" s="30">
        <f t="shared" si="1"/>
        <v>18.516571428571428</v>
      </c>
      <c r="T50" s="30">
        <f t="shared" si="2"/>
        <v>24.517904761904763</v>
      </c>
      <c r="U50" s="25">
        <v>63</v>
      </c>
      <c r="V50" s="31">
        <f t="shared" si="3"/>
        <v>191.76000000000002</v>
      </c>
      <c r="W50" s="25">
        <v>141</v>
      </c>
      <c r="X50" s="25">
        <v>12</v>
      </c>
      <c r="Y50" s="25">
        <v>182</v>
      </c>
      <c r="Z50" s="31">
        <f t="shared" si="4"/>
        <v>200</v>
      </c>
      <c r="AA50" s="31">
        <f t="shared" si="5"/>
        <v>1</v>
      </c>
      <c r="AB50" s="31">
        <f t="shared" si="6"/>
        <v>8</v>
      </c>
      <c r="AC50" s="31">
        <f t="shared" si="7"/>
        <v>7</v>
      </c>
      <c r="AD50" s="31" t="str">
        <f t="shared" si="8"/>
        <v/>
      </c>
      <c r="AE50" s="31" t="str">
        <f t="shared" si="9"/>
        <v/>
      </c>
      <c r="AF50" s="31" t="str">
        <f t="shared" si="10"/>
        <v/>
      </c>
      <c r="AG50" s="25">
        <v>9</v>
      </c>
      <c r="AH50" s="25">
        <v>7</v>
      </c>
      <c r="AI50" s="25">
        <v>0</v>
      </c>
      <c r="AJ50" s="23" t="s">
        <v>110</v>
      </c>
      <c r="AK50" s="23" t="s">
        <v>92</v>
      </c>
      <c r="AL50" s="25">
        <v>180</v>
      </c>
      <c r="AO50" s="32" t="str">
        <f t="shared" si="11"/>
        <v>4 doors</v>
      </c>
      <c r="AQ50" s="23" t="s">
        <v>32</v>
      </c>
      <c r="AR50" s="23" t="str">
        <f t="shared" si="13"/>
        <v>Hungary</v>
      </c>
      <c r="AS50" s="34">
        <f t="shared" si="12"/>
        <v>860.01</v>
      </c>
      <c r="AT50" s="23">
        <v>8</v>
      </c>
      <c r="AU50" s="23">
        <v>60</v>
      </c>
      <c r="AV50" s="23">
        <v>1</v>
      </c>
    </row>
    <row r="51" spans="1:48">
      <c r="A51" s="25">
        <v>210</v>
      </c>
      <c r="D51" s="23">
        <v>1</v>
      </c>
      <c r="E51" s="25" t="s">
        <v>30</v>
      </c>
      <c r="F51" s="25" t="s">
        <v>30</v>
      </c>
      <c r="G51" s="23" t="s">
        <v>27</v>
      </c>
      <c r="H51" s="23" t="s">
        <v>144</v>
      </c>
      <c r="I51" s="25">
        <v>1969</v>
      </c>
      <c r="J51" s="35">
        <v>30</v>
      </c>
      <c r="K51" s="35">
        <v>40</v>
      </c>
      <c r="L51" s="35">
        <v>20</v>
      </c>
      <c r="M51" s="25">
        <v>5</v>
      </c>
      <c r="R51" s="30">
        <f t="shared" si="0"/>
        <v>5</v>
      </c>
      <c r="S51" s="30">
        <f t="shared" si="1"/>
        <v>11.065142857142858</v>
      </c>
      <c r="T51" s="30">
        <f t="shared" si="2"/>
        <v>15.746476190476189</v>
      </c>
      <c r="U51" s="25">
        <v>107</v>
      </c>
      <c r="V51" s="31">
        <f t="shared" si="3"/>
        <v>144.16</v>
      </c>
      <c r="W51" s="25">
        <v>106</v>
      </c>
      <c r="X51" s="25">
        <v>7</v>
      </c>
      <c r="Y51" s="25">
        <v>41</v>
      </c>
      <c r="Z51" s="31">
        <f t="shared" si="4"/>
        <v>150</v>
      </c>
      <c r="AA51" s="31">
        <f t="shared" si="5"/>
        <v>7</v>
      </c>
      <c r="AB51" s="31" t="str">
        <f t="shared" si="6"/>
        <v/>
      </c>
      <c r="AC51" s="31" t="str">
        <f t="shared" si="7"/>
        <v/>
      </c>
      <c r="AD51" s="31" t="str">
        <f t="shared" si="8"/>
        <v/>
      </c>
      <c r="AE51" s="31" t="str">
        <f t="shared" si="9"/>
        <v/>
      </c>
      <c r="AF51" s="31" t="str">
        <f t="shared" si="10"/>
        <v/>
      </c>
      <c r="AG51" s="25">
        <v>7</v>
      </c>
      <c r="AH51" s="25">
        <v>0</v>
      </c>
      <c r="AI51" s="25">
        <v>0</v>
      </c>
      <c r="AJ51" s="23" t="s">
        <v>206</v>
      </c>
      <c r="AK51" s="23" t="s">
        <v>92</v>
      </c>
      <c r="AL51" s="25">
        <v>210</v>
      </c>
      <c r="AO51" s="32" t="str">
        <f t="shared" si="11"/>
        <v>1 door</v>
      </c>
      <c r="AQ51" s="23" t="s">
        <v>47</v>
      </c>
      <c r="AR51" s="23" t="str">
        <f t="shared" si="13"/>
        <v>CC</v>
      </c>
      <c r="AS51" s="34">
        <f t="shared" si="12"/>
        <v>1000</v>
      </c>
      <c r="AT51" s="23">
        <v>10</v>
      </c>
      <c r="AU51" s="23">
        <v>0</v>
      </c>
      <c r="AV51" s="23">
        <v>0</v>
      </c>
    </row>
    <row r="52" spans="1:48">
      <c r="A52" s="25">
        <v>211</v>
      </c>
      <c r="D52" s="23">
        <v>1</v>
      </c>
      <c r="E52" s="25" t="s">
        <v>30</v>
      </c>
      <c r="F52" s="25" t="s">
        <v>30</v>
      </c>
      <c r="G52" s="23" t="s">
        <v>27</v>
      </c>
      <c r="H52" s="23" t="s">
        <v>145</v>
      </c>
      <c r="I52" s="25">
        <v>1975</v>
      </c>
      <c r="J52" s="35">
        <v>30</v>
      </c>
      <c r="K52" s="35">
        <v>40</v>
      </c>
      <c r="L52" s="35">
        <v>20</v>
      </c>
      <c r="M52" s="25">
        <v>5</v>
      </c>
      <c r="R52" s="30">
        <f t="shared" si="0"/>
        <v>5</v>
      </c>
      <c r="S52" s="30">
        <f t="shared" si="1"/>
        <v>10.113142857142858</v>
      </c>
      <c r="T52" s="30">
        <f t="shared" si="2"/>
        <v>13.815809523809525</v>
      </c>
      <c r="U52" s="25">
        <v>90</v>
      </c>
      <c r="V52" s="31">
        <f t="shared" si="3"/>
        <v>125.12</v>
      </c>
      <c r="W52" s="25">
        <v>92</v>
      </c>
      <c r="X52" s="25">
        <v>7</v>
      </c>
      <c r="Y52" s="25">
        <v>37</v>
      </c>
      <c r="Z52" s="31">
        <f t="shared" si="4"/>
        <v>185</v>
      </c>
      <c r="AA52" s="31">
        <f t="shared" si="5"/>
        <v>8</v>
      </c>
      <c r="AB52" s="31" t="str">
        <f t="shared" si="6"/>
        <v/>
      </c>
      <c r="AC52" s="31" t="str">
        <f t="shared" si="7"/>
        <v/>
      </c>
      <c r="AD52" s="31" t="str">
        <f t="shared" si="8"/>
        <v/>
      </c>
      <c r="AE52" s="31" t="str">
        <f t="shared" si="9"/>
        <v/>
      </c>
      <c r="AF52" s="31" t="str">
        <f t="shared" si="10"/>
        <v/>
      </c>
      <c r="AG52" s="25">
        <v>8</v>
      </c>
      <c r="AH52" s="25">
        <v>0</v>
      </c>
      <c r="AI52" s="25">
        <v>0</v>
      </c>
      <c r="AJ52" s="23" t="s">
        <v>206</v>
      </c>
      <c r="AK52" s="23" t="s">
        <v>92</v>
      </c>
      <c r="AL52" s="25">
        <v>211</v>
      </c>
      <c r="AO52" s="32" t="str">
        <f t="shared" si="11"/>
        <v>1 door</v>
      </c>
      <c r="AQ52" s="23" t="s">
        <v>33</v>
      </c>
      <c r="AR52" s="23" t="str">
        <f t="shared" si="13"/>
        <v>CC</v>
      </c>
      <c r="AS52" s="34">
        <f t="shared" si="12"/>
        <v>1020</v>
      </c>
      <c r="AT52" s="23">
        <v>10</v>
      </c>
      <c r="AU52" s="23">
        <v>20</v>
      </c>
      <c r="AV52" s="23">
        <v>0</v>
      </c>
    </row>
    <row r="53" spans="1:48">
      <c r="A53" s="25">
        <v>212</v>
      </c>
      <c r="D53" s="23">
        <v>1</v>
      </c>
      <c r="E53" s="25" t="s">
        <v>30</v>
      </c>
      <c r="F53" s="25" t="s">
        <v>30</v>
      </c>
      <c r="G53" s="23" t="s">
        <v>27</v>
      </c>
      <c r="H53" s="23" t="s">
        <v>146</v>
      </c>
      <c r="I53" s="25">
        <v>1976</v>
      </c>
      <c r="J53" s="35">
        <v>30</v>
      </c>
      <c r="K53" s="35">
        <v>40</v>
      </c>
      <c r="L53" s="35">
        <v>20</v>
      </c>
      <c r="M53" s="25">
        <v>5</v>
      </c>
      <c r="N53" s="25">
        <v>5</v>
      </c>
      <c r="R53" s="30">
        <f t="shared" si="0"/>
        <v>10</v>
      </c>
      <c r="S53" s="30">
        <f t="shared" si="1"/>
        <v>12.670285714285713</v>
      </c>
      <c r="T53" s="30">
        <f t="shared" si="2"/>
        <v>17.632952380952382</v>
      </c>
      <c r="U53" s="25">
        <v>97</v>
      </c>
      <c r="V53" s="31">
        <f t="shared" si="3"/>
        <v>159.12</v>
      </c>
      <c r="W53" s="25">
        <v>117</v>
      </c>
      <c r="X53" s="25">
        <v>8</v>
      </c>
      <c r="Y53" s="25">
        <v>31</v>
      </c>
      <c r="Z53" s="31">
        <f t="shared" si="4"/>
        <v>100</v>
      </c>
      <c r="AA53" s="31">
        <f t="shared" si="5"/>
        <v>8</v>
      </c>
      <c r="AB53" s="31" t="str">
        <f t="shared" si="6"/>
        <v/>
      </c>
      <c r="AC53" s="31" t="str">
        <f t="shared" si="7"/>
        <v/>
      </c>
      <c r="AD53" s="31" t="str">
        <f t="shared" si="8"/>
        <v/>
      </c>
      <c r="AE53" s="31" t="str">
        <f t="shared" si="9"/>
        <v/>
      </c>
      <c r="AF53" s="31" t="str">
        <f t="shared" si="10"/>
        <v/>
      </c>
      <c r="AG53" s="25">
        <v>8</v>
      </c>
      <c r="AH53" s="25">
        <v>0</v>
      </c>
      <c r="AI53" s="25">
        <v>0</v>
      </c>
      <c r="AJ53" s="23" t="s">
        <v>206</v>
      </c>
      <c r="AK53" s="23" t="s">
        <v>92</v>
      </c>
      <c r="AL53" s="25">
        <v>212</v>
      </c>
      <c r="AO53" s="32" t="str">
        <f t="shared" si="11"/>
        <v>2 doors</v>
      </c>
      <c r="AQ53" s="23" t="s">
        <v>48</v>
      </c>
      <c r="AR53" s="23" t="str">
        <f t="shared" si="13"/>
        <v>CC</v>
      </c>
      <c r="AS53" s="34">
        <f t="shared" si="12"/>
        <v>1040</v>
      </c>
      <c r="AT53" s="23">
        <v>10</v>
      </c>
      <c r="AU53" s="23">
        <v>40</v>
      </c>
      <c r="AV53" s="23">
        <v>0</v>
      </c>
    </row>
    <row r="54" spans="1:48">
      <c r="A54" s="25">
        <v>222</v>
      </c>
      <c r="D54" s="23">
        <v>3</v>
      </c>
      <c r="E54" s="25" t="s">
        <v>30</v>
      </c>
      <c r="F54" s="25" t="s">
        <v>30</v>
      </c>
      <c r="G54" s="23" t="s">
        <v>27</v>
      </c>
      <c r="H54" s="23" t="s">
        <v>147</v>
      </c>
      <c r="I54" s="25">
        <v>1975</v>
      </c>
      <c r="J54" s="35">
        <v>30</v>
      </c>
      <c r="K54" s="35">
        <v>40</v>
      </c>
      <c r="L54" s="35">
        <v>20</v>
      </c>
      <c r="M54" s="25">
        <v>8</v>
      </c>
      <c r="N54" s="25">
        <v>12</v>
      </c>
      <c r="O54" s="25">
        <v>6</v>
      </c>
      <c r="R54" s="30">
        <f t="shared" si="0"/>
        <v>26</v>
      </c>
      <c r="S54" s="30">
        <f t="shared" si="1"/>
        <v>13.157142857142858</v>
      </c>
      <c r="T54" s="30">
        <f t="shared" si="2"/>
        <v>16.87047619047619</v>
      </c>
      <c r="U54" s="25">
        <v>78</v>
      </c>
      <c r="V54" s="31">
        <f t="shared" si="3"/>
        <v>136</v>
      </c>
      <c r="W54" s="25">
        <v>100</v>
      </c>
      <c r="X54" s="25">
        <v>9</v>
      </c>
      <c r="Y54" s="25">
        <v>77</v>
      </c>
      <c r="Z54" s="31">
        <f t="shared" si="4"/>
        <v>200</v>
      </c>
      <c r="AA54" s="31">
        <f t="shared" si="5"/>
        <v>8</v>
      </c>
      <c r="AB54" s="31" t="str">
        <f t="shared" si="6"/>
        <v/>
      </c>
      <c r="AC54" s="31" t="str">
        <f t="shared" si="7"/>
        <v/>
      </c>
      <c r="AD54" s="31" t="str">
        <f t="shared" si="8"/>
        <v/>
      </c>
      <c r="AE54" s="31" t="str">
        <f t="shared" si="9"/>
        <v/>
      </c>
      <c r="AF54" s="31" t="str">
        <f t="shared" si="10"/>
        <v/>
      </c>
      <c r="AG54" s="25">
        <v>8</v>
      </c>
      <c r="AH54" s="25">
        <v>0</v>
      </c>
      <c r="AI54" s="25">
        <v>0</v>
      </c>
      <c r="AJ54" s="23" t="s">
        <v>206</v>
      </c>
      <c r="AK54" s="23" t="s">
        <v>92</v>
      </c>
      <c r="AL54" s="25">
        <v>222</v>
      </c>
      <c r="AO54" s="32" t="str">
        <f t="shared" si="11"/>
        <v>3 doors</v>
      </c>
      <c r="AQ54" s="23" t="s">
        <v>32</v>
      </c>
      <c r="AR54" s="23" t="str">
        <f t="shared" si="13"/>
        <v>CC</v>
      </c>
      <c r="AS54" s="34">
        <f t="shared" si="12"/>
        <v>1060</v>
      </c>
      <c r="AT54" s="23">
        <v>10</v>
      </c>
      <c r="AU54" s="23">
        <v>60</v>
      </c>
      <c r="AV54" s="23">
        <v>0</v>
      </c>
    </row>
    <row r="55" spans="1:48">
      <c r="A55" s="25">
        <v>250</v>
      </c>
      <c r="D55" s="23">
        <v>1</v>
      </c>
      <c r="E55" s="25" t="s">
        <v>30</v>
      </c>
      <c r="F55" s="25" t="s">
        <v>30</v>
      </c>
      <c r="G55" s="23" t="s">
        <v>27</v>
      </c>
      <c r="H55" s="23" t="s">
        <v>148</v>
      </c>
      <c r="I55" s="25">
        <v>1967</v>
      </c>
      <c r="J55" s="35">
        <v>30</v>
      </c>
      <c r="K55" s="35">
        <v>40</v>
      </c>
      <c r="L55" s="35">
        <v>20</v>
      </c>
      <c r="M55" s="25">
        <v>6</v>
      </c>
      <c r="R55" s="30">
        <f t="shared" si="0"/>
        <v>6</v>
      </c>
      <c r="S55" s="30">
        <f t="shared" si="1"/>
        <v>16.944571428571429</v>
      </c>
      <c r="T55" s="30">
        <f t="shared" si="2"/>
        <v>23.900571428571428</v>
      </c>
      <c r="U55" s="25">
        <v>102</v>
      </c>
      <c r="V55" s="31">
        <f t="shared" si="3"/>
        <v>220.32000000000002</v>
      </c>
      <c r="W55" s="25">
        <v>162</v>
      </c>
      <c r="X55" s="25">
        <v>11</v>
      </c>
      <c r="Y55" s="25">
        <v>51</v>
      </c>
      <c r="Z55" s="31">
        <f t="shared" si="4"/>
        <v>100</v>
      </c>
      <c r="AA55" s="31">
        <f t="shared" si="5"/>
        <v>2</v>
      </c>
      <c r="AB55" s="31">
        <f t="shared" si="6"/>
        <v>8</v>
      </c>
      <c r="AC55" s="31" t="str">
        <f t="shared" si="7"/>
        <v/>
      </c>
      <c r="AD55" s="31" t="str">
        <f t="shared" si="8"/>
        <v/>
      </c>
      <c r="AE55" s="31" t="str">
        <f t="shared" si="9"/>
        <v/>
      </c>
      <c r="AF55" s="31" t="str">
        <f t="shared" si="10"/>
        <v/>
      </c>
      <c r="AG55" s="25">
        <v>10</v>
      </c>
      <c r="AH55" s="25">
        <v>0</v>
      </c>
      <c r="AI55" s="25">
        <v>0</v>
      </c>
      <c r="AJ55" s="23" t="s">
        <v>206</v>
      </c>
      <c r="AK55" s="23" t="s">
        <v>92</v>
      </c>
      <c r="AL55" s="25">
        <v>250</v>
      </c>
      <c r="AO55" s="32" t="str">
        <f t="shared" si="11"/>
        <v>1 door</v>
      </c>
      <c r="AQ55" s="23" t="s">
        <v>48</v>
      </c>
      <c r="AR55" s="23" t="str">
        <f t="shared" si="13"/>
        <v>CC</v>
      </c>
      <c r="AS55" s="34">
        <f t="shared" si="12"/>
        <v>1100</v>
      </c>
      <c r="AT55" s="23">
        <v>11</v>
      </c>
      <c r="AU55" s="23">
        <v>0</v>
      </c>
      <c r="AV55" s="23">
        <v>0</v>
      </c>
    </row>
    <row r="56" spans="1:48">
      <c r="A56" s="25">
        <v>250</v>
      </c>
      <c r="D56" s="23">
        <v>2</v>
      </c>
      <c r="E56" s="25" t="s">
        <v>30</v>
      </c>
      <c r="F56" s="25" t="s">
        <v>30</v>
      </c>
      <c r="G56" s="23" t="s">
        <v>27</v>
      </c>
      <c r="H56" s="23" t="s">
        <v>149</v>
      </c>
      <c r="I56" s="25">
        <v>1970</v>
      </c>
      <c r="J56" s="35">
        <v>30</v>
      </c>
      <c r="K56" s="35">
        <v>40</v>
      </c>
      <c r="L56" s="35">
        <v>20</v>
      </c>
      <c r="M56" s="25">
        <v>6</v>
      </c>
      <c r="N56" s="25">
        <v>6</v>
      </c>
      <c r="R56" s="30">
        <f t="shared" si="0"/>
        <v>12</v>
      </c>
      <c r="S56" s="30">
        <f t="shared" si="1"/>
        <v>18.869142857142858</v>
      </c>
      <c r="T56" s="30">
        <f t="shared" si="2"/>
        <v>27.321142857142856</v>
      </c>
      <c r="U56" s="25">
        <v>100</v>
      </c>
      <c r="V56" s="31">
        <f t="shared" si="3"/>
        <v>250.24</v>
      </c>
      <c r="W56" s="25">
        <v>184</v>
      </c>
      <c r="X56" s="25">
        <v>11</v>
      </c>
      <c r="Y56" s="25">
        <v>51</v>
      </c>
      <c r="Z56" s="31">
        <f t="shared" si="4"/>
        <v>185</v>
      </c>
      <c r="AA56" s="31">
        <f t="shared" si="5"/>
        <v>2</v>
      </c>
      <c r="AB56" s="31">
        <f t="shared" si="6"/>
        <v>8</v>
      </c>
      <c r="AC56" s="31" t="str">
        <f t="shared" si="7"/>
        <v/>
      </c>
      <c r="AD56" s="31" t="str">
        <f t="shared" si="8"/>
        <v/>
      </c>
      <c r="AE56" s="31" t="str">
        <f t="shared" si="9"/>
        <v/>
      </c>
      <c r="AF56" s="31" t="str">
        <f t="shared" si="10"/>
        <v/>
      </c>
      <c r="AG56" s="25">
        <v>10</v>
      </c>
      <c r="AH56" s="25">
        <v>0</v>
      </c>
      <c r="AI56" s="25">
        <v>0</v>
      </c>
      <c r="AJ56" s="23" t="s">
        <v>206</v>
      </c>
      <c r="AK56" s="23" t="s">
        <v>92</v>
      </c>
      <c r="AL56" s="25">
        <v>250</v>
      </c>
      <c r="AO56" s="32" t="str">
        <f t="shared" si="11"/>
        <v>2 doors</v>
      </c>
      <c r="AP56" s="23" t="s">
        <v>230</v>
      </c>
      <c r="AQ56" s="23" t="s">
        <v>33</v>
      </c>
      <c r="AR56" s="23" t="str">
        <f t="shared" si="13"/>
        <v>CC</v>
      </c>
      <c r="AS56" s="34">
        <f t="shared" si="12"/>
        <v>1120</v>
      </c>
      <c r="AT56" s="23">
        <v>11</v>
      </c>
      <c r="AU56" s="23">
        <v>20</v>
      </c>
      <c r="AV56" s="23">
        <v>0</v>
      </c>
    </row>
    <row r="57" spans="1:48">
      <c r="A57" s="25">
        <v>250</v>
      </c>
      <c r="D57" s="23">
        <v>2</v>
      </c>
      <c r="E57" s="25" t="s">
        <v>42</v>
      </c>
      <c r="F57" s="25" t="s">
        <v>42</v>
      </c>
      <c r="G57" s="23" t="s">
        <v>27</v>
      </c>
      <c r="H57" s="23" t="s">
        <v>149</v>
      </c>
      <c r="I57" s="25">
        <v>1970</v>
      </c>
      <c r="J57" s="35">
        <v>30</v>
      </c>
      <c r="K57" s="35">
        <v>40</v>
      </c>
      <c r="L57" s="35">
        <v>20</v>
      </c>
      <c r="M57" s="25">
        <v>6</v>
      </c>
      <c r="N57" s="25">
        <v>6</v>
      </c>
      <c r="R57" s="30">
        <f t="shared" si="0"/>
        <v>12</v>
      </c>
      <c r="S57" s="30">
        <f t="shared" si="1"/>
        <v>18.869142857142858</v>
      </c>
      <c r="T57" s="30">
        <f t="shared" si="2"/>
        <v>27.321142857142856</v>
      </c>
      <c r="U57" s="25">
        <v>100</v>
      </c>
      <c r="V57" s="31">
        <f t="shared" si="3"/>
        <v>250.24</v>
      </c>
      <c r="W57" s="25">
        <v>184</v>
      </c>
      <c r="X57" s="25">
        <v>11</v>
      </c>
      <c r="Y57" s="25">
        <v>51</v>
      </c>
      <c r="Z57" s="31">
        <f t="shared" si="4"/>
        <v>185</v>
      </c>
      <c r="AA57" s="31">
        <f t="shared" si="5"/>
        <v>2</v>
      </c>
      <c r="AB57" s="31">
        <f t="shared" si="6"/>
        <v>8</v>
      </c>
      <c r="AC57" s="31" t="str">
        <f t="shared" si="7"/>
        <v/>
      </c>
      <c r="AD57" s="31" t="str">
        <f t="shared" si="8"/>
        <v/>
      </c>
      <c r="AE57" s="31" t="str">
        <f t="shared" si="9"/>
        <v/>
      </c>
      <c r="AF57" s="31" t="str">
        <f t="shared" si="10"/>
        <v/>
      </c>
      <c r="AG57" s="25">
        <v>10</v>
      </c>
      <c r="AH57" s="25">
        <v>0</v>
      </c>
      <c r="AI57" s="25">
        <v>0</v>
      </c>
      <c r="AJ57" s="23" t="s">
        <v>206</v>
      </c>
      <c r="AK57" s="23" t="s">
        <v>92</v>
      </c>
      <c r="AL57" s="25">
        <v>250</v>
      </c>
      <c r="AO57" s="32" t="str">
        <f t="shared" si="11"/>
        <v>2 doors</v>
      </c>
      <c r="AP57" s="23" t="s">
        <v>230</v>
      </c>
      <c r="AQ57" s="23" t="s">
        <v>33</v>
      </c>
      <c r="AR57" s="23" t="str">
        <f t="shared" si="13"/>
        <v>CC</v>
      </c>
      <c r="AS57" s="34">
        <f t="shared" si="12"/>
        <v>1120.01</v>
      </c>
      <c r="AT57" s="23">
        <v>11</v>
      </c>
      <c r="AU57" s="23">
        <v>20</v>
      </c>
      <c r="AV57" s="23">
        <v>1</v>
      </c>
    </row>
    <row r="58" spans="1:48">
      <c r="A58" s="25">
        <v>250</v>
      </c>
      <c r="D58" s="23">
        <v>2</v>
      </c>
      <c r="E58" s="25" t="s">
        <v>46</v>
      </c>
      <c r="F58" s="25" t="s">
        <v>46</v>
      </c>
      <c r="G58" s="23" t="s">
        <v>27</v>
      </c>
      <c r="H58" s="23" t="s">
        <v>149</v>
      </c>
      <c r="I58" s="25">
        <v>1970</v>
      </c>
      <c r="J58" s="35">
        <v>30</v>
      </c>
      <c r="K58" s="35">
        <v>40</v>
      </c>
      <c r="L58" s="35">
        <v>20</v>
      </c>
      <c r="M58" s="25">
        <v>6</v>
      </c>
      <c r="N58" s="25">
        <v>6</v>
      </c>
      <c r="R58" s="30">
        <f t="shared" si="0"/>
        <v>12</v>
      </c>
      <c r="S58" s="30">
        <f t="shared" si="1"/>
        <v>18.869142857142858</v>
      </c>
      <c r="T58" s="30">
        <f t="shared" si="2"/>
        <v>27.321142857142856</v>
      </c>
      <c r="U58" s="25">
        <v>100</v>
      </c>
      <c r="V58" s="31">
        <f t="shared" si="3"/>
        <v>250.24</v>
      </c>
      <c r="W58" s="25">
        <v>184</v>
      </c>
      <c r="X58" s="25">
        <v>11</v>
      </c>
      <c r="Y58" s="25">
        <v>51</v>
      </c>
      <c r="Z58" s="31">
        <f t="shared" si="4"/>
        <v>185</v>
      </c>
      <c r="AA58" s="31">
        <f t="shared" si="5"/>
        <v>2</v>
      </c>
      <c r="AB58" s="31">
        <f t="shared" si="6"/>
        <v>8</v>
      </c>
      <c r="AC58" s="31" t="str">
        <f t="shared" si="7"/>
        <v/>
      </c>
      <c r="AD58" s="31" t="str">
        <f t="shared" si="8"/>
        <v/>
      </c>
      <c r="AE58" s="31" t="str">
        <f t="shared" si="9"/>
        <v/>
      </c>
      <c r="AF58" s="31" t="str">
        <f t="shared" si="10"/>
        <v/>
      </c>
      <c r="AG58" s="25">
        <v>10</v>
      </c>
      <c r="AH58" s="25">
        <v>0</v>
      </c>
      <c r="AI58" s="25">
        <v>0</v>
      </c>
      <c r="AJ58" s="23" t="s">
        <v>206</v>
      </c>
      <c r="AK58" s="23" t="s">
        <v>92</v>
      </c>
      <c r="AL58" s="25">
        <v>250</v>
      </c>
      <c r="AO58" s="32" t="str">
        <f t="shared" si="11"/>
        <v>2 doors</v>
      </c>
      <c r="AP58" s="23" t="s">
        <v>230</v>
      </c>
      <c r="AQ58" s="23" t="s">
        <v>33</v>
      </c>
      <c r="AR58" s="23" t="str">
        <f t="shared" si="13"/>
        <v>Hungary</v>
      </c>
      <c r="AS58" s="34">
        <f t="shared" si="12"/>
        <v>1120.02</v>
      </c>
      <c r="AT58" s="23">
        <v>11</v>
      </c>
      <c r="AU58" s="23">
        <v>20</v>
      </c>
      <c r="AV58" s="23">
        <v>2</v>
      </c>
    </row>
    <row r="59" spans="1:48">
      <c r="A59" s="25">
        <v>253</v>
      </c>
      <c r="D59" s="23">
        <v>2</v>
      </c>
      <c r="E59" s="25" t="s">
        <v>30</v>
      </c>
      <c r="F59" s="25" t="s">
        <v>30</v>
      </c>
      <c r="G59" s="23" t="s">
        <v>27</v>
      </c>
      <c r="H59" s="23" t="s">
        <v>242</v>
      </c>
      <c r="I59" s="25">
        <v>1990</v>
      </c>
      <c r="J59" s="35">
        <v>30</v>
      </c>
      <c r="K59" s="35">
        <v>40</v>
      </c>
      <c r="L59" s="35">
        <v>20</v>
      </c>
      <c r="M59" s="25">
        <v>6</v>
      </c>
      <c r="N59" s="25">
        <v>6</v>
      </c>
      <c r="R59" s="30">
        <f t="shared" si="0"/>
        <v>12</v>
      </c>
      <c r="S59" s="30">
        <f t="shared" si="1"/>
        <v>18.869142857142858</v>
      </c>
      <c r="T59" s="30">
        <f t="shared" si="2"/>
        <v>27.314476190476189</v>
      </c>
      <c r="U59" s="25">
        <v>100</v>
      </c>
      <c r="V59" s="31">
        <f t="shared" si="3"/>
        <v>250.24</v>
      </c>
      <c r="W59" s="25">
        <v>184</v>
      </c>
      <c r="X59" s="25">
        <v>11</v>
      </c>
      <c r="Y59" s="25">
        <v>50</v>
      </c>
      <c r="Z59" s="31">
        <f t="shared" si="4"/>
        <v>100</v>
      </c>
      <c r="AA59" s="31">
        <f t="shared" si="5"/>
        <v>2</v>
      </c>
      <c r="AB59" s="31">
        <f t="shared" si="6"/>
        <v>8</v>
      </c>
      <c r="AC59" s="31" t="str">
        <f t="shared" si="7"/>
        <v/>
      </c>
      <c r="AD59" s="31" t="str">
        <f t="shared" si="8"/>
        <v/>
      </c>
      <c r="AE59" s="31" t="str">
        <f t="shared" si="9"/>
        <v/>
      </c>
      <c r="AF59" s="31" t="str">
        <f t="shared" si="10"/>
        <v/>
      </c>
      <c r="AG59" s="25">
        <v>10</v>
      </c>
      <c r="AH59" s="25">
        <v>0</v>
      </c>
      <c r="AI59" s="25">
        <v>0</v>
      </c>
      <c r="AJ59" s="23" t="s">
        <v>206</v>
      </c>
      <c r="AK59" s="23" t="s">
        <v>92</v>
      </c>
      <c r="AL59" s="25">
        <v>253</v>
      </c>
      <c r="AO59" s="32" t="str">
        <f t="shared" si="11"/>
        <v>2 doors</v>
      </c>
      <c r="AQ59" s="23" t="s">
        <v>48</v>
      </c>
      <c r="AR59" s="23" t="str">
        <f t="shared" si="13"/>
        <v>CC</v>
      </c>
      <c r="AS59" s="34">
        <f t="shared" si="12"/>
        <v>1150</v>
      </c>
      <c r="AT59" s="23">
        <v>11</v>
      </c>
      <c r="AU59" s="23">
        <v>50</v>
      </c>
      <c r="AV59" s="23">
        <v>0</v>
      </c>
    </row>
    <row r="60" spans="1:48">
      <c r="A60" s="25">
        <v>254</v>
      </c>
      <c r="D60" s="23">
        <v>2</v>
      </c>
      <c r="E60" s="25" t="s">
        <v>30</v>
      </c>
      <c r="F60" s="25" t="s">
        <v>30</v>
      </c>
      <c r="G60" s="23" t="s">
        <v>27</v>
      </c>
      <c r="H60" s="23" t="s">
        <v>150</v>
      </c>
      <c r="I60" s="25">
        <v>1975</v>
      </c>
      <c r="J60" s="35">
        <v>30</v>
      </c>
      <c r="K60" s="35">
        <v>40</v>
      </c>
      <c r="L60" s="35">
        <v>20</v>
      </c>
      <c r="M60" s="25">
        <v>4</v>
      </c>
      <c r="N60" s="25">
        <v>4</v>
      </c>
      <c r="R60" s="30">
        <f t="shared" si="0"/>
        <v>8</v>
      </c>
      <c r="S60" s="30">
        <f t="shared" si="1"/>
        <v>20.307428571428574</v>
      </c>
      <c r="T60" s="30">
        <f t="shared" si="2"/>
        <v>29.516761904761911</v>
      </c>
      <c r="U60" s="25">
        <v>121</v>
      </c>
      <c r="V60" s="31">
        <f t="shared" si="3"/>
        <v>274.72000000000003</v>
      </c>
      <c r="W60" s="25">
        <v>202</v>
      </c>
      <c r="X60" s="25">
        <v>12</v>
      </c>
      <c r="Y60" s="25">
        <v>41</v>
      </c>
      <c r="Z60" s="31">
        <f t="shared" si="4"/>
        <v>100</v>
      </c>
      <c r="AA60" s="31">
        <f t="shared" si="5"/>
        <v>2</v>
      </c>
      <c r="AB60" s="31">
        <f t="shared" si="6"/>
        <v>8</v>
      </c>
      <c r="AC60" s="31" t="str">
        <f t="shared" si="7"/>
        <v/>
      </c>
      <c r="AD60" s="31" t="str">
        <f t="shared" si="8"/>
        <v/>
      </c>
      <c r="AE60" s="31" t="str">
        <f t="shared" si="9"/>
        <v/>
      </c>
      <c r="AF60" s="31" t="str">
        <f t="shared" si="10"/>
        <v/>
      </c>
      <c r="AG60" s="25">
        <v>10</v>
      </c>
      <c r="AH60" s="25">
        <v>0</v>
      </c>
      <c r="AI60" s="25">
        <v>0</v>
      </c>
      <c r="AJ60" s="23" t="s">
        <v>206</v>
      </c>
      <c r="AK60" s="23" t="s">
        <v>92</v>
      </c>
      <c r="AL60" s="25">
        <v>254</v>
      </c>
      <c r="AO60" s="32" t="str">
        <f t="shared" si="11"/>
        <v>2 doors</v>
      </c>
      <c r="AQ60" s="23" t="s">
        <v>48</v>
      </c>
      <c r="AR60" s="23" t="str">
        <f t="shared" si="13"/>
        <v>CC</v>
      </c>
      <c r="AS60" s="34">
        <f t="shared" si="12"/>
        <v>1160</v>
      </c>
      <c r="AT60" s="23">
        <v>11</v>
      </c>
      <c r="AU60" s="23">
        <v>60</v>
      </c>
      <c r="AV60" s="23">
        <v>0</v>
      </c>
    </row>
    <row r="61" spans="1:48">
      <c r="A61" s="25">
        <v>266</v>
      </c>
      <c r="D61" s="23">
        <v>2</v>
      </c>
      <c r="E61" s="25" t="s">
        <v>30</v>
      </c>
      <c r="F61" s="25" t="s">
        <v>30</v>
      </c>
      <c r="G61" s="23" t="s">
        <v>27</v>
      </c>
      <c r="H61" s="23" t="s">
        <v>162</v>
      </c>
      <c r="I61" s="25">
        <v>1972</v>
      </c>
      <c r="J61" s="35">
        <v>30</v>
      </c>
      <c r="K61" s="35">
        <v>40</v>
      </c>
      <c r="L61" s="35">
        <v>20</v>
      </c>
      <c r="M61" s="25">
        <v>8</v>
      </c>
      <c r="N61" s="25">
        <v>10</v>
      </c>
      <c r="R61" s="30">
        <f t="shared" si="0"/>
        <v>18</v>
      </c>
      <c r="S61" s="30">
        <f t="shared" si="1"/>
        <v>15.873714285714287</v>
      </c>
      <c r="T61" s="30">
        <f t="shared" si="2"/>
        <v>22.041714285714288</v>
      </c>
      <c r="U61" s="25">
        <v>80</v>
      </c>
      <c r="V61" s="31">
        <f t="shared" si="3"/>
        <v>191.76000000000002</v>
      </c>
      <c r="W61" s="25">
        <v>141</v>
      </c>
      <c r="X61" s="25">
        <v>10</v>
      </c>
      <c r="Y61" s="25">
        <v>87</v>
      </c>
      <c r="Z61" s="31">
        <f t="shared" si="4"/>
        <v>185</v>
      </c>
      <c r="AA61" s="31">
        <f t="shared" si="5"/>
        <v>2</v>
      </c>
      <c r="AB61" s="31">
        <f t="shared" si="6"/>
        <v>8</v>
      </c>
      <c r="AC61" s="31" t="str">
        <f t="shared" si="7"/>
        <v/>
      </c>
      <c r="AD61" s="31" t="str">
        <f t="shared" si="8"/>
        <v/>
      </c>
      <c r="AE61" s="31" t="str">
        <f t="shared" si="9"/>
        <v/>
      </c>
      <c r="AF61" s="31" t="str">
        <f t="shared" si="10"/>
        <v/>
      </c>
      <c r="AG61" s="25">
        <v>10</v>
      </c>
      <c r="AH61" s="25">
        <v>0</v>
      </c>
      <c r="AI61" s="25">
        <v>0</v>
      </c>
      <c r="AJ61" s="23" t="s">
        <v>206</v>
      </c>
      <c r="AK61" s="23" t="s">
        <v>92</v>
      </c>
      <c r="AL61" s="25">
        <v>266</v>
      </c>
      <c r="AO61" s="32" t="str">
        <f t="shared" si="11"/>
        <v>2 doors</v>
      </c>
      <c r="AQ61" s="23" t="s">
        <v>33</v>
      </c>
      <c r="AR61" s="23" t="str">
        <f t="shared" si="13"/>
        <v>CC</v>
      </c>
      <c r="AS61" s="34">
        <f t="shared" si="12"/>
        <v>1200</v>
      </c>
      <c r="AT61" s="23">
        <v>12</v>
      </c>
      <c r="AU61" s="23">
        <v>0</v>
      </c>
      <c r="AV61" s="23">
        <v>0</v>
      </c>
    </row>
    <row r="62" spans="1:48">
      <c r="A62" s="25">
        <v>255</v>
      </c>
      <c r="D62" s="23">
        <v>1</v>
      </c>
      <c r="E62" s="25" t="s">
        <v>30</v>
      </c>
      <c r="F62" s="25" t="s">
        <v>30</v>
      </c>
      <c r="G62" s="23" t="s">
        <v>27</v>
      </c>
      <c r="H62" s="23" t="s">
        <v>151</v>
      </c>
      <c r="I62" s="25">
        <v>1972</v>
      </c>
      <c r="J62" s="35">
        <v>30</v>
      </c>
      <c r="K62" s="35">
        <v>40</v>
      </c>
      <c r="L62" s="35">
        <v>20</v>
      </c>
      <c r="M62" s="25">
        <v>6</v>
      </c>
      <c r="R62" s="30">
        <f t="shared" si="0"/>
        <v>6</v>
      </c>
      <c r="S62" s="30">
        <f t="shared" si="1"/>
        <v>15.01657142857143</v>
      </c>
      <c r="T62" s="30">
        <f t="shared" si="2"/>
        <v>20.911238095238094</v>
      </c>
      <c r="U62" s="25">
        <v>100</v>
      </c>
      <c r="V62" s="31">
        <f t="shared" si="3"/>
        <v>191.76000000000002</v>
      </c>
      <c r="W62" s="25">
        <v>141</v>
      </c>
      <c r="X62" s="25">
        <v>10</v>
      </c>
      <c r="Y62" s="25">
        <v>46</v>
      </c>
      <c r="Z62" s="31">
        <f t="shared" si="4"/>
        <v>100</v>
      </c>
      <c r="AA62" s="31">
        <f t="shared" si="5"/>
        <v>1</v>
      </c>
      <c r="AB62" s="31">
        <f t="shared" si="6"/>
        <v>8</v>
      </c>
      <c r="AC62" s="31" t="str">
        <f t="shared" si="7"/>
        <v/>
      </c>
      <c r="AD62" s="31" t="str">
        <f t="shared" si="8"/>
        <v/>
      </c>
      <c r="AE62" s="31" t="str">
        <f t="shared" si="9"/>
        <v/>
      </c>
      <c r="AF62" s="31" t="str">
        <f t="shared" si="10"/>
        <v/>
      </c>
      <c r="AG62" s="25">
        <v>9</v>
      </c>
      <c r="AH62" s="25">
        <v>0</v>
      </c>
      <c r="AI62" s="25">
        <v>0</v>
      </c>
      <c r="AJ62" s="23" t="s">
        <v>206</v>
      </c>
      <c r="AK62" s="23" t="s">
        <v>92</v>
      </c>
      <c r="AL62" s="25">
        <v>255</v>
      </c>
      <c r="AO62" s="32" t="str">
        <f t="shared" si="11"/>
        <v>1 door</v>
      </c>
      <c r="AQ62" s="23" t="s">
        <v>48</v>
      </c>
      <c r="AR62" s="23" t="str">
        <f t="shared" si="13"/>
        <v>CC</v>
      </c>
      <c r="AS62" s="34">
        <f t="shared" si="12"/>
        <v>1220</v>
      </c>
      <c r="AT62" s="23">
        <v>12</v>
      </c>
      <c r="AU62" s="23">
        <v>20</v>
      </c>
      <c r="AV62" s="23">
        <v>0</v>
      </c>
    </row>
    <row r="63" spans="1:48">
      <c r="A63" s="25">
        <v>256</v>
      </c>
      <c r="C63" s="23" t="s">
        <v>123</v>
      </c>
      <c r="D63" s="23">
        <v>2</v>
      </c>
      <c r="E63" s="25" t="s">
        <v>30</v>
      </c>
      <c r="F63" s="25" t="s">
        <v>30</v>
      </c>
      <c r="G63" s="23" t="s">
        <v>27</v>
      </c>
      <c r="H63" s="23" t="s">
        <v>152</v>
      </c>
      <c r="I63" s="25">
        <v>1974</v>
      </c>
      <c r="J63" s="35">
        <v>30</v>
      </c>
      <c r="K63" s="35">
        <v>40</v>
      </c>
      <c r="L63" s="35">
        <v>20</v>
      </c>
      <c r="M63" s="25">
        <v>6</v>
      </c>
      <c r="N63" s="25">
        <v>4</v>
      </c>
      <c r="R63" s="30">
        <f t="shared" si="0"/>
        <v>10</v>
      </c>
      <c r="S63" s="30">
        <f t="shared" si="1"/>
        <v>15.802285714285714</v>
      </c>
      <c r="T63" s="30">
        <f t="shared" si="2"/>
        <v>21.290285714285716</v>
      </c>
      <c r="U63" s="25">
        <v>102</v>
      </c>
      <c r="V63" s="31">
        <f t="shared" si="3"/>
        <v>191.76000000000002</v>
      </c>
      <c r="W63" s="25">
        <v>141</v>
      </c>
      <c r="X63" s="25">
        <v>11</v>
      </c>
      <c r="Y63" s="25">
        <v>45</v>
      </c>
      <c r="Z63" s="31">
        <f t="shared" si="4"/>
        <v>100</v>
      </c>
      <c r="AA63" s="31">
        <f t="shared" si="5"/>
        <v>1</v>
      </c>
      <c r="AB63" s="31">
        <f t="shared" si="6"/>
        <v>8</v>
      </c>
      <c r="AC63" s="31" t="str">
        <f t="shared" si="7"/>
        <v/>
      </c>
      <c r="AD63" s="31" t="str">
        <f t="shared" si="8"/>
        <v/>
      </c>
      <c r="AE63" s="31" t="str">
        <f t="shared" si="9"/>
        <v/>
      </c>
      <c r="AF63" s="31" t="str">
        <f t="shared" si="10"/>
        <v/>
      </c>
      <c r="AG63" s="25">
        <v>9</v>
      </c>
      <c r="AH63" s="25">
        <v>0</v>
      </c>
      <c r="AI63" s="25">
        <v>0</v>
      </c>
      <c r="AJ63" s="23" t="s">
        <v>206</v>
      </c>
      <c r="AK63" s="23" t="s">
        <v>92</v>
      </c>
      <c r="AL63" s="25">
        <v>256</v>
      </c>
      <c r="AO63" s="32" t="str">
        <f t="shared" si="11"/>
        <v>2 doors</v>
      </c>
      <c r="AQ63" s="23" t="s">
        <v>48</v>
      </c>
      <c r="AR63" s="23" t="str">
        <f t="shared" si="13"/>
        <v>CC</v>
      </c>
      <c r="AS63" s="34">
        <f t="shared" si="12"/>
        <v>1300</v>
      </c>
      <c r="AT63" s="23">
        <v>13</v>
      </c>
      <c r="AU63" s="23">
        <v>0</v>
      </c>
      <c r="AV63" s="23">
        <v>0</v>
      </c>
    </row>
    <row r="64" spans="1:48">
      <c r="A64" s="25">
        <v>256</v>
      </c>
      <c r="D64" s="23">
        <v>2</v>
      </c>
      <c r="E64" s="25" t="s">
        <v>30</v>
      </c>
      <c r="F64" s="25" t="s">
        <v>30</v>
      </c>
      <c r="G64" s="23" t="s">
        <v>27</v>
      </c>
      <c r="H64" s="23" t="s">
        <v>153</v>
      </c>
      <c r="I64" s="25">
        <v>1980</v>
      </c>
      <c r="J64" s="35">
        <v>30</v>
      </c>
      <c r="K64" s="35">
        <v>40</v>
      </c>
      <c r="L64" s="35">
        <v>20</v>
      </c>
      <c r="M64" s="25">
        <v>6</v>
      </c>
      <c r="N64" s="25">
        <v>4</v>
      </c>
      <c r="R64" s="30">
        <f t="shared" si="0"/>
        <v>10</v>
      </c>
      <c r="S64" s="30">
        <f t="shared" si="1"/>
        <v>17.094285714285718</v>
      </c>
      <c r="T64" s="30">
        <f t="shared" si="2"/>
        <v>23.874285714285719</v>
      </c>
      <c r="U64" s="25">
        <v>102</v>
      </c>
      <c r="V64" s="31">
        <f t="shared" si="3"/>
        <v>217.60000000000002</v>
      </c>
      <c r="W64" s="25">
        <v>160</v>
      </c>
      <c r="X64" s="25">
        <v>11</v>
      </c>
      <c r="Y64" s="25">
        <v>45</v>
      </c>
      <c r="Z64" s="31">
        <f t="shared" si="4"/>
        <v>150</v>
      </c>
      <c r="AA64" s="31">
        <f t="shared" si="5"/>
        <v>1</v>
      </c>
      <c r="AB64" s="31">
        <f t="shared" si="6"/>
        <v>8</v>
      </c>
      <c r="AC64" s="31" t="str">
        <f t="shared" si="7"/>
        <v/>
      </c>
      <c r="AD64" s="31" t="str">
        <f t="shared" si="8"/>
        <v/>
      </c>
      <c r="AE64" s="31" t="str">
        <f t="shared" si="9"/>
        <v/>
      </c>
      <c r="AF64" s="31" t="str">
        <f t="shared" si="10"/>
        <v/>
      </c>
      <c r="AG64" s="25">
        <v>9</v>
      </c>
      <c r="AH64" s="25">
        <v>0</v>
      </c>
      <c r="AI64" s="25">
        <v>0</v>
      </c>
      <c r="AJ64" s="23" t="s">
        <v>206</v>
      </c>
      <c r="AK64" s="23" t="s">
        <v>92</v>
      </c>
      <c r="AL64" s="25">
        <v>256</v>
      </c>
      <c r="AO64" s="32" t="str">
        <f t="shared" si="11"/>
        <v>2 doors</v>
      </c>
      <c r="AQ64" s="23" t="s">
        <v>47</v>
      </c>
      <c r="AR64" s="23" t="str">
        <f t="shared" si="13"/>
        <v>CC</v>
      </c>
      <c r="AS64" s="34">
        <f t="shared" si="12"/>
        <v>1320</v>
      </c>
      <c r="AT64" s="23">
        <v>13</v>
      </c>
      <c r="AU64" s="23">
        <v>20</v>
      </c>
      <c r="AV64" s="23">
        <v>0</v>
      </c>
    </row>
    <row r="65" spans="1:48">
      <c r="A65" s="25">
        <v>256</v>
      </c>
      <c r="D65" s="23">
        <v>2</v>
      </c>
      <c r="E65" s="25" t="s">
        <v>42</v>
      </c>
      <c r="F65" s="25" t="s">
        <v>42</v>
      </c>
      <c r="G65" s="23" t="s">
        <v>27</v>
      </c>
      <c r="H65" s="23" t="s">
        <v>153</v>
      </c>
      <c r="I65" s="25">
        <v>1980</v>
      </c>
      <c r="J65" s="35">
        <v>30</v>
      </c>
      <c r="K65" s="35">
        <v>40</v>
      </c>
      <c r="L65" s="35">
        <v>20</v>
      </c>
      <c r="M65" s="25">
        <v>6</v>
      </c>
      <c r="N65" s="25">
        <v>4</v>
      </c>
      <c r="R65" s="30">
        <f t="shared" si="0"/>
        <v>10</v>
      </c>
      <c r="S65" s="30">
        <f t="shared" si="1"/>
        <v>17.094285714285718</v>
      </c>
      <c r="T65" s="30">
        <f t="shared" si="2"/>
        <v>23.874285714285719</v>
      </c>
      <c r="U65" s="25">
        <v>102</v>
      </c>
      <c r="V65" s="31">
        <f t="shared" si="3"/>
        <v>217.60000000000002</v>
      </c>
      <c r="W65" s="25">
        <v>160</v>
      </c>
      <c r="X65" s="25">
        <v>11</v>
      </c>
      <c r="Y65" s="25">
        <v>45</v>
      </c>
      <c r="Z65" s="31">
        <f t="shared" si="4"/>
        <v>150</v>
      </c>
      <c r="AA65" s="31">
        <f t="shared" si="5"/>
        <v>1</v>
      </c>
      <c r="AB65" s="31">
        <f t="shared" si="6"/>
        <v>8</v>
      </c>
      <c r="AC65" s="31" t="str">
        <f t="shared" si="7"/>
        <v/>
      </c>
      <c r="AD65" s="31" t="str">
        <f t="shared" si="8"/>
        <v/>
      </c>
      <c r="AE65" s="31" t="str">
        <f t="shared" si="9"/>
        <v/>
      </c>
      <c r="AF65" s="31" t="str">
        <f t="shared" si="10"/>
        <v/>
      </c>
      <c r="AG65" s="25">
        <v>9</v>
      </c>
      <c r="AH65" s="25">
        <v>0</v>
      </c>
      <c r="AI65" s="25">
        <v>0</v>
      </c>
      <c r="AJ65" s="23" t="s">
        <v>206</v>
      </c>
      <c r="AK65" s="23" t="s">
        <v>92</v>
      </c>
      <c r="AL65" s="25">
        <v>256</v>
      </c>
      <c r="AO65" s="32" t="str">
        <f t="shared" si="11"/>
        <v>2 doors</v>
      </c>
      <c r="AQ65" s="23" t="s">
        <v>47</v>
      </c>
      <c r="AR65" s="23" t="str">
        <f t="shared" si="13"/>
        <v>CC</v>
      </c>
      <c r="AS65" s="34">
        <f t="shared" si="12"/>
        <v>1320.01</v>
      </c>
      <c r="AT65" s="23">
        <v>13</v>
      </c>
      <c r="AU65" s="23">
        <v>20</v>
      </c>
      <c r="AV65" s="23">
        <v>1</v>
      </c>
    </row>
    <row r="66" spans="1:48">
      <c r="A66" s="25">
        <v>256</v>
      </c>
      <c r="C66" s="23" t="s">
        <v>122</v>
      </c>
      <c r="D66" s="23">
        <v>2</v>
      </c>
      <c r="E66" s="25" t="s">
        <v>30</v>
      </c>
      <c r="F66" s="25" t="s">
        <v>30</v>
      </c>
      <c r="G66" s="23" t="s">
        <v>27</v>
      </c>
      <c r="H66" s="23" t="s">
        <v>154</v>
      </c>
      <c r="I66" s="25">
        <v>1993</v>
      </c>
      <c r="J66" s="35">
        <v>30</v>
      </c>
      <c r="K66" s="35">
        <v>40</v>
      </c>
      <c r="L66" s="35">
        <v>20</v>
      </c>
      <c r="M66" s="25">
        <v>10</v>
      </c>
      <c r="N66" s="25">
        <v>10</v>
      </c>
      <c r="R66" s="30">
        <f t="shared" ref="R66:R129" si="14">SUM(M66:Q66)</f>
        <v>20</v>
      </c>
      <c r="S66" s="30">
        <f t="shared" ref="S66:S129" si="15">IF(OR(G66="diesel", G66="petrol"), ((X66+(V66/10))/2)+(R66/14), IF(OR(G66="cng", G66="hybrid"), ((X66+(V66/10))/2*1.2)+(R66/14), IF(OR(G66="hydrogen", G66="electric"), ((X66+(V66/10))/2*1.5)+(R66/14), 0)))</f>
        <v>19.168571428571429</v>
      </c>
      <c r="T66" s="30">
        <f t="shared" ref="T66:T129" si="16">IF(G66="petrol", ((X66+(Y66/15)+V66)/10*1.5)+(R66/14), IF(G66="diesel", ((X66+(Y66/15)+V66)/10)+(R66/14), IF(OR(G66="cng", G66="hybrid"), ((X66+(Y66/15)+V66)/10*0.8)+(R66/14), IF(OR(G66="hydrogen", G66="electric"), ((X66+(Y66/15)+V66)/10*0.5)+(R66/14), 0))))</f>
        <v>27.328571428571426</v>
      </c>
      <c r="U66" s="25">
        <v>105</v>
      </c>
      <c r="V66" s="31">
        <f t="shared" ref="V66:V129" si="17">W66*1.36</f>
        <v>244.8</v>
      </c>
      <c r="W66" s="25">
        <v>180</v>
      </c>
      <c r="X66" s="25">
        <v>11</v>
      </c>
      <c r="Y66" s="25">
        <v>48</v>
      </c>
      <c r="Z66" s="31">
        <f t="shared" ref="Z66:Z129" si="18">IF(AQ66="Regional", 185, IF(AQ66="Intercity", 150, IF(AQ66="Tourist", 100, 200)))</f>
        <v>200</v>
      </c>
      <c r="AA66" s="31">
        <f t="shared" ref="AA66:AA129" si="19">IF(AG66&gt;8, AG66-8, AG66)</f>
        <v>1</v>
      </c>
      <c r="AB66" s="31">
        <f t="shared" ref="AB66:AB129" si="20">IF(AG66&gt;8, 8, "")</f>
        <v>8</v>
      </c>
      <c r="AC66" s="31" t="str">
        <f t="shared" ref="AC66:AC129" si="21">IF(AH66&gt;8, AH66-8, IF(AH66=0, "", AH66))</f>
        <v/>
      </c>
      <c r="AD66" s="31" t="str">
        <f t="shared" ref="AD66:AD129" si="22">IF(AH66&gt;8, 8, "")</f>
        <v/>
      </c>
      <c r="AE66" s="31" t="str">
        <f t="shared" ref="AE66:AE129" si="23">IF(AI66&gt;8, AI66-8, IF(AI66=0, "", AI66))</f>
        <v/>
      </c>
      <c r="AF66" s="31" t="str">
        <f t="shared" ref="AF66:AF129" si="24">IF(AI66&gt;8, 8, "")</f>
        <v/>
      </c>
      <c r="AG66" s="25">
        <v>9</v>
      </c>
      <c r="AH66" s="25">
        <v>0</v>
      </c>
      <c r="AI66" s="25">
        <v>0</v>
      </c>
      <c r="AJ66" s="23" t="s">
        <v>206</v>
      </c>
      <c r="AK66" s="23" t="s">
        <v>92</v>
      </c>
      <c r="AL66" s="25">
        <v>256</v>
      </c>
      <c r="AO66" s="32" t="str">
        <f t="shared" ref="AO66:AO129" si="25">IF(Q66&gt;0, "5 doors", IF(P66&gt;0, "4 doors", IF(O66&gt;0, "3 doors", IF(N66&gt;0, "2 doors", "1 door"))))</f>
        <v>2 doors</v>
      </c>
      <c r="AP66" s="23" t="s">
        <v>231</v>
      </c>
      <c r="AQ66" s="23" t="s">
        <v>270</v>
      </c>
      <c r="AR66" s="23" t="str">
        <f t="shared" si="13"/>
        <v>CC</v>
      </c>
      <c r="AS66" s="34">
        <f t="shared" ref="AS66:AS129" si="26">(AT66*100)+AU66+(AV66/100)</f>
        <v>1340</v>
      </c>
      <c r="AT66" s="23">
        <v>13</v>
      </c>
      <c r="AU66" s="23">
        <v>40</v>
      </c>
      <c r="AV66" s="23">
        <v>0</v>
      </c>
    </row>
    <row r="67" spans="1:48">
      <c r="A67" s="25">
        <v>256</v>
      </c>
      <c r="B67" s="23" t="s">
        <v>256</v>
      </c>
      <c r="C67" s="23" t="s">
        <v>122</v>
      </c>
      <c r="D67" s="23">
        <v>2</v>
      </c>
      <c r="E67" s="25" t="s">
        <v>30</v>
      </c>
      <c r="F67" s="25" t="s">
        <v>30</v>
      </c>
      <c r="G67" s="23" t="s">
        <v>27</v>
      </c>
      <c r="H67" s="23" t="s">
        <v>254</v>
      </c>
      <c r="I67" s="25">
        <v>1995</v>
      </c>
      <c r="J67" s="35">
        <v>30</v>
      </c>
      <c r="K67" s="35">
        <v>40</v>
      </c>
      <c r="L67" s="35">
        <v>20</v>
      </c>
      <c r="M67" s="25">
        <v>10</v>
      </c>
      <c r="N67" s="25">
        <v>10</v>
      </c>
      <c r="R67" s="30">
        <f t="shared" si="14"/>
        <v>20</v>
      </c>
      <c r="S67" s="30">
        <f t="shared" si="15"/>
        <v>19.168571428571429</v>
      </c>
      <c r="T67" s="30">
        <f t="shared" si="16"/>
        <v>27.381904761904764</v>
      </c>
      <c r="U67" s="25">
        <v>105</v>
      </c>
      <c r="V67" s="31">
        <f t="shared" si="17"/>
        <v>244.8</v>
      </c>
      <c r="W67" s="25">
        <v>180</v>
      </c>
      <c r="X67" s="25">
        <v>11</v>
      </c>
      <c r="Y67" s="25">
        <v>56</v>
      </c>
      <c r="Z67" s="31">
        <f t="shared" si="18"/>
        <v>200</v>
      </c>
      <c r="AA67" s="31">
        <f t="shared" si="19"/>
        <v>2</v>
      </c>
      <c r="AB67" s="31">
        <f t="shared" si="20"/>
        <v>8</v>
      </c>
      <c r="AC67" s="31" t="str">
        <f t="shared" si="21"/>
        <v/>
      </c>
      <c r="AD67" s="31" t="str">
        <f t="shared" si="22"/>
        <v/>
      </c>
      <c r="AE67" s="31" t="str">
        <f t="shared" si="23"/>
        <v/>
      </c>
      <c r="AF67" s="31" t="str">
        <f t="shared" si="24"/>
        <v/>
      </c>
      <c r="AG67" s="25">
        <v>10</v>
      </c>
      <c r="AH67" s="25">
        <v>0</v>
      </c>
      <c r="AI67" s="25">
        <v>0</v>
      </c>
      <c r="AJ67" s="23" t="s">
        <v>206</v>
      </c>
      <c r="AK67" s="23" t="s">
        <v>92</v>
      </c>
      <c r="AL67" s="25">
        <v>256</v>
      </c>
      <c r="AO67" s="32" t="str">
        <f t="shared" si="25"/>
        <v>2 doors</v>
      </c>
      <c r="AP67" s="23" t="s">
        <v>255</v>
      </c>
      <c r="AQ67" s="23" t="s">
        <v>270</v>
      </c>
      <c r="AR67" s="23" t="str">
        <f t="shared" ref="AR67:AR130" si="27">IF(E67="CC1", "CC", IF(E67="CC2", "CC", IF(E67="CC3", "CC", "Hungary")))</f>
        <v>CC</v>
      </c>
      <c r="AS67" s="34">
        <f t="shared" si="26"/>
        <v>1340</v>
      </c>
      <c r="AT67" s="23">
        <v>13</v>
      </c>
      <c r="AU67" s="23">
        <v>40</v>
      </c>
      <c r="AV67" s="23">
        <v>0</v>
      </c>
    </row>
    <row r="68" spans="1:48">
      <c r="A68" s="25">
        <v>260</v>
      </c>
      <c r="B68" s="23" t="s">
        <v>89</v>
      </c>
      <c r="C68" s="23" t="s">
        <v>124</v>
      </c>
      <c r="D68" s="23">
        <v>3</v>
      </c>
      <c r="E68" s="25" t="s">
        <v>30</v>
      </c>
      <c r="F68" s="25" t="s">
        <v>30</v>
      </c>
      <c r="G68" s="23" t="s">
        <v>27</v>
      </c>
      <c r="H68" s="23" t="s">
        <v>156</v>
      </c>
      <c r="I68" s="25">
        <v>1971</v>
      </c>
      <c r="J68" s="35">
        <v>30</v>
      </c>
      <c r="K68" s="35">
        <v>40</v>
      </c>
      <c r="L68" s="35">
        <v>20</v>
      </c>
      <c r="M68" s="25">
        <v>10</v>
      </c>
      <c r="N68" s="25">
        <v>10</v>
      </c>
      <c r="O68" s="25">
        <v>10</v>
      </c>
      <c r="R68" s="30">
        <f t="shared" si="14"/>
        <v>30</v>
      </c>
      <c r="S68" s="30">
        <f t="shared" si="15"/>
        <v>17.230857142857143</v>
      </c>
      <c r="T68" s="30">
        <f t="shared" si="16"/>
        <v>23.08552380952381</v>
      </c>
      <c r="U68" s="25">
        <v>62</v>
      </c>
      <c r="V68" s="31">
        <f t="shared" si="17"/>
        <v>191.76000000000002</v>
      </c>
      <c r="W68" s="25">
        <v>141</v>
      </c>
      <c r="X68" s="25">
        <v>11</v>
      </c>
      <c r="Y68" s="25">
        <v>100</v>
      </c>
      <c r="Z68" s="31">
        <f t="shared" si="18"/>
        <v>200</v>
      </c>
      <c r="AA68" s="31">
        <f t="shared" si="19"/>
        <v>1</v>
      </c>
      <c r="AB68" s="31">
        <f t="shared" si="20"/>
        <v>8</v>
      </c>
      <c r="AC68" s="31" t="str">
        <f t="shared" si="21"/>
        <v/>
      </c>
      <c r="AD68" s="31" t="str">
        <f t="shared" si="22"/>
        <v/>
      </c>
      <c r="AE68" s="31" t="str">
        <f t="shared" si="23"/>
        <v/>
      </c>
      <c r="AF68" s="31" t="str">
        <f t="shared" si="24"/>
        <v/>
      </c>
      <c r="AG68" s="25">
        <v>9</v>
      </c>
      <c r="AH68" s="25">
        <v>0</v>
      </c>
      <c r="AI68" s="25">
        <v>0</v>
      </c>
      <c r="AJ68" s="23" t="s">
        <v>206</v>
      </c>
      <c r="AK68" s="23" t="s">
        <v>92</v>
      </c>
      <c r="AL68" s="25">
        <v>260</v>
      </c>
      <c r="AO68" s="32" t="str">
        <f t="shared" si="25"/>
        <v>3 doors</v>
      </c>
      <c r="AP68" s="23" t="s">
        <v>232</v>
      </c>
      <c r="AQ68" s="23" t="s">
        <v>32</v>
      </c>
      <c r="AR68" s="23" t="str">
        <f t="shared" si="27"/>
        <v>CC</v>
      </c>
      <c r="AS68" s="34">
        <f t="shared" si="26"/>
        <v>1400</v>
      </c>
      <c r="AT68" s="23">
        <v>14</v>
      </c>
      <c r="AU68" s="23">
        <v>0</v>
      </c>
      <c r="AV68" s="23">
        <v>0</v>
      </c>
    </row>
    <row r="69" spans="1:48">
      <c r="A69" s="25">
        <v>260</v>
      </c>
      <c r="B69" s="23" t="s">
        <v>89</v>
      </c>
      <c r="C69" s="23" t="s">
        <v>124</v>
      </c>
      <c r="D69" s="23">
        <v>3</v>
      </c>
      <c r="E69" s="25" t="s">
        <v>42</v>
      </c>
      <c r="F69" s="25" t="s">
        <v>42</v>
      </c>
      <c r="G69" s="23" t="s">
        <v>27</v>
      </c>
      <c r="H69" s="23" t="s">
        <v>156</v>
      </c>
      <c r="I69" s="25">
        <v>1971</v>
      </c>
      <c r="J69" s="35">
        <v>30</v>
      </c>
      <c r="K69" s="35">
        <v>40</v>
      </c>
      <c r="L69" s="35">
        <v>20</v>
      </c>
      <c r="M69" s="25">
        <v>10</v>
      </c>
      <c r="N69" s="25">
        <v>10</v>
      </c>
      <c r="O69" s="25">
        <v>10</v>
      </c>
      <c r="R69" s="30">
        <f t="shared" si="14"/>
        <v>30</v>
      </c>
      <c r="S69" s="30">
        <f t="shared" si="15"/>
        <v>17.230857142857143</v>
      </c>
      <c r="T69" s="30">
        <f t="shared" si="16"/>
        <v>23.08552380952381</v>
      </c>
      <c r="U69" s="25">
        <v>62</v>
      </c>
      <c r="V69" s="31">
        <f t="shared" si="17"/>
        <v>191.76000000000002</v>
      </c>
      <c r="W69" s="25">
        <v>141</v>
      </c>
      <c r="X69" s="25">
        <v>11</v>
      </c>
      <c r="Y69" s="25">
        <v>100</v>
      </c>
      <c r="Z69" s="31">
        <f t="shared" si="18"/>
        <v>200</v>
      </c>
      <c r="AA69" s="31">
        <f t="shared" si="19"/>
        <v>1</v>
      </c>
      <c r="AB69" s="31">
        <f t="shared" si="20"/>
        <v>8</v>
      </c>
      <c r="AC69" s="31" t="str">
        <f t="shared" si="21"/>
        <v/>
      </c>
      <c r="AD69" s="31" t="str">
        <f t="shared" si="22"/>
        <v/>
      </c>
      <c r="AE69" s="31" t="str">
        <f t="shared" si="23"/>
        <v/>
      </c>
      <c r="AF69" s="31" t="str">
        <f t="shared" si="24"/>
        <v/>
      </c>
      <c r="AG69" s="25">
        <v>9</v>
      </c>
      <c r="AH69" s="25">
        <v>0</v>
      </c>
      <c r="AI69" s="25">
        <v>0</v>
      </c>
      <c r="AJ69" s="23" t="s">
        <v>206</v>
      </c>
      <c r="AK69" s="23" t="s">
        <v>92</v>
      </c>
      <c r="AL69" s="25">
        <v>260</v>
      </c>
      <c r="AO69" s="32" t="str">
        <f t="shared" si="25"/>
        <v>3 doors</v>
      </c>
      <c r="AP69" s="23" t="s">
        <v>232</v>
      </c>
      <c r="AQ69" s="23" t="s">
        <v>32</v>
      </c>
      <c r="AR69" s="23" t="str">
        <f t="shared" si="27"/>
        <v>CC</v>
      </c>
      <c r="AS69" s="34">
        <f t="shared" si="26"/>
        <v>1400.01</v>
      </c>
      <c r="AT69" s="23">
        <v>14</v>
      </c>
      <c r="AU69" s="23">
        <v>0</v>
      </c>
      <c r="AV69" s="23">
        <v>1</v>
      </c>
    </row>
    <row r="70" spans="1:48">
      <c r="A70" s="25">
        <v>260</v>
      </c>
      <c r="B70" s="23" t="s">
        <v>89</v>
      </c>
      <c r="C70" s="23" t="s">
        <v>124</v>
      </c>
      <c r="D70" s="23">
        <v>3</v>
      </c>
      <c r="E70" s="25" t="s">
        <v>85</v>
      </c>
      <c r="F70" s="25" t="s">
        <v>85</v>
      </c>
      <c r="G70" s="23" t="s">
        <v>27</v>
      </c>
      <c r="H70" s="23" t="s">
        <v>156</v>
      </c>
      <c r="I70" s="25">
        <v>1971</v>
      </c>
      <c r="J70" s="35">
        <v>30</v>
      </c>
      <c r="K70" s="35">
        <v>40</v>
      </c>
      <c r="L70" s="35">
        <v>20</v>
      </c>
      <c r="M70" s="25">
        <v>10</v>
      </c>
      <c r="N70" s="25">
        <v>10</v>
      </c>
      <c r="O70" s="25">
        <v>10</v>
      </c>
      <c r="R70" s="30">
        <f t="shared" si="14"/>
        <v>30</v>
      </c>
      <c r="S70" s="30">
        <f t="shared" si="15"/>
        <v>17.230857142857143</v>
      </c>
      <c r="T70" s="30">
        <f t="shared" si="16"/>
        <v>23.08552380952381</v>
      </c>
      <c r="U70" s="25">
        <v>62</v>
      </c>
      <c r="V70" s="31">
        <f t="shared" si="17"/>
        <v>191.76000000000002</v>
      </c>
      <c r="W70" s="25">
        <v>141</v>
      </c>
      <c r="X70" s="25">
        <v>11</v>
      </c>
      <c r="Y70" s="25">
        <v>100</v>
      </c>
      <c r="Z70" s="31">
        <f t="shared" si="18"/>
        <v>200</v>
      </c>
      <c r="AA70" s="31">
        <f t="shared" si="19"/>
        <v>1</v>
      </c>
      <c r="AB70" s="31">
        <f t="shared" si="20"/>
        <v>8</v>
      </c>
      <c r="AC70" s="31" t="str">
        <f t="shared" si="21"/>
        <v/>
      </c>
      <c r="AD70" s="31" t="str">
        <f t="shared" si="22"/>
        <v/>
      </c>
      <c r="AE70" s="31" t="str">
        <f t="shared" si="23"/>
        <v/>
      </c>
      <c r="AF70" s="31" t="str">
        <f t="shared" si="24"/>
        <v/>
      </c>
      <c r="AG70" s="25">
        <v>9</v>
      </c>
      <c r="AH70" s="25">
        <v>0</v>
      </c>
      <c r="AI70" s="25">
        <v>0</v>
      </c>
      <c r="AJ70" s="23" t="s">
        <v>206</v>
      </c>
      <c r="AK70" s="23" t="s">
        <v>92</v>
      </c>
      <c r="AL70" s="25">
        <v>260</v>
      </c>
      <c r="AO70" s="32" t="str">
        <f t="shared" si="25"/>
        <v>3 doors</v>
      </c>
      <c r="AP70" s="23" t="s">
        <v>232</v>
      </c>
      <c r="AQ70" s="23" t="s">
        <v>32</v>
      </c>
      <c r="AR70" s="23" t="str">
        <f t="shared" si="27"/>
        <v>Hungary</v>
      </c>
      <c r="AS70" s="34">
        <f t="shared" si="26"/>
        <v>1400.02</v>
      </c>
      <c r="AT70" s="23">
        <v>14</v>
      </c>
      <c r="AU70" s="23">
        <v>0</v>
      </c>
      <c r="AV70" s="23">
        <v>2</v>
      </c>
    </row>
    <row r="71" spans="1:48">
      <c r="A71" s="25">
        <v>260</v>
      </c>
      <c r="B71" s="23" t="s">
        <v>125</v>
      </c>
      <c r="C71" s="23" t="s">
        <v>124</v>
      </c>
      <c r="D71" s="23">
        <v>2</v>
      </c>
      <c r="E71" s="25" t="s">
        <v>30</v>
      </c>
      <c r="F71" s="25" t="s">
        <v>30</v>
      </c>
      <c r="G71" s="23" t="s">
        <v>27</v>
      </c>
      <c r="H71" s="23" t="s">
        <v>157</v>
      </c>
      <c r="I71" s="25">
        <v>1971</v>
      </c>
      <c r="J71" s="35">
        <v>30</v>
      </c>
      <c r="K71" s="35">
        <v>40</v>
      </c>
      <c r="L71" s="35">
        <v>20</v>
      </c>
      <c r="M71" s="25">
        <v>10</v>
      </c>
      <c r="N71" s="25">
        <v>10</v>
      </c>
      <c r="R71" s="30">
        <f t="shared" si="14"/>
        <v>20</v>
      </c>
      <c r="S71" s="30">
        <f t="shared" si="15"/>
        <v>16.516571428571428</v>
      </c>
      <c r="T71" s="30">
        <f t="shared" si="16"/>
        <v>22.17790476190476</v>
      </c>
      <c r="U71" s="25">
        <v>78</v>
      </c>
      <c r="V71" s="31">
        <f t="shared" si="17"/>
        <v>191.76000000000002</v>
      </c>
      <c r="W71" s="25">
        <v>141</v>
      </c>
      <c r="X71" s="25">
        <v>11</v>
      </c>
      <c r="Y71" s="25">
        <v>71</v>
      </c>
      <c r="Z71" s="31">
        <f t="shared" si="18"/>
        <v>200</v>
      </c>
      <c r="AA71" s="31">
        <f t="shared" si="19"/>
        <v>1</v>
      </c>
      <c r="AB71" s="31">
        <f t="shared" si="20"/>
        <v>8</v>
      </c>
      <c r="AC71" s="31" t="str">
        <f t="shared" si="21"/>
        <v/>
      </c>
      <c r="AD71" s="31" t="str">
        <f t="shared" si="22"/>
        <v/>
      </c>
      <c r="AE71" s="31" t="str">
        <f t="shared" si="23"/>
        <v/>
      </c>
      <c r="AF71" s="31" t="str">
        <f t="shared" si="24"/>
        <v/>
      </c>
      <c r="AG71" s="25">
        <v>9</v>
      </c>
      <c r="AH71" s="25">
        <v>0</v>
      </c>
      <c r="AI71" s="25">
        <v>0</v>
      </c>
      <c r="AJ71" s="23" t="s">
        <v>206</v>
      </c>
      <c r="AK71" s="23" t="s">
        <v>92</v>
      </c>
      <c r="AL71" s="25">
        <v>260</v>
      </c>
      <c r="AO71" s="32" t="str">
        <f t="shared" si="25"/>
        <v>2 doors</v>
      </c>
      <c r="AP71" s="23" t="s">
        <v>233</v>
      </c>
      <c r="AQ71" s="23" t="s">
        <v>270</v>
      </c>
      <c r="AR71" s="23" t="str">
        <f t="shared" si="27"/>
        <v>CC</v>
      </c>
      <c r="AS71" s="34">
        <f t="shared" si="26"/>
        <v>1410</v>
      </c>
      <c r="AT71" s="23">
        <v>14</v>
      </c>
      <c r="AU71" s="23">
        <v>10</v>
      </c>
      <c r="AV71" s="23">
        <v>0</v>
      </c>
    </row>
    <row r="72" spans="1:48">
      <c r="A72" s="25">
        <v>260</v>
      </c>
      <c r="B72" s="23" t="s">
        <v>89</v>
      </c>
      <c r="D72" s="23">
        <v>3</v>
      </c>
      <c r="E72" s="25" t="s">
        <v>30</v>
      </c>
      <c r="F72" s="25" t="s">
        <v>30</v>
      </c>
      <c r="G72" s="23" t="s">
        <v>27</v>
      </c>
      <c r="H72" s="23" t="s">
        <v>158</v>
      </c>
      <c r="I72" s="25">
        <v>1980</v>
      </c>
      <c r="J72" s="35">
        <v>30</v>
      </c>
      <c r="K72" s="35">
        <v>40</v>
      </c>
      <c r="L72" s="35">
        <v>20</v>
      </c>
      <c r="M72" s="25">
        <v>10</v>
      </c>
      <c r="N72" s="25">
        <v>10</v>
      </c>
      <c r="O72" s="25">
        <v>10</v>
      </c>
      <c r="R72" s="30">
        <f t="shared" si="14"/>
        <v>30</v>
      </c>
      <c r="S72" s="30">
        <f t="shared" si="15"/>
        <v>18.522857142857145</v>
      </c>
      <c r="T72" s="30">
        <f t="shared" si="16"/>
        <v>25.66952380952381</v>
      </c>
      <c r="U72" s="25">
        <v>66</v>
      </c>
      <c r="V72" s="31">
        <f t="shared" si="17"/>
        <v>217.60000000000002</v>
      </c>
      <c r="W72" s="25">
        <v>160</v>
      </c>
      <c r="X72" s="25">
        <v>11</v>
      </c>
      <c r="Y72" s="25">
        <v>100</v>
      </c>
      <c r="Z72" s="31">
        <f t="shared" si="18"/>
        <v>200</v>
      </c>
      <c r="AA72" s="31">
        <f t="shared" si="19"/>
        <v>1</v>
      </c>
      <c r="AB72" s="31">
        <f t="shared" si="20"/>
        <v>8</v>
      </c>
      <c r="AC72" s="31" t="str">
        <f t="shared" si="21"/>
        <v/>
      </c>
      <c r="AD72" s="31" t="str">
        <f t="shared" si="22"/>
        <v/>
      </c>
      <c r="AE72" s="31" t="str">
        <f t="shared" si="23"/>
        <v/>
      </c>
      <c r="AF72" s="31" t="str">
        <f t="shared" si="24"/>
        <v/>
      </c>
      <c r="AG72" s="25">
        <v>9</v>
      </c>
      <c r="AH72" s="25">
        <v>0</v>
      </c>
      <c r="AI72" s="25">
        <v>0</v>
      </c>
      <c r="AJ72" s="23" t="s">
        <v>206</v>
      </c>
      <c r="AK72" s="23" t="s">
        <v>92</v>
      </c>
      <c r="AL72" s="25">
        <v>260</v>
      </c>
      <c r="AO72" s="32" t="str">
        <f t="shared" si="25"/>
        <v>3 doors</v>
      </c>
      <c r="AP72" s="23" t="s">
        <v>235</v>
      </c>
      <c r="AQ72" s="23" t="s">
        <v>32</v>
      </c>
      <c r="AR72" s="23" t="str">
        <f t="shared" si="27"/>
        <v>CC</v>
      </c>
      <c r="AS72" s="34">
        <f t="shared" si="26"/>
        <v>1420</v>
      </c>
      <c r="AT72" s="23">
        <v>14</v>
      </c>
      <c r="AU72" s="23">
        <v>20</v>
      </c>
      <c r="AV72" s="23">
        <v>0</v>
      </c>
    </row>
    <row r="73" spans="1:48">
      <c r="A73" s="25">
        <v>260</v>
      </c>
      <c r="B73" s="23" t="s">
        <v>125</v>
      </c>
      <c r="D73" s="23">
        <v>2</v>
      </c>
      <c r="E73" s="25" t="s">
        <v>30</v>
      </c>
      <c r="F73" s="25" t="s">
        <v>30</v>
      </c>
      <c r="G73" s="23" t="s">
        <v>27</v>
      </c>
      <c r="H73" s="23" t="s">
        <v>159</v>
      </c>
      <c r="I73" s="25">
        <v>1980</v>
      </c>
      <c r="J73" s="35">
        <v>30</v>
      </c>
      <c r="K73" s="35">
        <v>40</v>
      </c>
      <c r="L73" s="35">
        <v>20</v>
      </c>
      <c r="M73" s="25">
        <v>10</v>
      </c>
      <c r="N73" s="25">
        <v>10</v>
      </c>
      <c r="R73" s="30">
        <f t="shared" si="14"/>
        <v>20</v>
      </c>
      <c r="S73" s="30">
        <f t="shared" si="15"/>
        <v>17.80857142857143</v>
      </c>
      <c r="T73" s="30">
        <f t="shared" si="16"/>
        <v>24.761904761904763</v>
      </c>
      <c r="U73" s="25">
        <v>78</v>
      </c>
      <c r="V73" s="31">
        <f t="shared" si="17"/>
        <v>217.60000000000002</v>
      </c>
      <c r="W73" s="25">
        <v>160</v>
      </c>
      <c r="X73" s="25">
        <v>11</v>
      </c>
      <c r="Y73" s="25">
        <v>71</v>
      </c>
      <c r="Z73" s="31">
        <f t="shared" si="18"/>
        <v>200</v>
      </c>
      <c r="AA73" s="31">
        <f t="shared" si="19"/>
        <v>1</v>
      </c>
      <c r="AB73" s="31">
        <f t="shared" si="20"/>
        <v>8</v>
      </c>
      <c r="AC73" s="31" t="str">
        <f t="shared" si="21"/>
        <v/>
      </c>
      <c r="AD73" s="31" t="str">
        <f t="shared" si="22"/>
        <v/>
      </c>
      <c r="AE73" s="31" t="str">
        <f t="shared" si="23"/>
        <v/>
      </c>
      <c r="AF73" s="31" t="str">
        <f t="shared" si="24"/>
        <v/>
      </c>
      <c r="AG73" s="25">
        <v>9</v>
      </c>
      <c r="AH73" s="25">
        <v>0</v>
      </c>
      <c r="AI73" s="25">
        <v>0</v>
      </c>
      <c r="AJ73" s="23" t="s">
        <v>206</v>
      </c>
      <c r="AK73" s="23" t="s">
        <v>92</v>
      </c>
      <c r="AL73" s="25">
        <v>260</v>
      </c>
      <c r="AO73" s="32" t="str">
        <f t="shared" si="25"/>
        <v>2 doors</v>
      </c>
      <c r="AP73" s="23" t="s">
        <v>234</v>
      </c>
      <c r="AQ73" s="23" t="s">
        <v>270</v>
      </c>
      <c r="AR73" s="23" t="str">
        <f t="shared" si="27"/>
        <v>CC</v>
      </c>
      <c r="AS73" s="34">
        <f t="shared" si="26"/>
        <v>1430</v>
      </c>
      <c r="AT73" s="23">
        <v>14</v>
      </c>
      <c r="AU73" s="23">
        <v>30</v>
      </c>
      <c r="AV73" s="23">
        <v>0</v>
      </c>
    </row>
    <row r="74" spans="1:48">
      <c r="A74" s="25">
        <v>260</v>
      </c>
      <c r="B74" s="23" t="s">
        <v>89</v>
      </c>
      <c r="C74" s="23" t="s">
        <v>126</v>
      </c>
      <c r="D74" s="23">
        <v>3</v>
      </c>
      <c r="E74" s="25" t="s">
        <v>30</v>
      </c>
      <c r="F74" s="25" t="s">
        <v>30</v>
      </c>
      <c r="G74" s="23" t="s">
        <v>27</v>
      </c>
      <c r="H74" s="23" t="s">
        <v>160</v>
      </c>
      <c r="I74" s="25">
        <v>1997</v>
      </c>
      <c r="J74" s="35">
        <v>30</v>
      </c>
      <c r="K74" s="35">
        <v>40</v>
      </c>
      <c r="L74" s="35">
        <v>20</v>
      </c>
      <c r="M74" s="25">
        <v>10</v>
      </c>
      <c r="N74" s="25">
        <v>10</v>
      </c>
      <c r="O74" s="25">
        <v>10</v>
      </c>
      <c r="R74" s="30">
        <f t="shared" si="14"/>
        <v>30</v>
      </c>
      <c r="S74" s="30">
        <f t="shared" si="15"/>
        <v>20.562857142857144</v>
      </c>
      <c r="T74" s="30">
        <f t="shared" si="16"/>
        <v>29.749523809523815</v>
      </c>
      <c r="U74" s="25">
        <v>72</v>
      </c>
      <c r="V74" s="31">
        <f t="shared" si="17"/>
        <v>258.40000000000003</v>
      </c>
      <c r="W74" s="25">
        <v>190</v>
      </c>
      <c r="X74" s="25">
        <v>11</v>
      </c>
      <c r="Y74" s="25">
        <v>100</v>
      </c>
      <c r="Z74" s="31">
        <f t="shared" si="18"/>
        <v>200</v>
      </c>
      <c r="AA74" s="31">
        <f t="shared" si="19"/>
        <v>1</v>
      </c>
      <c r="AB74" s="31">
        <f t="shared" si="20"/>
        <v>8</v>
      </c>
      <c r="AC74" s="31" t="str">
        <f t="shared" si="21"/>
        <v/>
      </c>
      <c r="AD74" s="31" t="str">
        <f t="shared" si="22"/>
        <v/>
      </c>
      <c r="AE74" s="31" t="str">
        <f t="shared" si="23"/>
        <v/>
      </c>
      <c r="AF74" s="31" t="str">
        <f t="shared" si="24"/>
        <v/>
      </c>
      <c r="AG74" s="25">
        <v>9</v>
      </c>
      <c r="AH74" s="25">
        <v>0</v>
      </c>
      <c r="AI74" s="25">
        <v>0</v>
      </c>
      <c r="AJ74" s="23" t="s">
        <v>206</v>
      </c>
      <c r="AK74" s="23" t="s">
        <v>92</v>
      </c>
      <c r="AL74" s="25">
        <v>260</v>
      </c>
      <c r="AO74" s="32" t="str">
        <f t="shared" si="25"/>
        <v>3 doors</v>
      </c>
      <c r="AQ74" s="23" t="s">
        <v>32</v>
      </c>
      <c r="AR74" s="23" t="str">
        <f t="shared" si="27"/>
        <v>CC</v>
      </c>
      <c r="AS74" s="34">
        <f t="shared" si="26"/>
        <v>1440</v>
      </c>
      <c r="AT74" s="23">
        <v>14</v>
      </c>
      <c r="AU74" s="23">
        <v>40</v>
      </c>
      <c r="AV74" s="23">
        <v>0</v>
      </c>
    </row>
    <row r="75" spans="1:48">
      <c r="A75" s="25">
        <v>260</v>
      </c>
      <c r="C75" s="23" t="s">
        <v>28</v>
      </c>
      <c r="D75" s="23">
        <v>3</v>
      </c>
      <c r="E75" s="25" t="s">
        <v>30</v>
      </c>
      <c r="F75" s="25" t="s">
        <v>30</v>
      </c>
      <c r="G75" s="23" t="s">
        <v>28</v>
      </c>
      <c r="H75" s="23" t="s">
        <v>155</v>
      </c>
      <c r="I75" s="25">
        <v>1999</v>
      </c>
      <c r="J75" s="35">
        <v>30</v>
      </c>
      <c r="K75" s="35">
        <v>40</v>
      </c>
      <c r="L75" s="35">
        <v>20</v>
      </c>
      <c r="M75" s="25">
        <v>10</v>
      </c>
      <c r="N75" s="25">
        <v>10</v>
      </c>
      <c r="O75" s="25">
        <v>10</v>
      </c>
      <c r="R75" s="30">
        <f t="shared" si="14"/>
        <v>30</v>
      </c>
      <c r="S75" s="30">
        <f t="shared" si="15"/>
        <v>24.246857142857145</v>
      </c>
      <c r="T75" s="30">
        <f t="shared" si="16"/>
        <v>24.217523809523815</v>
      </c>
      <c r="U75" s="25">
        <v>66</v>
      </c>
      <c r="V75" s="31">
        <f t="shared" si="17"/>
        <v>258.40000000000003</v>
      </c>
      <c r="W75" s="25">
        <v>190</v>
      </c>
      <c r="X75" s="25">
        <v>11</v>
      </c>
      <c r="Y75" s="25">
        <v>98</v>
      </c>
      <c r="Z75" s="31">
        <f t="shared" si="18"/>
        <v>200</v>
      </c>
      <c r="AA75" s="31">
        <f t="shared" si="19"/>
        <v>1</v>
      </c>
      <c r="AB75" s="31">
        <f t="shared" si="20"/>
        <v>8</v>
      </c>
      <c r="AC75" s="31" t="str">
        <f t="shared" si="21"/>
        <v/>
      </c>
      <c r="AD75" s="31" t="str">
        <f t="shared" si="22"/>
        <v/>
      </c>
      <c r="AE75" s="31" t="str">
        <f t="shared" si="23"/>
        <v/>
      </c>
      <c r="AF75" s="31" t="str">
        <f t="shared" si="24"/>
        <v/>
      </c>
      <c r="AG75" s="25">
        <v>9</v>
      </c>
      <c r="AH75" s="25">
        <v>0</v>
      </c>
      <c r="AI75" s="25">
        <v>0</v>
      </c>
      <c r="AJ75" s="23" t="s">
        <v>206</v>
      </c>
      <c r="AK75" s="23" t="s">
        <v>92</v>
      </c>
      <c r="AL75" s="25">
        <v>260</v>
      </c>
      <c r="AO75" s="32" t="str">
        <f t="shared" si="25"/>
        <v>3 doors</v>
      </c>
      <c r="AQ75" s="23" t="s">
        <v>32</v>
      </c>
      <c r="AR75" s="23" t="str">
        <f t="shared" si="27"/>
        <v>CC</v>
      </c>
      <c r="AS75" s="34">
        <f t="shared" si="26"/>
        <v>1450</v>
      </c>
      <c r="AT75" s="23">
        <v>14</v>
      </c>
      <c r="AU75" s="23">
        <v>50</v>
      </c>
      <c r="AV75" s="23">
        <v>0</v>
      </c>
    </row>
    <row r="76" spans="1:48">
      <c r="A76" s="25">
        <v>263</v>
      </c>
      <c r="D76" s="23">
        <v>2</v>
      </c>
      <c r="E76" s="25" t="s">
        <v>30</v>
      </c>
      <c r="F76" s="25" t="s">
        <v>30</v>
      </c>
      <c r="G76" s="23" t="s">
        <v>27</v>
      </c>
      <c r="H76" s="23" t="s">
        <v>161</v>
      </c>
      <c r="I76" s="25">
        <v>1989</v>
      </c>
      <c r="J76" s="35">
        <v>30</v>
      </c>
      <c r="K76" s="35">
        <v>40</v>
      </c>
      <c r="L76" s="35">
        <v>20</v>
      </c>
      <c r="M76" s="25">
        <v>10</v>
      </c>
      <c r="N76" s="25">
        <v>10</v>
      </c>
      <c r="R76" s="30">
        <f t="shared" si="14"/>
        <v>20</v>
      </c>
      <c r="S76" s="30">
        <f t="shared" si="15"/>
        <v>17.016571428571428</v>
      </c>
      <c r="T76" s="30">
        <f t="shared" si="16"/>
        <v>22.497904761904763</v>
      </c>
      <c r="U76" s="25">
        <v>78</v>
      </c>
      <c r="V76" s="31">
        <f t="shared" si="17"/>
        <v>191.76000000000002</v>
      </c>
      <c r="W76" s="25">
        <v>141</v>
      </c>
      <c r="X76" s="25">
        <v>12</v>
      </c>
      <c r="Y76" s="25">
        <v>104</v>
      </c>
      <c r="Z76" s="31">
        <f t="shared" si="18"/>
        <v>200</v>
      </c>
      <c r="AA76" s="31">
        <f t="shared" si="19"/>
        <v>2</v>
      </c>
      <c r="AB76" s="31">
        <f t="shared" si="20"/>
        <v>8</v>
      </c>
      <c r="AC76" s="31" t="str">
        <f t="shared" si="21"/>
        <v/>
      </c>
      <c r="AD76" s="31" t="str">
        <f t="shared" si="22"/>
        <v/>
      </c>
      <c r="AE76" s="31" t="str">
        <f t="shared" si="23"/>
        <v/>
      </c>
      <c r="AF76" s="31" t="str">
        <f t="shared" si="24"/>
        <v/>
      </c>
      <c r="AG76" s="25">
        <v>10</v>
      </c>
      <c r="AH76" s="25">
        <v>0</v>
      </c>
      <c r="AI76" s="25">
        <v>0</v>
      </c>
      <c r="AJ76" s="23" t="s">
        <v>206</v>
      </c>
      <c r="AK76" s="23" t="s">
        <v>92</v>
      </c>
      <c r="AL76" s="25">
        <v>263</v>
      </c>
      <c r="AO76" s="32" t="str">
        <f t="shared" si="25"/>
        <v>2 doors</v>
      </c>
      <c r="AP76" s="23" t="s">
        <v>237</v>
      </c>
      <c r="AQ76" s="23" t="s">
        <v>270</v>
      </c>
      <c r="AR76" s="23" t="str">
        <f t="shared" si="27"/>
        <v>CC</v>
      </c>
      <c r="AS76" s="34">
        <f t="shared" si="26"/>
        <v>1450</v>
      </c>
      <c r="AT76" s="23">
        <v>14</v>
      </c>
      <c r="AU76" s="23">
        <v>50</v>
      </c>
      <c r="AV76" s="23">
        <v>0</v>
      </c>
    </row>
    <row r="77" spans="1:48">
      <c r="A77" s="25">
        <v>263</v>
      </c>
      <c r="D77" s="23">
        <v>3</v>
      </c>
      <c r="E77" s="25" t="s">
        <v>30</v>
      </c>
      <c r="F77" s="25" t="s">
        <v>30</v>
      </c>
      <c r="G77" s="23" t="s">
        <v>27</v>
      </c>
      <c r="H77" s="23" t="s">
        <v>216</v>
      </c>
      <c r="I77" s="25">
        <v>1997</v>
      </c>
      <c r="J77" s="35">
        <v>30</v>
      </c>
      <c r="K77" s="35">
        <v>40</v>
      </c>
      <c r="L77" s="35">
        <v>20</v>
      </c>
      <c r="M77" s="25">
        <v>10</v>
      </c>
      <c r="N77" s="25">
        <v>10</v>
      </c>
      <c r="O77" s="25">
        <v>10</v>
      </c>
      <c r="R77" s="30">
        <f t="shared" si="14"/>
        <v>30</v>
      </c>
      <c r="S77" s="30">
        <f t="shared" si="15"/>
        <v>17.730857142857143</v>
      </c>
      <c r="T77" s="30">
        <f t="shared" si="16"/>
        <v>23.318857142857144</v>
      </c>
      <c r="U77" s="25">
        <v>78</v>
      </c>
      <c r="V77" s="31">
        <f t="shared" si="17"/>
        <v>191.76000000000002</v>
      </c>
      <c r="W77" s="25">
        <v>141</v>
      </c>
      <c r="X77" s="25">
        <v>12</v>
      </c>
      <c r="Y77" s="25">
        <v>120</v>
      </c>
      <c r="Z77" s="31">
        <f t="shared" si="18"/>
        <v>200</v>
      </c>
      <c r="AA77" s="31">
        <f t="shared" si="19"/>
        <v>2</v>
      </c>
      <c r="AB77" s="31">
        <f t="shared" si="20"/>
        <v>8</v>
      </c>
      <c r="AC77" s="31" t="str">
        <f t="shared" si="21"/>
        <v/>
      </c>
      <c r="AD77" s="31" t="str">
        <f t="shared" si="22"/>
        <v/>
      </c>
      <c r="AE77" s="31" t="str">
        <f t="shared" si="23"/>
        <v/>
      </c>
      <c r="AF77" s="31" t="str">
        <f t="shared" si="24"/>
        <v/>
      </c>
      <c r="AG77" s="25">
        <v>10</v>
      </c>
      <c r="AH77" s="25">
        <v>0</v>
      </c>
      <c r="AI77" s="25">
        <v>0</v>
      </c>
      <c r="AJ77" s="23" t="s">
        <v>206</v>
      </c>
      <c r="AK77" s="23" t="s">
        <v>92</v>
      </c>
      <c r="AL77" s="25">
        <v>263</v>
      </c>
      <c r="AO77" s="32" t="str">
        <f t="shared" si="25"/>
        <v>3 doors</v>
      </c>
      <c r="AP77" s="23" t="s">
        <v>236</v>
      </c>
      <c r="AQ77" s="23" t="s">
        <v>32</v>
      </c>
      <c r="AR77" s="23" t="str">
        <f t="shared" si="27"/>
        <v>CC</v>
      </c>
      <c r="AS77" s="34">
        <f t="shared" si="26"/>
        <v>1451</v>
      </c>
      <c r="AT77" s="23">
        <v>14</v>
      </c>
      <c r="AU77" s="23">
        <v>51</v>
      </c>
      <c r="AV77" s="23">
        <v>0</v>
      </c>
    </row>
    <row r="78" spans="1:48">
      <c r="A78" s="25">
        <v>263</v>
      </c>
      <c r="D78" s="23">
        <v>3</v>
      </c>
      <c r="E78" s="25" t="s">
        <v>42</v>
      </c>
      <c r="F78" s="25" t="s">
        <v>42</v>
      </c>
      <c r="G78" s="23" t="s">
        <v>27</v>
      </c>
      <c r="H78" s="23" t="s">
        <v>216</v>
      </c>
      <c r="I78" s="25">
        <v>1997</v>
      </c>
      <c r="J78" s="35">
        <v>30</v>
      </c>
      <c r="K78" s="35">
        <v>40</v>
      </c>
      <c r="L78" s="35">
        <v>20</v>
      </c>
      <c r="M78" s="25">
        <v>10</v>
      </c>
      <c r="N78" s="25">
        <v>10</v>
      </c>
      <c r="O78" s="25">
        <v>10</v>
      </c>
      <c r="R78" s="30">
        <f t="shared" si="14"/>
        <v>30</v>
      </c>
      <c r="S78" s="30">
        <f t="shared" si="15"/>
        <v>17.730857142857143</v>
      </c>
      <c r="T78" s="30">
        <f t="shared" si="16"/>
        <v>23.318857142857144</v>
      </c>
      <c r="U78" s="25">
        <v>78</v>
      </c>
      <c r="V78" s="31">
        <f t="shared" si="17"/>
        <v>191.76000000000002</v>
      </c>
      <c r="W78" s="25">
        <v>141</v>
      </c>
      <c r="X78" s="25">
        <v>12</v>
      </c>
      <c r="Y78" s="25">
        <v>120</v>
      </c>
      <c r="Z78" s="31">
        <f t="shared" si="18"/>
        <v>200</v>
      </c>
      <c r="AA78" s="31">
        <f t="shared" si="19"/>
        <v>2</v>
      </c>
      <c r="AB78" s="31">
        <f t="shared" si="20"/>
        <v>8</v>
      </c>
      <c r="AC78" s="31" t="str">
        <f t="shared" si="21"/>
        <v/>
      </c>
      <c r="AD78" s="31" t="str">
        <f t="shared" si="22"/>
        <v/>
      </c>
      <c r="AE78" s="31" t="str">
        <f t="shared" si="23"/>
        <v/>
      </c>
      <c r="AF78" s="31" t="str">
        <f t="shared" si="24"/>
        <v/>
      </c>
      <c r="AG78" s="25">
        <v>10</v>
      </c>
      <c r="AH78" s="25">
        <v>0</v>
      </c>
      <c r="AI78" s="25">
        <v>0</v>
      </c>
      <c r="AJ78" s="23" t="s">
        <v>206</v>
      </c>
      <c r="AK78" s="23" t="s">
        <v>92</v>
      </c>
      <c r="AL78" s="25">
        <v>263</v>
      </c>
      <c r="AO78" s="32" t="str">
        <f t="shared" si="25"/>
        <v>3 doors</v>
      </c>
      <c r="AP78" s="23" t="s">
        <v>236</v>
      </c>
      <c r="AQ78" s="23" t="s">
        <v>32</v>
      </c>
      <c r="AR78" s="23" t="str">
        <f t="shared" si="27"/>
        <v>CC</v>
      </c>
      <c r="AS78" s="34">
        <f t="shared" si="26"/>
        <v>1451.01</v>
      </c>
      <c r="AT78" s="23">
        <v>14</v>
      </c>
      <c r="AU78" s="23">
        <v>51</v>
      </c>
      <c r="AV78" s="23">
        <v>1</v>
      </c>
    </row>
    <row r="79" spans="1:48">
      <c r="A79" s="25">
        <v>263</v>
      </c>
      <c r="D79" s="23">
        <v>3</v>
      </c>
      <c r="E79" s="25" t="s">
        <v>43</v>
      </c>
      <c r="F79" s="25" t="s">
        <v>43</v>
      </c>
      <c r="G79" s="23" t="s">
        <v>27</v>
      </c>
      <c r="H79" s="23" t="s">
        <v>216</v>
      </c>
      <c r="I79" s="25">
        <v>1997</v>
      </c>
      <c r="J79" s="35">
        <v>30</v>
      </c>
      <c r="K79" s="35">
        <v>40</v>
      </c>
      <c r="L79" s="35">
        <v>20</v>
      </c>
      <c r="M79" s="25">
        <v>10</v>
      </c>
      <c r="N79" s="25">
        <v>10</v>
      </c>
      <c r="O79" s="25">
        <v>10</v>
      </c>
      <c r="R79" s="30">
        <f t="shared" si="14"/>
        <v>30</v>
      </c>
      <c r="S79" s="30">
        <f t="shared" si="15"/>
        <v>17.730857142857143</v>
      </c>
      <c r="T79" s="30">
        <f t="shared" si="16"/>
        <v>23.318857142857144</v>
      </c>
      <c r="U79" s="25">
        <v>78</v>
      </c>
      <c r="V79" s="31">
        <f t="shared" si="17"/>
        <v>191.76000000000002</v>
      </c>
      <c r="W79" s="25">
        <v>141</v>
      </c>
      <c r="X79" s="25">
        <v>12</v>
      </c>
      <c r="Y79" s="25">
        <v>120</v>
      </c>
      <c r="Z79" s="31">
        <f t="shared" si="18"/>
        <v>200</v>
      </c>
      <c r="AA79" s="31">
        <f t="shared" si="19"/>
        <v>2</v>
      </c>
      <c r="AB79" s="31">
        <f t="shared" si="20"/>
        <v>8</v>
      </c>
      <c r="AC79" s="31" t="str">
        <f t="shared" si="21"/>
        <v/>
      </c>
      <c r="AD79" s="31" t="str">
        <f t="shared" si="22"/>
        <v/>
      </c>
      <c r="AE79" s="31" t="str">
        <f t="shared" si="23"/>
        <v/>
      </c>
      <c r="AF79" s="31" t="str">
        <f t="shared" si="24"/>
        <v/>
      </c>
      <c r="AG79" s="25">
        <v>10</v>
      </c>
      <c r="AH79" s="25">
        <v>0</v>
      </c>
      <c r="AI79" s="25">
        <v>0</v>
      </c>
      <c r="AJ79" s="23" t="s">
        <v>206</v>
      </c>
      <c r="AK79" s="23" t="s">
        <v>92</v>
      </c>
      <c r="AL79" s="25">
        <v>263</v>
      </c>
      <c r="AO79" s="32" t="str">
        <f t="shared" si="25"/>
        <v>3 doors</v>
      </c>
      <c r="AP79" s="23" t="s">
        <v>236</v>
      </c>
      <c r="AQ79" s="23" t="s">
        <v>32</v>
      </c>
      <c r="AR79" s="23" t="str">
        <f t="shared" si="27"/>
        <v>CC</v>
      </c>
      <c r="AS79" s="34">
        <f t="shared" si="26"/>
        <v>1451.02</v>
      </c>
      <c r="AT79" s="23">
        <v>14</v>
      </c>
      <c r="AU79" s="23">
        <v>51</v>
      </c>
      <c r="AV79" s="23">
        <v>2</v>
      </c>
    </row>
    <row r="80" spans="1:48">
      <c r="A80" s="25">
        <v>263</v>
      </c>
      <c r="D80" s="23">
        <v>2</v>
      </c>
      <c r="E80" s="25" t="s">
        <v>30</v>
      </c>
      <c r="F80" s="25" t="s">
        <v>30</v>
      </c>
      <c r="G80" s="23" t="s">
        <v>27</v>
      </c>
      <c r="H80" s="23" t="s">
        <v>217</v>
      </c>
      <c r="I80" s="25">
        <v>1991</v>
      </c>
      <c r="J80" s="35">
        <v>30</v>
      </c>
      <c r="K80" s="35">
        <v>40</v>
      </c>
      <c r="L80" s="35">
        <v>20</v>
      </c>
      <c r="M80" s="25">
        <v>10</v>
      </c>
      <c r="N80" s="25">
        <v>10</v>
      </c>
      <c r="R80" s="30">
        <f t="shared" si="14"/>
        <v>20</v>
      </c>
      <c r="S80" s="30">
        <f t="shared" si="15"/>
        <v>17.016571428571428</v>
      </c>
      <c r="T80" s="30">
        <f t="shared" si="16"/>
        <v>22.537904761904763</v>
      </c>
      <c r="U80" s="25">
        <v>78</v>
      </c>
      <c r="V80" s="31">
        <f t="shared" si="17"/>
        <v>191.76000000000002</v>
      </c>
      <c r="W80" s="25">
        <v>141</v>
      </c>
      <c r="X80" s="25">
        <v>12</v>
      </c>
      <c r="Y80" s="25">
        <v>110</v>
      </c>
      <c r="Z80" s="31">
        <f t="shared" si="18"/>
        <v>200</v>
      </c>
      <c r="AA80" s="31">
        <f t="shared" si="19"/>
        <v>2</v>
      </c>
      <c r="AB80" s="31">
        <f t="shared" si="20"/>
        <v>8</v>
      </c>
      <c r="AC80" s="31" t="str">
        <f t="shared" si="21"/>
        <v/>
      </c>
      <c r="AD80" s="31" t="str">
        <f t="shared" si="22"/>
        <v/>
      </c>
      <c r="AE80" s="31" t="str">
        <f t="shared" si="23"/>
        <v/>
      </c>
      <c r="AF80" s="31" t="str">
        <f t="shared" si="24"/>
        <v/>
      </c>
      <c r="AG80" s="25">
        <v>10</v>
      </c>
      <c r="AH80" s="25">
        <v>0</v>
      </c>
      <c r="AI80" s="25">
        <v>0</v>
      </c>
      <c r="AJ80" s="23" t="s">
        <v>206</v>
      </c>
      <c r="AK80" s="23" t="s">
        <v>92</v>
      </c>
      <c r="AL80" s="25">
        <v>263</v>
      </c>
      <c r="AO80" s="32" t="str">
        <f t="shared" si="25"/>
        <v>2 doors</v>
      </c>
      <c r="AP80" s="23" t="s">
        <v>238</v>
      </c>
      <c r="AQ80" s="23" t="s">
        <v>270</v>
      </c>
      <c r="AR80" s="23" t="str">
        <f t="shared" si="27"/>
        <v>CC</v>
      </c>
      <c r="AS80" s="34">
        <f t="shared" si="26"/>
        <v>1452</v>
      </c>
      <c r="AT80" s="23">
        <v>14</v>
      </c>
      <c r="AU80" s="23">
        <v>52</v>
      </c>
      <c r="AV80" s="23">
        <v>0</v>
      </c>
    </row>
    <row r="81" spans="1:48">
      <c r="A81" s="25">
        <v>263</v>
      </c>
      <c r="B81" s="23" t="s">
        <v>218</v>
      </c>
      <c r="D81" s="23">
        <v>1</v>
      </c>
      <c r="E81" s="25" t="s">
        <v>30</v>
      </c>
      <c r="F81" s="25" t="s">
        <v>30</v>
      </c>
      <c r="G81" s="23" t="s">
        <v>27</v>
      </c>
      <c r="H81" s="23" t="s">
        <v>241</v>
      </c>
      <c r="I81" s="25">
        <v>1990</v>
      </c>
      <c r="J81" s="35">
        <v>30</v>
      </c>
      <c r="K81" s="35">
        <v>40</v>
      </c>
      <c r="L81" s="35">
        <v>20</v>
      </c>
      <c r="M81" s="25">
        <v>10</v>
      </c>
      <c r="R81" s="30">
        <f t="shared" si="14"/>
        <v>10</v>
      </c>
      <c r="S81" s="30">
        <f t="shared" si="15"/>
        <v>16.302285714285716</v>
      </c>
      <c r="T81" s="30">
        <f t="shared" si="16"/>
        <v>21.623619047619052</v>
      </c>
      <c r="U81" s="25">
        <v>78</v>
      </c>
      <c r="V81" s="31">
        <f t="shared" si="17"/>
        <v>191.76000000000002</v>
      </c>
      <c r="W81" s="25">
        <v>141</v>
      </c>
      <c r="X81" s="25">
        <v>12</v>
      </c>
      <c r="Y81" s="25">
        <v>80</v>
      </c>
      <c r="Z81" s="31">
        <f t="shared" si="18"/>
        <v>200</v>
      </c>
      <c r="AA81" s="31">
        <f t="shared" si="19"/>
        <v>2</v>
      </c>
      <c r="AB81" s="31">
        <f t="shared" si="20"/>
        <v>8</v>
      </c>
      <c r="AC81" s="31" t="str">
        <f t="shared" si="21"/>
        <v/>
      </c>
      <c r="AD81" s="31" t="str">
        <f t="shared" si="22"/>
        <v/>
      </c>
      <c r="AE81" s="31" t="str">
        <f t="shared" si="23"/>
        <v/>
      </c>
      <c r="AF81" s="31" t="str">
        <f t="shared" si="24"/>
        <v/>
      </c>
      <c r="AG81" s="25">
        <v>10</v>
      </c>
      <c r="AH81" s="25">
        <v>0</v>
      </c>
      <c r="AI81" s="25">
        <v>0</v>
      </c>
      <c r="AJ81" s="23" t="s">
        <v>206</v>
      </c>
      <c r="AK81" s="23" t="s">
        <v>92</v>
      </c>
      <c r="AL81" s="25">
        <v>263</v>
      </c>
      <c r="AO81" s="32" t="str">
        <f t="shared" si="25"/>
        <v>1 door</v>
      </c>
      <c r="AP81" s="23" t="s">
        <v>239</v>
      </c>
      <c r="AQ81" s="23" t="s">
        <v>270</v>
      </c>
      <c r="AR81" s="23" t="str">
        <f t="shared" si="27"/>
        <v>CC</v>
      </c>
      <c r="AS81" s="34">
        <f t="shared" si="26"/>
        <v>1453</v>
      </c>
      <c r="AT81" s="23">
        <v>14</v>
      </c>
      <c r="AU81" s="23">
        <v>53</v>
      </c>
      <c r="AV81" s="23">
        <v>0</v>
      </c>
    </row>
    <row r="82" spans="1:48">
      <c r="A82" s="25">
        <v>280</v>
      </c>
      <c r="B82" s="23" t="s">
        <v>89</v>
      </c>
      <c r="C82" s="23" t="s">
        <v>124</v>
      </c>
      <c r="D82" s="23">
        <v>4</v>
      </c>
      <c r="E82" s="25" t="s">
        <v>30</v>
      </c>
      <c r="F82" s="25" t="s">
        <v>30</v>
      </c>
      <c r="G82" s="23" t="s">
        <v>27</v>
      </c>
      <c r="H82" s="23" t="s">
        <v>164</v>
      </c>
      <c r="I82" s="25">
        <v>1971</v>
      </c>
      <c r="J82" s="35">
        <v>30</v>
      </c>
      <c r="K82" s="35">
        <v>40</v>
      </c>
      <c r="L82" s="35">
        <v>20</v>
      </c>
      <c r="M82" s="25">
        <v>10</v>
      </c>
      <c r="N82" s="25">
        <v>10</v>
      </c>
      <c r="O82" s="25">
        <v>10</v>
      </c>
      <c r="P82" s="25">
        <v>10</v>
      </c>
      <c r="R82" s="30">
        <f t="shared" si="14"/>
        <v>40</v>
      </c>
      <c r="S82" s="30">
        <f t="shared" si="15"/>
        <v>19.445142857142859</v>
      </c>
      <c r="T82" s="30">
        <f t="shared" si="16"/>
        <v>24.373142857142859</v>
      </c>
      <c r="U82" s="25">
        <v>62</v>
      </c>
      <c r="V82" s="31">
        <f t="shared" si="17"/>
        <v>191.76000000000002</v>
      </c>
      <c r="W82" s="25">
        <v>141</v>
      </c>
      <c r="X82" s="25">
        <v>14</v>
      </c>
      <c r="Y82" s="25">
        <v>141</v>
      </c>
      <c r="Z82" s="31">
        <f t="shared" si="18"/>
        <v>200</v>
      </c>
      <c r="AA82" s="31">
        <f t="shared" si="19"/>
        <v>1</v>
      </c>
      <c r="AB82" s="31">
        <f t="shared" si="20"/>
        <v>8</v>
      </c>
      <c r="AC82" s="31">
        <f t="shared" si="21"/>
        <v>6</v>
      </c>
      <c r="AD82" s="31" t="str">
        <f t="shared" si="22"/>
        <v/>
      </c>
      <c r="AE82" s="31" t="str">
        <f t="shared" si="23"/>
        <v/>
      </c>
      <c r="AF82" s="31" t="str">
        <f t="shared" si="24"/>
        <v/>
      </c>
      <c r="AG82" s="25">
        <v>9</v>
      </c>
      <c r="AH82" s="25">
        <v>6</v>
      </c>
      <c r="AI82" s="25">
        <v>0</v>
      </c>
      <c r="AJ82" s="23" t="s">
        <v>206</v>
      </c>
      <c r="AK82" s="23" t="s">
        <v>92</v>
      </c>
      <c r="AL82" s="25">
        <v>280</v>
      </c>
      <c r="AO82" s="32" t="str">
        <f t="shared" si="25"/>
        <v>4 doors</v>
      </c>
      <c r="AP82" s="23" t="s">
        <v>229</v>
      </c>
      <c r="AQ82" s="23" t="s">
        <v>32</v>
      </c>
      <c r="AR82" s="23" t="str">
        <f t="shared" si="27"/>
        <v>CC</v>
      </c>
      <c r="AS82" s="34">
        <f t="shared" si="26"/>
        <v>1500</v>
      </c>
      <c r="AT82" s="23">
        <v>15</v>
      </c>
      <c r="AU82" s="23">
        <v>0</v>
      </c>
      <c r="AV82" s="23">
        <v>0</v>
      </c>
    </row>
    <row r="83" spans="1:48">
      <c r="A83" s="25">
        <v>280</v>
      </c>
      <c r="B83" s="23" t="s">
        <v>125</v>
      </c>
      <c r="C83" s="23" t="s">
        <v>124</v>
      </c>
      <c r="D83" s="23">
        <v>3</v>
      </c>
      <c r="E83" s="25" t="s">
        <v>30</v>
      </c>
      <c r="F83" s="25" t="s">
        <v>30</v>
      </c>
      <c r="G83" s="23" t="s">
        <v>27</v>
      </c>
      <c r="H83" s="23" t="s">
        <v>165</v>
      </c>
      <c r="I83" s="25">
        <v>1971</v>
      </c>
      <c r="J83" s="35">
        <v>30</v>
      </c>
      <c r="K83" s="35">
        <v>40</v>
      </c>
      <c r="L83" s="35">
        <v>20</v>
      </c>
      <c r="M83" s="25">
        <v>10</v>
      </c>
      <c r="N83" s="25">
        <v>10</v>
      </c>
      <c r="O83" s="25">
        <v>10</v>
      </c>
      <c r="R83" s="30">
        <f t="shared" si="14"/>
        <v>30</v>
      </c>
      <c r="S83" s="30">
        <f t="shared" si="15"/>
        <v>18.730857142857143</v>
      </c>
      <c r="T83" s="30">
        <f t="shared" si="16"/>
        <v>23.492190476190476</v>
      </c>
      <c r="U83" s="25">
        <v>78</v>
      </c>
      <c r="V83" s="31">
        <f t="shared" si="17"/>
        <v>191.76000000000002</v>
      </c>
      <c r="W83" s="25">
        <v>141</v>
      </c>
      <c r="X83" s="25">
        <v>14</v>
      </c>
      <c r="Y83" s="25">
        <v>116</v>
      </c>
      <c r="Z83" s="31">
        <f t="shared" si="18"/>
        <v>200</v>
      </c>
      <c r="AA83" s="31">
        <f t="shared" si="19"/>
        <v>1</v>
      </c>
      <c r="AB83" s="31">
        <f t="shared" si="20"/>
        <v>8</v>
      </c>
      <c r="AC83" s="31">
        <f t="shared" si="21"/>
        <v>6</v>
      </c>
      <c r="AD83" s="31" t="str">
        <f t="shared" si="22"/>
        <v/>
      </c>
      <c r="AE83" s="31" t="str">
        <f t="shared" si="23"/>
        <v/>
      </c>
      <c r="AF83" s="31" t="str">
        <f t="shared" si="24"/>
        <v/>
      </c>
      <c r="AG83" s="25">
        <v>9</v>
      </c>
      <c r="AH83" s="25">
        <v>6</v>
      </c>
      <c r="AI83" s="25">
        <v>0</v>
      </c>
      <c r="AJ83" s="23" t="s">
        <v>206</v>
      </c>
      <c r="AK83" s="23" t="s">
        <v>92</v>
      </c>
      <c r="AL83" s="25">
        <v>280</v>
      </c>
      <c r="AO83" s="32" t="str">
        <f t="shared" si="25"/>
        <v>3 doors</v>
      </c>
      <c r="AQ83" s="23" t="s">
        <v>270</v>
      </c>
      <c r="AR83" s="23" t="str">
        <f t="shared" si="27"/>
        <v>CC</v>
      </c>
      <c r="AS83" s="34">
        <f t="shared" si="26"/>
        <v>1510</v>
      </c>
      <c r="AT83" s="23">
        <v>15</v>
      </c>
      <c r="AU83" s="23">
        <v>10</v>
      </c>
      <c r="AV83" s="23">
        <v>0</v>
      </c>
    </row>
    <row r="84" spans="1:48">
      <c r="A84" s="25">
        <v>280</v>
      </c>
      <c r="B84" s="23" t="s">
        <v>89</v>
      </c>
      <c r="D84" s="23">
        <v>4</v>
      </c>
      <c r="E84" s="25" t="s">
        <v>30</v>
      </c>
      <c r="F84" s="25" t="s">
        <v>30</v>
      </c>
      <c r="G84" s="23" t="s">
        <v>27</v>
      </c>
      <c r="H84" s="23" t="s">
        <v>166</v>
      </c>
      <c r="I84" s="25">
        <v>1980</v>
      </c>
      <c r="J84" s="35">
        <v>30</v>
      </c>
      <c r="K84" s="35">
        <v>40</v>
      </c>
      <c r="L84" s="35">
        <v>20</v>
      </c>
      <c r="M84" s="25">
        <v>10</v>
      </c>
      <c r="N84" s="25">
        <v>10</v>
      </c>
      <c r="O84" s="25">
        <v>10</v>
      </c>
      <c r="P84" s="25">
        <v>10</v>
      </c>
      <c r="R84" s="30">
        <f t="shared" si="14"/>
        <v>40</v>
      </c>
      <c r="S84" s="30">
        <f t="shared" si="15"/>
        <v>20.73714285714286</v>
      </c>
      <c r="T84" s="30">
        <f t="shared" si="16"/>
        <v>26.957142857142859</v>
      </c>
      <c r="U84" s="25">
        <v>66</v>
      </c>
      <c r="V84" s="31">
        <f t="shared" si="17"/>
        <v>217.60000000000002</v>
      </c>
      <c r="W84" s="25">
        <v>160</v>
      </c>
      <c r="X84" s="25">
        <v>14</v>
      </c>
      <c r="Y84" s="25">
        <v>141</v>
      </c>
      <c r="Z84" s="31">
        <f t="shared" si="18"/>
        <v>200</v>
      </c>
      <c r="AA84" s="31">
        <f t="shared" si="19"/>
        <v>1</v>
      </c>
      <c r="AB84" s="31">
        <f t="shared" si="20"/>
        <v>8</v>
      </c>
      <c r="AC84" s="31">
        <f t="shared" si="21"/>
        <v>6</v>
      </c>
      <c r="AD84" s="31" t="str">
        <f t="shared" si="22"/>
        <v/>
      </c>
      <c r="AE84" s="31" t="str">
        <f t="shared" si="23"/>
        <v/>
      </c>
      <c r="AF84" s="31" t="str">
        <f t="shared" si="24"/>
        <v/>
      </c>
      <c r="AG84" s="25">
        <v>9</v>
      </c>
      <c r="AH84" s="25">
        <v>6</v>
      </c>
      <c r="AI84" s="25">
        <v>0</v>
      </c>
      <c r="AJ84" s="23" t="s">
        <v>206</v>
      </c>
      <c r="AK84" s="23" t="s">
        <v>92</v>
      </c>
      <c r="AL84" s="25">
        <v>280</v>
      </c>
      <c r="AO84" s="32" t="str">
        <f t="shared" si="25"/>
        <v>4 doors</v>
      </c>
      <c r="AQ84" s="23" t="s">
        <v>32</v>
      </c>
      <c r="AR84" s="23" t="str">
        <f t="shared" si="27"/>
        <v>CC</v>
      </c>
      <c r="AS84" s="34">
        <f t="shared" si="26"/>
        <v>1520</v>
      </c>
      <c r="AT84" s="23">
        <v>15</v>
      </c>
      <c r="AU84" s="23">
        <v>20</v>
      </c>
      <c r="AV84" s="23">
        <v>0</v>
      </c>
    </row>
    <row r="85" spans="1:48">
      <c r="A85" s="25">
        <v>280</v>
      </c>
      <c r="B85" s="23" t="s">
        <v>89</v>
      </c>
      <c r="C85" s="23" t="s">
        <v>228</v>
      </c>
      <c r="D85" s="23">
        <v>4</v>
      </c>
      <c r="E85" s="25" t="s">
        <v>30</v>
      </c>
      <c r="F85" s="25" t="s">
        <v>30</v>
      </c>
      <c r="G85" s="23" t="s">
        <v>27</v>
      </c>
      <c r="H85" s="23" t="s">
        <v>167</v>
      </c>
      <c r="I85" s="25">
        <v>1993</v>
      </c>
      <c r="J85" s="35">
        <v>30</v>
      </c>
      <c r="K85" s="35">
        <v>40</v>
      </c>
      <c r="L85" s="35">
        <v>20</v>
      </c>
      <c r="M85" s="25">
        <v>10</v>
      </c>
      <c r="N85" s="25">
        <v>10</v>
      </c>
      <c r="O85" s="25">
        <v>10</v>
      </c>
      <c r="P85" s="25">
        <v>10</v>
      </c>
      <c r="R85" s="30">
        <f t="shared" si="14"/>
        <v>40</v>
      </c>
      <c r="S85" s="30">
        <f t="shared" si="15"/>
        <v>20.873142857142859</v>
      </c>
      <c r="T85" s="30">
        <f t="shared" si="16"/>
        <v>27.249142857142861</v>
      </c>
      <c r="U85" s="25">
        <v>66</v>
      </c>
      <c r="V85" s="31">
        <f t="shared" si="17"/>
        <v>220.32000000000002</v>
      </c>
      <c r="W85" s="25">
        <v>162</v>
      </c>
      <c r="X85" s="25">
        <v>14</v>
      </c>
      <c r="Y85" s="25">
        <v>144</v>
      </c>
      <c r="Z85" s="31">
        <f t="shared" si="18"/>
        <v>200</v>
      </c>
      <c r="AA85" s="31">
        <f t="shared" si="19"/>
        <v>1</v>
      </c>
      <c r="AB85" s="31">
        <f t="shared" si="20"/>
        <v>8</v>
      </c>
      <c r="AC85" s="31">
        <f t="shared" si="21"/>
        <v>6</v>
      </c>
      <c r="AD85" s="31" t="str">
        <f t="shared" si="22"/>
        <v/>
      </c>
      <c r="AE85" s="31" t="str">
        <f t="shared" si="23"/>
        <v/>
      </c>
      <c r="AF85" s="31" t="str">
        <f t="shared" si="24"/>
        <v/>
      </c>
      <c r="AG85" s="25">
        <v>9</v>
      </c>
      <c r="AH85" s="25">
        <v>6</v>
      </c>
      <c r="AI85" s="25">
        <v>0</v>
      </c>
      <c r="AJ85" s="23" t="s">
        <v>206</v>
      </c>
      <c r="AK85" s="23" t="s">
        <v>92</v>
      </c>
      <c r="AL85" s="25">
        <v>280</v>
      </c>
      <c r="AO85" s="32" t="str">
        <f t="shared" si="25"/>
        <v>4 doors</v>
      </c>
      <c r="AP85" s="23" t="s">
        <v>228</v>
      </c>
      <c r="AQ85" s="23" t="s">
        <v>32</v>
      </c>
      <c r="AR85" s="23" t="str">
        <f t="shared" si="27"/>
        <v>CC</v>
      </c>
      <c r="AS85" s="34">
        <f t="shared" si="26"/>
        <v>1530</v>
      </c>
      <c r="AT85" s="23">
        <v>15</v>
      </c>
      <c r="AU85" s="23">
        <v>30</v>
      </c>
      <c r="AV85" s="23">
        <v>0</v>
      </c>
    </row>
    <row r="86" spans="1:48">
      <c r="A86" s="25">
        <v>280</v>
      </c>
      <c r="B86" s="23" t="s">
        <v>89</v>
      </c>
      <c r="C86" s="23" t="s">
        <v>228</v>
      </c>
      <c r="D86" s="23">
        <v>4</v>
      </c>
      <c r="E86" s="25" t="s">
        <v>42</v>
      </c>
      <c r="F86" s="25" t="s">
        <v>42</v>
      </c>
      <c r="G86" s="23" t="s">
        <v>27</v>
      </c>
      <c r="H86" s="23" t="s">
        <v>167</v>
      </c>
      <c r="I86" s="25">
        <v>1993</v>
      </c>
      <c r="J86" s="35">
        <v>30</v>
      </c>
      <c r="K86" s="35">
        <v>40</v>
      </c>
      <c r="L86" s="35">
        <v>20</v>
      </c>
      <c r="M86" s="25">
        <v>10</v>
      </c>
      <c r="N86" s="25">
        <v>10</v>
      </c>
      <c r="O86" s="25">
        <v>10</v>
      </c>
      <c r="P86" s="25">
        <v>10</v>
      </c>
      <c r="R86" s="30">
        <f t="shared" si="14"/>
        <v>40</v>
      </c>
      <c r="S86" s="30">
        <f t="shared" si="15"/>
        <v>20.873142857142859</v>
      </c>
      <c r="T86" s="30">
        <f t="shared" si="16"/>
        <v>27.249142857142861</v>
      </c>
      <c r="U86" s="25">
        <v>66</v>
      </c>
      <c r="V86" s="31">
        <f t="shared" si="17"/>
        <v>220.32000000000002</v>
      </c>
      <c r="W86" s="25">
        <v>162</v>
      </c>
      <c r="X86" s="25">
        <v>14</v>
      </c>
      <c r="Y86" s="25">
        <v>144</v>
      </c>
      <c r="Z86" s="31">
        <f t="shared" si="18"/>
        <v>200</v>
      </c>
      <c r="AA86" s="31">
        <f t="shared" si="19"/>
        <v>1</v>
      </c>
      <c r="AB86" s="31">
        <f t="shared" si="20"/>
        <v>8</v>
      </c>
      <c r="AC86" s="31">
        <f t="shared" si="21"/>
        <v>6</v>
      </c>
      <c r="AD86" s="31" t="str">
        <f t="shared" si="22"/>
        <v/>
      </c>
      <c r="AE86" s="31" t="str">
        <f t="shared" si="23"/>
        <v/>
      </c>
      <c r="AF86" s="31" t="str">
        <f t="shared" si="24"/>
        <v/>
      </c>
      <c r="AG86" s="25">
        <v>9</v>
      </c>
      <c r="AH86" s="25">
        <v>6</v>
      </c>
      <c r="AI86" s="25">
        <v>0</v>
      </c>
      <c r="AJ86" s="23" t="s">
        <v>206</v>
      </c>
      <c r="AK86" s="23" t="s">
        <v>92</v>
      </c>
      <c r="AL86" s="25">
        <v>280</v>
      </c>
      <c r="AO86" s="32" t="str">
        <f t="shared" si="25"/>
        <v>4 doors</v>
      </c>
      <c r="AP86" s="23" t="s">
        <v>228</v>
      </c>
      <c r="AQ86" s="23" t="s">
        <v>32</v>
      </c>
      <c r="AR86" s="23" t="str">
        <f t="shared" si="27"/>
        <v>CC</v>
      </c>
      <c r="AS86" s="34">
        <f t="shared" si="26"/>
        <v>1530.01</v>
      </c>
      <c r="AT86" s="23">
        <v>15</v>
      </c>
      <c r="AU86" s="23">
        <v>30</v>
      </c>
      <c r="AV86" s="23">
        <v>1</v>
      </c>
    </row>
    <row r="87" spans="1:48">
      <c r="A87" s="25">
        <v>280</v>
      </c>
      <c r="B87" s="23" t="s">
        <v>125</v>
      </c>
      <c r="D87" s="23">
        <v>4</v>
      </c>
      <c r="E87" s="25" t="s">
        <v>30</v>
      </c>
      <c r="F87" s="25" t="s">
        <v>30</v>
      </c>
      <c r="G87" s="23" t="s">
        <v>27</v>
      </c>
      <c r="H87" s="23" t="s">
        <v>168</v>
      </c>
      <c r="I87" s="25">
        <v>1980</v>
      </c>
      <c r="J87" s="35">
        <v>30</v>
      </c>
      <c r="K87" s="35">
        <v>40</v>
      </c>
      <c r="L87" s="35">
        <v>20</v>
      </c>
      <c r="M87" s="25">
        <v>10</v>
      </c>
      <c r="N87" s="25">
        <v>10</v>
      </c>
      <c r="O87" s="25">
        <v>10</v>
      </c>
      <c r="P87" s="25">
        <v>10</v>
      </c>
      <c r="R87" s="30">
        <f t="shared" si="14"/>
        <v>40</v>
      </c>
      <c r="S87" s="30">
        <f t="shared" si="15"/>
        <v>20.73714285714286</v>
      </c>
      <c r="T87" s="30">
        <f t="shared" si="16"/>
        <v>26.790476190476195</v>
      </c>
      <c r="U87" s="25">
        <v>78</v>
      </c>
      <c r="V87" s="31">
        <f t="shared" si="17"/>
        <v>217.60000000000002</v>
      </c>
      <c r="W87" s="25">
        <v>160</v>
      </c>
      <c r="X87" s="25">
        <v>14</v>
      </c>
      <c r="Y87" s="25">
        <v>116</v>
      </c>
      <c r="Z87" s="31">
        <f t="shared" si="18"/>
        <v>185</v>
      </c>
      <c r="AA87" s="31">
        <f t="shared" si="19"/>
        <v>1</v>
      </c>
      <c r="AB87" s="31">
        <f t="shared" si="20"/>
        <v>8</v>
      </c>
      <c r="AC87" s="31">
        <f t="shared" si="21"/>
        <v>6</v>
      </c>
      <c r="AD87" s="31" t="str">
        <f t="shared" si="22"/>
        <v/>
      </c>
      <c r="AE87" s="31" t="str">
        <f t="shared" si="23"/>
        <v/>
      </c>
      <c r="AF87" s="31" t="str">
        <f t="shared" si="24"/>
        <v/>
      </c>
      <c r="AG87" s="25">
        <v>9</v>
      </c>
      <c r="AH87" s="25">
        <v>6</v>
      </c>
      <c r="AI87" s="25">
        <v>0</v>
      </c>
      <c r="AJ87" s="23" t="s">
        <v>206</v>
      </c>
      <c r="AK87" s="23" t="s">
        <v>92</v>
      </c>
      <c r="AL87" s="25">
        <v>280</v>
      </c>
      <c r="AO87" s="32" t="str">
        <f t="shared" si="25"/>
        <v>4 doors</v>
      </c>
      <c r="AQ87" s="23" t="s">
        <v>33</v>
      </c>
      <c r="AR87" s="23" t="str">
        <f t="shared" si="27"/>
        <v>CC</v>
      </c>
      <c r="AS87" s="34">
        <f t="shared" si="26"/>
        <v>1540</v>
      </c>
      <c r="AT87" s="23">
        <v>15</v>
      </c>
      <c r="AU87" s="23">
        <v>40</v>
      </c>
      <c r="AV87" s="23">
        <v>0</v>
      </c>
    </row>
    <row r="88" spans="1:48">
      <c r="A88" s="25">
        <v>280</v>
      </c>
      <c r="B88" s="23" t="s">
        <v>125</v>
      </c>
      <c r="D88" s="23">
        <v>3</v>
      </c>
      <c r="E88" s="25" t="s">
        <v>30</v>
      </c>
      <c r="F88" s="25" t="s">
        <v>30</v>
      </c>
      <c r="G88" s="23" t="s">
        <v>27</v>
      </c>
      <c r="H88" s="23" t="s">
        <v>169</v>
      </c>
      <c r="I88" s="25">
        <v>1980</v>
      </c>
      <c r="J88" s="35">
        <v>30</v>
      </c>
      <c r="K88" s="35">
        <v>40</v>
      </c>
      <c r="L88" s="35">
        <v>20</v>
      </c>
      <c r="M88" s="25">
        <v>10</v>
      </c>
      <c r="N88" s="25">
        <v>10</v>
      </c>
      <c r="O88" s="25">
        <v>10</v>
      </c>
      <c r="R88" s="30">
        <f t="shared" si="14"/>
        <v>30</v>
      </c>
      <c r="S88" s="30">
        <f t="shared" si="15"/>
        <v>20.022857142857145</v>
      </c>
      <c r="T88" s="30">
        <f t="shared" si="16"/>
        <v>26.076190476190479</v>
      </c>
      <c r="U88" s="25">
        <v>78</v>
      </c>
      <c r="V88" s="31">
        <f t="shared" si="17"/>
        <v>217.60000000000002</v>
      </c>
      <c r="W88" s="25">
        <v>160</v>
      </c>
      <c r="X88" s="25">
        <v>14</v>
      </c>
      <c r="Y88" s="25">
        <v>116</v>
      </c>
      <c r="Z88" s="31">
        <f t="shared" si="18"/>
        <v>200</v>
      </c>
      <c r="AA88" s="31">
        <f t="shared" si="19"/>
        <v>1</v>
      </c>
      <c r="AB88" s="31">
        <f t="shared" si="20"/>
        <v>8</v>
      </c>
      <c r="AC88" s="31">
        <f t="shared" si="21"/>
        <v>6</v>
      </c>
      <c r="AD88" s="31" t="str">
        <f t="shared" si="22"/>
        <v/>
      </c>
      <c r="AE88" s="31" t="str">
        <f t="shared" si="23"/>
        <v/>
      </c>
      <c r="AF88" s="31" t="str">
        <f t="shared" si="24"/>
        <v/>
      </c>
      <c r="AG88" s="25">
        <v>9</v>
      </c>
      <c r="AH88" s="25">
        <v>6</v>
      </c>
      <c r="AI88" s="25">
        <v>0</v>
      </c>
      <c r="AJ88" s="23" t="s">
        <v>206</v>
      </c>
      <c r="AK88" s="23" t="s">
        <v>92</v>
      </c>
      <c r="AL88" s="25">
        <v>280</v>
      </c>
      <c r="AO88" s="32" t="str">
        <f t="shared" si="25"/>
        <v>3 doors</v>
      </c>
      <c r="AQ88" s="23" t="s">
        <v>270</v>
      </c>
      <c r="AR88" s="23" t="str">
        <f t="shared" si="27"/>
        <v>CC</v>
      </c>
      <c r="AS88" s="34">
        <f t="shared" si="26"/>
        <v>1550</v>
      </c>
      <c r="AT88" s="23">
        <v>15</v>
      </c>
      <c r="AU88" s="23">
        <v>50</v>
      </c>
      <c r="AV88" s="23">
        <v>0</v>
      </c>
    </row>
    <row r="89" spans="1:48">
      <c r="A89" s="25">
        <v>280</v>
      </c>
      <c r="B89" s="23" t="s">
        <v>89</v>
      </c>
      <c r="C89" s="23" t="s">
        <v>28</v>
      </c>
      <c r="D89" s="23">
        <v>4</v>
      </c>
      <c r="E89" s="25" t="s">
        <v>30</v>
      </c>
      <c r="F89" s="25" t="s">
        <v>30</v>
      </c>
      <c r="G89" s="23" t="s">
        <v>28</v>
      </c>
      <c r="H89" s="23" t="s">
        <v>163</v>
      </c>
      <c r="I89" s="25">
        <v>1997</v>
      </c>
      <c r="J89" s="35">
        <v>30</v>
      </c>
      <c r="K89" s="35">
        <v>40</v>
      </c>
      <c r="L89" s="35">
        <v>20</v>
      </c>
      <c r="M89" s="25">
        <v>10</v>
      </c>
      <c r="N89" s="25">
        <v>10</v>
      </c>
      <c r="O89" s="25">
        <v>10</v>
      </c>
      <c r="P89" s="25">
        <v>10</v>
      </c>
      <c r="R89" s="30">
        <f t="shared" si="14"/>
        <v>40</v>
      </c>
      <c r="S89" s="30">
        <f t="shared" si="15"/>
        <v>26.761142857142858</v>
      </c>
      <c r="T89" s="30">
        <f t="shared" si="16"/>
        <v>25.395809523809529</v>
      </c>
      <c r="U89" s="25">
        <v>72</v>
      </c>
      <c r="V89" s="31">
        <f t="shared" si="17"/>
        <v>258.40000000000003</v>
      </c>
      <c r="W89" s="25">
        <v>190</v>
      </c>
      <c r="X89" s="25">
        <v>14</v>
      </c>
      <c r="Y89" s="25">
        <v>140</v>
      </c>
      <c r="Z89" s="31">
        <f t="shared" si="18"/>
        <v>200</v>
      </c>
      <c r="AA89" s="31">
        <f t="shared" si="19"/>
        <v>1</v>
      </c>
      <c r="AB89" s="31">
        <f t="shared" si="20"/>
        <v>8</v>
      </c>
      <c r="AC89" s="31">
        <f t="shared" si="21"/>
        <v>6</v>
      </c>
      <c r="AD89" s="31" t="str">
        <f t="shared" si="22"/>
        <v/>
      </c>
      <c r="AE89" s="31" t="str">
        <f t="shared" si="23"/>
        <v/>
      </c>
      <c r="AF89" s="31" t="str">
        <f t="shared" si="24"/>
        <v/>
      </c>
      <c r="AG89" s="25">
        <v>9</v>
      </c>
      <c r="AH89" s="25">
        <v>6</v>
      </c>
      <c r="AI89" s="25">
        <v>0</v>
      </c>
      <c r="AJ89" s="23" t="s">
        <v>206</v>
      </c>
      <c r="AK89" s="23" t="s">
        <v>92</v>
      </c>
      <c r="AL89" s="25">
        <v>280</v>
      </c>
      <c r="AO89" s="32" t="str">
        <f t="shared" si="25"/>
        <v>4 doors</v>
      </c>
      <c r="AQ89" s="23" t="s">
        <v>32</v>
      </c>
      <c r="AR89" s="23" t="str">
        <f t="shared" si="27"/>
        <v>CC</v>
      </c>
      <c r="AS89" s="34">
        <f t="shared" si="26"/>
        <v>1560</v>
      </c>
      <c r="AT89" s="23">
        <v>15</v>
      </c>
      <c r="AU89" s="23">
        <v>60</v>
      </c>
      <c r="AV89" s="23">
        <v>0</v>
      </c>
    </row>
    <row r="90" spans="1:48">
      <c r="A90" s="25">
        <v>280</v>
      </c>
      <c r="B90" s="23" t="s">
        <v>89</v>
      </c>
      <c r="C90" s="23" t="s">
        <v>127</v>
      </c>
      <c r="D90" s="23">
        <v>4</v>
      </c>
      <c r="E90" s="25" t="s">
        <v>30</v>
      </c>
      <c r="F90" s="25" t="s">
        <v>30</v>
      </c>
      <c r="G90" s="23" t="s">
        <v>27</v>
      </c>
      <c r="H90" s="23" t="s">
        <v>240</v>
      </c>
      <c r="I90" s="25">
        <v>1998</v>
      </c>
      <c r="J90" s="35">
        <v>30</v>
      </c>
      <c r="K90" s="35">
        <v>40</v>
      </c>
      <c r="L90" s="35">
        <v>20</v>
      </c>
      <c r="M90" s="25">
        <v>10</v>
      </c>
      <c r="N90" s="25">
        <v>10</v>
      </c>
      <c r="O90" s="25">
        <v>10</v>
      </c>
      <c r="P90" s="25">
        <v>10</v>
      </c>
      <c r="R90" s="30">
        <f t="shared" si="14"/>
        <v>40</v>
      </c>
      <c r="S90" s="30">
        <f t="shared" si="15"/>
        <v>22.777142857142859</v>
      </c>
      <c r="T90" s="30">
        <f t="shared" si="16"/>
        <v>31.070476190476196</v>
      </c>
      <c r="U90" s="25">
        <v>72</v>
      </c>
      <c r="V90" s="31">
        <f t="shared" si="17"/>
        <v>258.40000000000003</v>
      </c>
      <c r="W90" s="25">
        <v>190</v>
      </c>
      <c r="X90" s="25">
        <v>14</v>
      </c>
      <c r="Y90" s="25">
        <v>146</v>
      </c>
      <c r="Z90" s="31">
        <f t="shared" si="18"/>
        <v>200</v>
      </c>
      <c r="AA90" s="31">
        <f t="shared" si="19"/>
        <v>1</v>
      </c>
      <c r="AB90" s="31">
        <f t="shared" si="20"/>
        <v>8</v>
      </c>
      <c r="AC90" s="31">
        <f t="shared" si="21"/>
        <v>6</v>
      </c>
      <c r="AD90" s="31" t="str">
        <f t="shared" si="22"/>
        <v/>
      </c>
      <c r="AE90" s="31" t="str">
        <f t="shared" si="23"/>
        <v/>
      </c>
      <c r="AF90" s="31" t="str">
        <f t="shared" si="24"/>
        <v/>
      </c>
      <c r="AG90" s="25">
        <v>9</v>
      </c>
      <c r="AH90" s="25">
        <v>6</v>
      </c>
      <c r="AI90" s="25">
        <v>0</v>
      </c>
      <c r="AJ90" s="23" t="s">
        <v>206</v>
      </c>
      <c r="AK90" s="23" t="s">
        <v>92</v>
      </c>
      <c r="AL90" s="25">
        <v>280</v>
      </c>
      <c r="AO90" s="32" t="str">
        <f t="shared" si="25"/>
        <v>4 doors</v>
      </c>
      <c r="AQ90" s="23" t="s">
        <v>32</v>
      </c>
      <c r="AR90" s="23" t="str">
        <f t="shared" si="27"/>
        <v>CC</v>
      </c>
      <c r="AS90" s="34">
        <f t="shared" si="26"/>
        <v>1570</v>
      </c>
      <c r="AT90" s="23">
        <v>15</v>
      </c>
      <c r="AU90" s="23">
        <v>70</v>
      </c>
      <c r="AV90" s="23">
        <v>0</v>
      </c>
    </row>
    <row r="91" spans="1:48">
      <c r="A91" s="25">
        <v>293</v>
      </c>
      <c r="D91" s="23">
        <v>5</v>
      </c>
      <c r="E91" s="25" t="s">
        <v>30</v>
      </c>
      <c r="F91" s="25" t="s">
        <v>30</v>
      </c>
      <c r="G91" s="23" t="s">
        <v>27</v>
      </c>
      <c r="H91" s="23" t="s">
        <v>173</v>
      </c>
      <c r="I91" s="25">
        <v>1988</v>
      </c>
      <c r="J91" s="35">
        <v>30</v>
      </c>
      <c r="K91" s="35">
        <v>40</v>
      </c>
      <c r="L91" s="35">
        <v>20</v>
      </c>
      <c r="M91" s="25">
        <v>10</v>
      </c>
      <c r="N91" s="25">
        <v>10</v>
      </c>
      <c r="O91" s="25">
        <v>10</v>
      </c>
      <c r="P91" s="25">
        <v>10</v>
      </c>
      <c r="Q91" s="25">
        <v>10</v>
      </c>
      <c r="R91" s="30">
        <f t="shared" si="14"/>
        <v>50</v>
      </c>
      <c r="S91" s="30">
        <f t="shared" si="15"/>
        <v>26.127428571428574</v>
      </c>
      <c r="T91" s="30">
        <f t="shared" si="16"/>
        <v>33.110095238095234</v>
      </c>
      <c r="U91" s="25">
        <v>62</v>
      </c>
      <c r="V91" s="31">
        <f t="shared" si="17"/>
        <v>261.12</v>
      </c>
      <c r="W91" s="25">
        <v>192</v>
      </c>
      <c r="X91" s="25">
        <v>19</v>
      </c>
      <c r="Y91" s="25">
        <v>229</v>
      </c>
      <c r="Z91" s="31">
        <f t="shared" si="18"/>
        <v>200</v>
      </c>
      <c r="AA91" s="31">
        <f t="shared" si="19"/>
        <v>1</v>
      </c>
      <c r="AB91" s="31">
        <f t="shared" si="20"/>
        <v>8</v>
      </c>
      <c r="AC91" s="31">
        <f t="shared" si="21"/>
        <v>5</v>
      </c>
      <c r="AD91" s="31" t="str">
        <f t="shared" si="22"/>
        <v/>
      </c>
      <c r="AE91" s="31">
        <f t="shared" si="23"/>
        <v>6</v>
      </c>
      <c r="AF91" s="31" t="str">
        <f t="shared" si="24"/>
        <v/>
      </c>
      <c r="AG91" s="25">
        <v>9</v>
      </c>
      <c r="AH91" s="25">
        <v>5</v>
      </c>
      <c r="AI91" s="25">
        <v>6</v>
      </c>
      <c r="AJ91" s="23" t="s">
        <v>206</v>
      </c>
      <c r="AK91" s="23" t="s">
        <v>92</v>
      </c>
      <c r="AL91" s="25">
        <v>293</v>
      </c>
      <c r="AO91" s="32" t="str">
        <f t="shared" si="25"/>
        <v>5 doors</v>
      </c>
      <c r="AQ91" s="23" t="s">
        <v>32</v>
      </c>
      <c r="AR91" s="23" t="str">
        <f t="shared" si="27"/>
        <v>CC</v>
      </c>
      <c r="AS91" s="34">
        <f t="shared" si="26"/>
        <v>1590</v>
      </c>
      <c r="AT91" s="23">
        <v>15</v>
      </c>
      <c r="AU91" s="23">
        <v>90</v>
      </c>
      <c r="AV91" s="23">
        <v>0</v>
      </c>
    </row>
    <row r="92" spans="1:48">
      <c r="A92" s="25">
        <v>282</v>
      </c>
      <c r="D92" s="23">
        <v>4</v>
      </c>
      <c r="E92" s="25" t="s">
        <v>30</v>
      </c>
      <c r="F92" s="25" t="s">
        <v>30</v>
      </c>
      <c r="G92" s="23" t="s">
        <v>27</v>
      </c>
      <c r="H92" s="23" t="s">
        <v>170</v>
      </c>
      <c r="I92" s="25">
        <v>1977</v>
      </c>
      <c r="J92" s="35">
        <v>30</v>
      </c>
      <c r="K92" s="35">
        <v>40</v>
      </c>
      <c r="L92" s="35">
        <v>20</v>
      </c>
      <c r="M92" s="25">
        <v>10</v>
      </c>
      <c r="N92" s="25">
        <v>10</v>
      </c>
      <c r="O92" s="25">
        <v>10</v>
      </c>
      <c r="P92" s="25">
        <v>10</v>
      </c>
      <c r="R92" s="30">
        <f t="shared" si="14"/>
        <v>40</v>
      </c>
      <c r="S92" s="30">
        <f t="shared" si="15"/>
        <v>21.373142857142859</v>
      </c>
      <c r="T92" s="30">
        <f t="shared" si="16"/>
        <v>27.402476190476193</v>
      </c>
      <c r="U92" s="25">
        <v>62</v>
      </c>
      <c r="V92" s="31">
        <f t="shared" si="17"/>
        <v>220.32000000000002</v>
      </c>
      <c r="W92" s="25">
        <v>162</v>
      </c>
      <c r="X92" s="25">
        <v>15</v>
      </c>
      <c r="Y92" s="25">
        <v>152</v>
      </c>
      <c r="Z92" s="31">
        <f t="shared" si="18"/>
        <v>200</v>
      </c>
      <c r="AA92" s="31">
        <f t="shared" si="19"/>
        <v>2</v>
      </c>
      <c r="AB92" s="31">
        <f t="shared" si="20"/>
        <v>8</v>
      </c>
      <c r="AC92" s="31">
        <f t="shared" si="21"/>
        <v>7</v>
      </c>
      <c r="AD92" s="31" t="str">
        <f t="shared" si="22"/>
        <v/>
      </c>
      <c r="AE92" s="31" t="str">
        <f t="shared" si="23"/>
        <v/>
      </c>
      <c r="AF92" s="31" t="str">
        <f t="shared" si="24"/>
        <v/>
      </c>
      <c r="AG92" s="25">
        <v>10</v>
      </c>
      <c r="AH92" s="25">
        <v>7</v>
      </c>
      <c r="AI92" s="25">
        <v>0</v>
      </c>
      <c r="AJ92" s="23" t="s">
        <v>206</v>
      </c>
      <c r="AK92" s="23" t="s">
        <v>92</v>
      </c>
      <c r="AL92" s="25">
        <v>282</v>
      </c>
      <c r="AO92" s="32" t="str">
        <f t="shared" si="25"/>
        <v>4 doors</v>
      </c>
      <c r="AQ92" s="23" t="s">
        <v>32</v>
      </c>
      <c r="AR92" s="23" t="str">
        <f t="shared" si="27"/>
        <v>CC</v>
      </c>
      <c r="AS92" s="34">
        <f t="shared" si="26"/>
        <v>1600</v>
      </c>
      <c r="AT92" s="23">
        <v>16</v>
      </c>
      <c r="AU92" s="23">
        <v>0</v>
      </c>
      <c r="AV92" s="23">
        <v>0</v>
      </c>
    </row>
    <row r="93" spans="1:48">
      <c r="A93" s="25">
        <v>282</v>
      </c>
      <c r="D93" s="23">
        <v>4</v>
      </c>
      <c r="E93" s="25" t="s">
        <v>85</v>
      </c>
      <c r="F93" s="25" t="s">
        <v>85</v>
      </c>
      <c r="G93" s="23" t="s">
        <v>27</v>
      </c>
      <c r="H93" s="23" t="s">
        <v>170</v>
      </c>
      <c r="I93" s="25">
        <v>1977</v>
      </c>
      <c r="J93" s="35">
        <v>30</v>
      </c>
      <c r="K93" s="35">
        <v>40</v>
      </c>
      <c r="L93" s="35">
        <v>20</v>
      </c>
      <c r="M93" s="25">
        <v>10</v>
      </c>
      <c r="N93" s="25">
        <v>10</v>
      </c>
      <c r="O93" s="25">
        <v>10</v>
      </c>
      <c r="P93" s="25">
        <v>10</v>
      </c>
      <c r="R93" s="30">
        <f t="shared" si="14"/>
        <v>40</v>
      </c>
      <c r="S93" s="30">
        <f t="shared" si="15"/>
        <v>21.373142857142859</v>
      </c>
      <c r="T93" s="30">
        <f t="shared" si="16"/>
        <v>27.402476190476193</v>
      </c>
      <c r="U93" s="25">
        <v>62</v>
      </c>
      <c r="V93" s="31">
        <f t="shared" si="17"/>
        <v>220.32000000000002</v>
      </c>
      <c r="W93" s="25">
        <v>162</v>
      </c>
      <c r="X93" s="25">
        <v>15</v>
      </c>
      <c r="Y93" s="25">
        <v>152</v>
      </c>
      <c r="Z93" s="31">
        <f t="shared" si="18"/>
        <v>200</v>
      </c>
      <c r="AA93" s="31">
        <f t="shared" si="19"/>
        <v>2</v>
      </c>
      <c r="AB93" s="31">
        <f t="shared" si="20"/>
        <v>8</v>
      </c>
      <c r="AC93" s="31">
        <f t="shared" si="21"/>
        <v>7</v>
      </c>
      <c r="AD93" s="31" t="str">
        <f t="shared" si="22"/>
        <v/>
      </c>
      <c r="AE93" s="31" t="str">
        <f t="shared" si="23"/>
        <v/>
      </c>
      <c r="AF93" s="31" t="str">
        <f t="shared" si="24"/>
        <v/>
      </c>
      <c r="AG93" s="25">
        <v>10</v>
      </c>
      <c r="AH93" s="25">
        <v>7</v>
      </c>
      <c r="AI93" s="25">
        <v>0</v>
      </c>
      <c r="AJ93" s="23" t="s">
        <v>206</v>
      </c>
      <c r="AK93" s="23" t="s">
        <v>92</v>
      </c>
      <c r="AL93" s="25">
        <v>282</v>
      </c>
      <c r="AO93" s="32" t="str">
        <f t="shared" si="25"/>
        <v>4 doors</v>
      </c>
      <c r="AQ93" s="23" t="s">
        <v>32</v>
      </c>
      <c r="AR93" s="23" t="str">
        <f t="shared" si="27"/>
        <v>Hungary</v>
      </c>
      <c r="AS93" s="34">
        <f t="shared" si="26"/>
        <v>1600.01</v>
      </c>
      <c r="AT93" s="23">
        <v>16</v>
      </c>
      <c r="AU93" s="23">
        <v>0</v>
      </c>
      <c r="AV93" s="23">
        <v>1</v>
      </c>
    </row>
    <row r="94" spans="1:48">
      <c r="A94" s="25">
        <v>284</v>
      </c>
      <c r="D94" s="23">
        <v>4</v>
      </c>
      <c r="E94" s="25" t="s">
        <v>30</v>
      </c>
      <c r="F94" s="25" t="s">
        <v>30</v>
      </c>
      <c r="G94" s="23" t="s">
        <v>27</v>
      </c>
      <c r="H94" s="23" t="s">
        <v>172</v>
      </c>
      <c r="I94" s="25">
        <v>1984</v>
      </c>
      <c r="J94" s="35">
        <v>30</v>
      </c>
      <c r="K94" s="35">
        <v>40</v>
      </c>
      <c r="L94" s="35">
        <v>20</v>
      </c>
      <c r="M94" s="25">
        <v>12</v>
      </c>
      <c r="N94" s="25">
        <v>12</v>
      </c>
      <c r="O94" s="25">
        <v>12</v>
      </c>
      <c r="P94" s="25">
        <v>6</v>
      </c>
      <c r="R94" s="30">
        <f t="shared" si="14"/>
        <v>42</v>
      </c>
      <c r="S94" s="30">
        <f t="shared" si="15"/>
        <v>22.832000000000001</v>
      </c>
      <c r="T94" s="30">
        <f t="shared" si="16"/>
        <v>29.490666666666669</v>
      </c>
      <c r="U94" s="25">
        <v>67</v>
      </c>
      <c r="V94" s="31">
        <f t="shared" si="17"/>
        <v>236.64000000000001</v>
      </c>
      <c r="W94" s="25">
        <v>174</v>
      </c>
      <c r="X94" s="25">
        <v>16</v>
      </c>
      <c r="Y94" s="25">
        <v>184</v>
      </c>
      <c r="Z94" s="31">
        <f t="shared" si="18"/>
        <v>200</v>
      </c>
      <c r="AA94" s="31">
        <f t="shared" si="19"/>
        <v>2</v>
      </c>
      <c r="AB94" s="31">
        <f t="shared" si="20"/>
        <v>8</v>
      </c>
      <c r="AC94" s="31">
        <f t="shared" si="21"/>
        <v>7</v>
      </c>
      <c r="AD94" s="31" t="str">
        <f t="shared" si="22"/>
        <v/>
      </c>
      <c r="AE94" s="31" t="str">
        <f t="shared" si="23"/>
        <v/>
      </c>
      <c r="AF94" s="31" t="str">
        <f t="shared" si="24"/>
        <v/>
      </c>
      <c r="AG94" s="25">
        <v>10</v>
      </c>
      <c r="AH94" s="25">
        <v>7</v>
      </c>
      <c r="AI94" s="25">
        <v>0</v>
      </c>
      <c r="AJ94" s="23" t="s">
        <v>206</v>
      </c>
      <c r="AK94" s="23" t="s">
        <v>92</v>
      </c>
      <c r="AL94" s="25">
        <v>284</v>
      </c>
      <c r="AO94" s="32" t="str">
        <f t="shared" si="25"/>
        <v>4 doors</v>
      </c>
      <c r="AQ94" s="23" t="s">
        <v>32</v>
      </c>
      <c r="AR94" s="23" t="str">
        <f t="shared" si="27"/>
        <v>CC</v>
      </c>
      <c r="AS94" s="34">
        <f t="shared" si="26"/>
        <v>1800</v>
      </c>
      <c r="AT94" s="23">
        <v>18</v>
      </c>
      <c r="AU94" s="23">
        <v>0</v>
      </c>
      <c r="AV94" s="23">
        <v>0</v>
      </c>
    </row>
    <row r="95" spans="1:48">
      <c r="A95" s="25">
        <v>284</v>
      </c>
      <c r="D95" s="23">
        <v>4</v>
      </c>
      <c r="E95" s="25" t="s">
        <v>42</v>
      </c>
      <c r="F95" s="25" t="s">
        <v>42</v>
      </c>
      <c r="G95" s="23" t="s">
        <v>27</v>
      </c>
      <c r="H95" s="23" t="s">
        <v>172</v>
      </c>
      <c r="I95" s="25">
        <v>1984</v>
      </c>
      <c r="J95" s="35">
        <v>30</v>
      </c>
      <c r="K95" s="35">
        <v>40</v>
      </c>
      <c r="L95" s="35">
        <v>20</v>
      </c>
      <c r="M95" s="25">
        <v>10</v>
      </c>
      <c r="N95" s="25">
        <v>10</v>
      </c>
      <c r="O95" s="25">
        <v>10</v>
      </c>
      <c r="P95" s="25">
        <v>6</v>
      </c>
      <c r="R95" s="30">
        <f t="shared" si="14"/>
        <v>36</v>
      </c>
      <c r="S95" s="30">
        <f t="shared" si="15"/>
        <v>22.403428571428574</v>
      </c>
      <c r="T95" s="30">
        <f t="shared" si="16"/>
        <v>29.062095238095242</v>
      </c>
      <c r="U95" s="25">
        <v>67</v>
      </c>
      <c r="V95" s="31">
        <f t="shared" si="17"/>
        <v>236.64000000000001</v>
      </c>
      <c r="W95" s="25">
        <v>174</v>
      </c>
      <c r="X95" s="25">
        <v>16</v>
      </c>
      <c r="Y95" s="25">
        <v>184</v>
      </c>
      <c r="Z95" s="31">
        <f t="shared" si="18"/>
        <v>200</v>
      </c>
      <c r="AA95" s="31">
        <f t="shared" si="19"/>
        <v>2</v>
      </c>
      <c r="AB95" s="31">
        <f t="shared" si="20"/>
        <v>8</v>
      </c>
      <c r="AC95" s="31">
        <f t="shared" si="21"/>
        <v>7</v>
      </c>
      <c r="AD95" s="31" t="str">
        <f t="shared" si="22"/>
        <v/>
      </c>
      <c r="AE95" s="31" t="str">
        <f t="shared" si="23"/>
        <v/>
      </c>
      <c r="AF95" s="31" t="str">
        <f t="shared" si="24"/>
        <v/>
      </c>
      <c r="AG95" s="25">
        <v>10</v>
      </c>
      <c r="AH95" s="25">
        <v>7</v>
      </c>
      <c r="AI95" s="25">
        <v>0</v>
      </c>
      <c r="AJ95" s="23" t="s">
        <v>206</v>
      </c>
      <c r="AK95" s="23" t="s">
        <v>92</v>
      </c>
      <c r="AL95" s="25">
        <v>284</v>
      </c>
      <c r="AO95" s="32" t="str">
        <f t="shared" si="25"/>
        <v>4 doors</v>
      </c>
      <c r="AQ95" s="23" t="s">
        <v>32</v>
      </c>
      <c r="AR95" s="23" t="str">
        <f t="shared" si="27"/>
        <v>CC</v>
      </c>
      <c r="AS95" s="34">
        <f t="shared" si="26"/>
        <v>1800.01</v>
      </c>
      <c r="AT95" s="23">
        <v>18</v>
      </c>
      <c r="AU95" s="23">
        <v>0</v>
      </c>
      <c r="AV95" s="23">
        <v>1</v>
      </c>
    </row>
    <row r="96" spans="1:48">
      <c r="A96" s="25">
        <v>284</v>
      </c>
      <c r="D96" s="23">
        <v>4</v>
      </c>
      <c r="E96" s="25" t="s">
        <v>96</v>
      </c>
      <c r="F96" s="25" t="s">
        <v>30</v>
      </c>
      <c r="G96" s="23" t="s">
        <v>27</v>
      </c>
      <c r="H96" s="23" t="s">
        <v>172</v>
      </c>
      <c r="I96" s="25">
        <v>1984</v>
      </c>
      <c r="J96" s="35">
        <v>30</v>
      </c>
      <c r="K96" s="35">
        <v>40</v>
      </c>
      <c r="L96" s="35">
        <v>20</v>
      </c>
      <c r="M96" s="25">
        <v>10</v>
      </c>
      <c r="N96" s="25">
        <v>10</v>
      </c>
      <c r="O96" s="25">
        <v>10</v>
      </c>
      <c r="P96" s="25">
        <v>6</v>
      </c>
      <c r="R96" s="30">
        <f t="shared" si="14"/>
        <v>36</v>
      </c>
      <c r="S96" s="30">
        <f t="shared" si="15"/>
        <v>22.403428571428574</v>
      </c>
      <c r="T96" s="30">
        <f t="shared" si="16"/>
        <v>29.062095238095242</v>
      </c>
      <c r="U96" s="25">
        <v>67</v>
      </c>
      <c r="V96" s="31">
        <f t="shared" si="17"/>
        <v>236.64000000000001</v>
      </c>
      <c r="W96" s="25">
        <v>174</v>
      </c>
      <c r="X96" s="25">
        <v>16</v>
      </c>
      <c r="Y96" s="25">
        <v>184</v>
      </c>
      <c r="Z96" s="31">
        <f t="shared" si="18"/>
        <v>200</v>
      </c>
      <c r="AA96" s="31">
        <f t="shared" si="19"/>
        <v>2</v>
      </c>
      <c r="AB96" s="31">
        <f t="shared" si="20"/>
        <v>8</v>
      </c>
      <c r="AC96" s="31">
        <f t="shared" si="21"/>
        <v>7</v>
      </c>
      <c r="AD96" s="31" t="str">
        <f t="shared" si="22"/>
        <v/>
      </c>
      <c r="AE96" s="31" t="str">
        <f t="shared" si="23"/>
        <v/>
      </c>
      <c r="AF96" s="31" t="str">
        <f t="shared" si="24"/>
        <v/>
      </c>
      <c r="AG96" s="25">
        <v>10</v>
      </c>
      <c r="AH96" s="25">
        <v>7</v>
      </c>
      <c r="AI96" s="25">
        <v>0</v>
      </c>
      <c r="AJ96" s="23" t="s">
        <v>206</v>
      </c>
      <c r="AK96" s="23" t="s">
        <v>92</v>
      </c>
      <c r="AL96" s="25">
        <v>284</v>
      </c>
      <c r="AO96" s="32" t="str">
        <f t="shared" si="25"/>
        <v>4 doors</v>
      </c>
      <c r="AQ96" s="23" t="s">
        <v>32</v>
      </c>
      <c r="AR96" s="23" t="str">
        <f t="shared" si="27"/>
        <v>Hungary</v>
      </c>
      <c r="AS96" s="34">
        <f t="shared" si="26"/>
        <v>1800.02</v>
      </c>
      <c r="AT96" s="23">
        <v>18</v>
      </c>
      <c r="AU96" s="23">
        <v>0</v>
      </c>
      <c r="AV96" s="23">
        <v>2</v>
      </c>
    </row>
    <row r="97" spans="1:48">
      <c r="A97" s="25">
        <v>284</v>
      </c>
      <c r="D97" s="23">
        <v>4</v>
      </c>
      <c r="E97" s="25" t="s">
        <v>97</v>
      </c>
      <c r="F97" s="25" t="s">
        <v>42</v>
      </c>
      <c r="G97" s="23" t="s">
        <v>27</v>
      </c>
      <c r="H97" s="23" t="s">
        <v>172</v>
      </c>
      <c r="I97" s="25">
        <v>1984</v>
      </c>
      <c r="J97" s="35">
        <v>30</v>
      </c>
      <c r="K97" s="35">
        <v>40</v>
      </c>
      <c r="L97" s="35">
        <v>20</v>
      </c>
      <c r="M97" s="25">
        <v>10</v>
      </c>
      <c r="N97" s="25">
        <v>10</v>
      </c>
      <c r="O97" s="25">
        <v>10</v>
      </c>
      <c r="P97" s="25">
        <v>6</v>
      </c>
      <c r="R97" s="30">
        <f t="shared" si="14"/>
        <v>36</v>
      </c>
      <c r="S97" s="30">
        <f t="shared" si="15"/>
        <v>22.403428571428574</v>
      </c>
      <c r="T97" s="30">
        <f t="shared" si="16"/>
        <v>29.062095238095242</v>
      </c>
      <c r="U97" s="25">
        <v>67</v>
      </c>
      <c r="V97" s="31">
        <f t="shared" si="17"/>
        <v>236.64000000000001</v>
      </c>
      <c r="W97" s="25">
        <v>174</v>
      </c>
      <c r="X97" s="25">
        <v>16</v>
      </c>
      <c r="Y97" s="25">
        <v>184</v>
      </c>
      <c r="Z97" s="31">
        <f t="shared" si="18"/>
        <v>200</v>
      </c>
      <c r="AA97" s="31">
        <f t="shared" si="19"/>
        <v>2</v>
      </c>
      <c r="AB97" s="31">
        <f t="shared" si="20"/>
        <v>8</v>
      </c>
      <c r="AC97" s="31">
        <f t="shared" si="21"/>
        <v>7</v>
      </c>
      <c r="AD97" s="31" t="str">
        <f t="shared" si="22"/>
        <v/>
      </c>
      <c r="AE97" s="31" t="str">
        <f t="shared" si="23"/>
        <v/>
      </c>
      <c r="AF97" s="31" t="str">
        <f t="shared" si="24"/>
        <v/>
      </c>
      <c r="AG97" s="25">
        <v>10</v>
      </c>
      <c r="AH97" s="25">
        <v>7</v>
      </c>
      <c r="AI97" s="25">
        <v>0</v>
      </c>
      <c r="AJ97" s="23" t="s">
        <v>206</v>
      </c>
      <c r="AK97" s="23" t="s">
        <v>92</v>
      </c>
      <c r="AL97" s="25">
        <v>284</v>
      </c>
      <c r="AO97" s="32" t="str">
        <f t="shared" si="25"/>
        <v>4 doors</v>
      </c>
      <c r="AQ97" s="23" t="s">
        <v>32</v>
      </c>
      <c r="AR97" s="23" t="str">
        <f t="shared" si="27"/>
        <v>Hungary</v>
      </c>
      <c r="AS97" s="34">
        <f t="shared" si="26"/>
        <v>1800.03</v>
      </c>
      <c r="AT97" s="23">
        <v>18</v>
      </c>
      <c r="AU97" s="23">
        <v>0</v>
      </c>
      <c r="AV97" s="23">
        <v>3</v>
      </c>
    </row>
    <row r="98" spans="1:48">
      <c r="A98" s="25">
        <v>283</v>
      </c>
      <c r="D98" s="23">
        <v>2</v>
      </c>
      <c r="E98" s="25" t="s">
        <v>30</v>
      </c>
      <c r="F98" s="25" t="s">
        <v>30</v>
      </c>
      <c r="G98" s="23" t="s">
        <v>27</v>
      </c>
      <c r="H98" s="23" t="s">
        <v>171</v>
      </c>
      <c r="I98" s="25">
        <v>1987</v>
      </c>
      <c r="J98" s="35">
        <v>30</v>
      </c>
      <c r="K98" s="35">
        <v>40</v>
      </c>
      <c r="L98" s="35">
        <v>20</v>
      </c>
      <c r="M98" s="25">
        <v>10</v>
      </c>
      <c r="N98" s="25">
        <v>10</v>
      </c>
      <c r="R98" s="30">
        <f t="shared" si="14"/>
        <v>20</v>
      </c>
      <c r="S98" s="30">
        <f t="shared" si="15"/>
        <v>21.440571428571428</v>
      </c>
      <c r="T98" s="30">
        <f t="shared" si="16"/>
        <v>28.78590476190476</v>
      </c>
      <c r="U98" s="25">
        <v>89</v>
      </c>
      <c r="V98" s="31">
        <f t="shared" si="17"/>
        <v>250.24</v>
      </c>
      <c r="W98" s="25">
        <v>184</v>
      </c>
      <c r="X98" s="25">
        <v>15</v>
      </c>
      <c r="Y98" s="25">
        <v>125</v>
      </c>
      <c r="Z98" s="31">
        <f t="shared" si="18"/>
        <v>200</v>
      </c>
      <c r="AA98" s="31">
        <f t="shared" si="19"/>
        <v>2</v>
      </c>
      <c r="AB98" s="31">
        <f t="shared" si="20"/>
        <v>8</v>
      </c>
      <c r="AC98" s="31">
        <f t="shared" si="21"/>
        <v>7</v>
      </c>
      <c r="AD98" s="31" t="str">
        <f t="shared" si="22"/>
        <v/>
      </c>
      <c r="AE98" s="31" t="str">
        <f t="shared" si="23"/>
        <v/>
      </c>
      <c r="AF98" s="31" t="str">
        <f t="shared" si="24"/>
        <v/>
      </c>
      <c r="AG98" s="25">
        <v>10</v>
      </c>
      <c r="AH98" s="25">
        <v>7</v>
      </c>
      <c r="AI98" s="25">
        <v>0</v>
      </c>
      <c r="AJ98" s="23" t="s">
        <v>206</v>
      </c>
      <c r="AK98" s="23" t="s">
        <v>92</v>
      </c>
      <c r="AL98" s="25">
        <v>283</v>
      </c>
      <c r="AO98" s="32" t="str">
        <f t="shared" si="25"/>
        <v>2 doors</v>
      </c>
      <c r="AQ98" s="23" t="s">
        <v>270</v>
      </c>
      <c r="AR98" s="23" t="str">
        <f t="shared" si="27"/>
        <v>CC</v>
      </c>
      <c r="AS98" s="34">
        <f t="shared" si="26"/>
        <v>1980</v>
      </c>
      <c r="AT98" s="23">
        <v>19</v>
      </c>
      <c r="AU98" s="23">
        <v>80</v>
      </c>
      <c r="AV98" s="23">
        <v>0</v>
      </c>
    </row>
    <row r="99" spans="1:48">
      <c r="A99" s="25">
        <v>315</v>
      </c>
      <c r="D99" s="23">
        <v>2</v>
      </c>
      <c r="E99" s="25" t="s">
        <v>30</v>
      </c>
      <c r="F99" s="25" t="s">
        <v>30</v>
      </c>
      <c r="G99" s="23" t="s">
        <v>27</v>
      </c>
      <c r="H99" s="23" t="s">
        <v>189</v>
      </c>
      <c r="I99" s="25">
        <v>1992</v>
      </c>
      <c r="J99" s="35">
        <v>30</v>
      </c>
      <c r="K99" s="35">
        <v>40</v>
      </c>
      <c r="L99" s="35">
        <v>20</v>
      </c>
      <c r="M99" s="25">
        <v>4</v>
      </c>
      <c r="N99" s="25">
        <v>4</v>
      </c>
      <c r="R99" s="30">
        <f t="shared" si="14"/>
        <v>8</v>
      </c>
      <c r="S99" s="30">
        <f t="shared" si="15"/>
        <v>13.887428571428572</v>
      </c>
      <c r="T99" s="30">
        <f t="shared" si="16"/>
        <v>20.216761904761906</v>
      </c>
      <c r="U99" s="25">
        <v>118</v>
      </c>
      <c r="V99" s="31">
        <f t="shared" si="17"/>
        <v>186.32000000000002</v>
      </c>
      <c r="W99" s="25">
        <v>137</v>
      </c>
      <c r="X99" s="25">
        <v>8</v>
      </c>
      <c r="Y99" s="25">
        <v>32</v>
      </c>
      <c r="Z99" s="31">
        <f t="shared" si="18"/>
        <v>100</v>
      </c>
      <c r="AA99" s="31">
        <f t="shared" si="19"/>
        <v>7</v>
      </c>
      <c r="AB99" s="31" t="str">
        <f t="shared" si="20"/>
        <v/>
      </c>
      <c r="AC99" s="31" t="str">
        <f t="shared" si="21"/>
        <v/>
      </c>
      <c r="AD99" s="31" t="str">
        <f t="shared" si="22"/>
        <v/>
      </c>
      <c r="AE99" s="31" t="str">
        <f t="shared" si="23"/>
        <v/>
      </c>
      <c r="AF99" s="31" t="str">
        <f t="shared" si="24"/>
        <v/>
      </c>
      <c r="AG99" s="25">
        <v>7</v>
      </c>
      <c r="AH99" s="25">
        <v>0</v>
      </c>
      <c r="AI99" s="25">
        <v>0</v>
      </c>
      <c r="AJ99" s="23" t="s">
        <v>208</v>
      </c>
      <c r="AK99" s="23" t="s">
        <v>92</v>
      </c>
      <c r="AL99" s="25">
        <v>315</v>
      </c>
      <c r="AO99" s="32" t="str">
        <f t="shared" si="25"/>
        <v>2 doors</v>
      </c>
      <c r="AQ99" s="23" t="s">
        <v>48</v>
      </c>
      <c r="AR99" s="23" t="str">
        <f t="shared" si="27"/>
        <v>CC</v>
      </c>
      <c r="AS99" s="34">
        <f t="shared" si="26"/>
        <v>3000</v>
      </c>
      <c r="AT99" s="23">
        <v>30</v>
      </c>
      <c r="AU99" s="23">
        <v>0</v>
      </c>
      <c r="AV99" s="23">
        <v>0</v>
      </c>
    </row>
    <row r="100" spans="1:48">
      <c r="A100" s="25">
        <v>325</v>
      </c>
      <c r="D100" s="23">
        <v>2</v>
      </c>
      <c r="E100" s="25" t="s">
        <v>30</v>
      </c>
      <c r="F100" s="25" t="s">
        <v>30</v>
      </c>
      <c r="G100" s="23" t="s">
        <v>27</v>
      </c>
      <c r="H100" s="23" t="s">
        <v>248</v>
      </c>
      <c r="I100" s="25">
        <v>1986</v>
      </c>
      <c r="J100" s="35">
        <v>30</v>
      </c>
      <c r="K100" s="35">
        <v>40</v>
      </c>
      <c r="L100" s="35">
        <v>20</v>
      </c>
      <c r="M100" s="25">
        <v>4</v>
      </c>
      <c r="N100" s="25">
        <v>4</v>
      </c>
      <c r="R100" s="30">
        <f t="shared" si="14"/>
        <v>8</v>
      </c>
      <c r="S100" s="30">
        <f t="shared" si="15"/>
        <v>14.543428571428572</v>
      </c>
      <c r="T100" s="30">
        <f t="shared" si="16"/>
        <v>22.415428571428574</v>
      </c>
      <c r="U100" s="25">
        <v>113</v>
      </c>
      <c r="V100" s="31">
        <f t="shared" si="17"/>
        <v>209.44000000000003</v>
      </c>
      <c r="W100" s="25">
        <v>154</v>
      </c>
      <c r="X100" s="25">
        <v>7</v>
      </c>
      <c r="Y100" s="25">
        <v>30</v>
      </c>
      <c r="Z100" s="31">
        <f t="shared" si="18"/>
        <v>100</v>
      </c>
      <c r="AA100" s="31">
        <f t="shared" si="19"/>
        <v>8</v>
      </c>
      <c r="AB100" s="31" t="str">
        <f t="shared" si="20"/>
        <v/>
      </c>
      <c r="AC100" s="31" t="str">
        <f t="shared" si="21"/>
        <v/>
      </c>
      <c r="AD100" s="31" t="str">
        <f t="shared" si="22"/>
        <v/>
      </c>
      <c r="AE100" s="31" t="str">
        <f t="shared" si="23"/>
        <v/>
      </c>
      <c r="AF100" s="31" t="str">
        <f t="shared" si="24"/>
        <v/>
      </c>
      <c r="AG100" s="25">
        <v>8</v>
      </c>
      <c r="AH100" s="25">
        <v>0</v>
      </c>
      <c r="AI100" s="25">
        <v>0</v>
      </c>
      <c r="AJ100" s="23" t="s">
        <v>208</v>
      </c>
      <c r="AK100" s="23" t="s">
        <v>92</v>
      </c>
      <c r="AL100" s="25">
        <v>325</v>
      </c>
      <c r="AO100" s="32" t="str">
        <f t="shared" si="25"/>
        <v>2 doors</v>
      </c>
      <c r="AQ100" s="23" t="s">
        <v>48</v>
      </c>
      <c r="AR100" s="23" t="str">
        <f t="shared" si="27"/>
        <v>CC</v>
      </c>
      <c r="AS100" s="34">
        <f t="shared" si="26"/>
        <v>3010</v>
      </c>
      <c r="AT100" s="23">
        <v>30</v>
      </c>
      <c r="AU100" s="23">
        <v>10</v>
      </c>
      <c r="AV100" s="23">
        <v>0</v>
      </c>
    </row>
    <row r="101" spans="1:48">
      <c r="A101" s="25">
        <v>350</v>
      </c>
      <c r="D101" s="23">
        <v>2</v>
      </c>
      <c r="E101" s="25" t="s">
        <v>30</v>
      </c>
      <c r="F101" s="25" t="s">
        <v>30</v>
      </c>
      <c r="G101" s="23" t="s">
        <v>27</v>
      </c>
      <c r="H101" s="23" t="s">
        <v>190</v>
      </c>
      <c r="I101" s="25">
        <v>1988</v>
      </c>
      <c r="J101" s="35">
        <v>30</v>
      </c>
      <c r="K101" s="35">
        <v>40</v>
      </c>
      <c r="L101" s="35">
        <v>20</v>
      </c>
      <c r="M101" s="25">
        <v>4</v>
      </c>
      <c r="N101" s="25">
        <v>4</v>
      </c>
      <c r="R101" s="30">
        <f t="shared" si="14"/>
        <v>8</v>
      </c>
      <c r="S101" s="30">
        <f t="shared" si="15"/>
        <v>20.851428571428574</v>
      </c>
      <c r="T101" s="30">
        <f t="shared" si="16"/>
        <v>30.664761904761907</v>
      </c>
      <c r="U101" s="25">
        <v>117</v>
      </c>
      <c r="V101" s="31">
        <f t="shared" si="17"/>
        <v>285.60000000000002</v>
      </c>
      <c r="W101" s="25">
        <v>210</v>
      </c>
      <c r="X101" s="25">
        <v>12</v>
      </c>
      <c r="Y101" s="25">
        <v>50</v>
      </c>
      <c r="Z101" s="31">
        <f t="shared" si="18"/>
        <v>100</v>
      </c>
      <c r="AA101" s="31">
        <f t="shared" si="19"/>
        <v>3</v>
      </c>
      <c r="AB101" s="31">
        <f t="shared" si="20"/>
        <v>8</v>
      </c>
      <c r="AC101" s="31" t="str">
        <f t="shared" si="21"/>
        <v/>
      </c>
      <c r="AD101" s="31" t="str">
        <f t="shared" si="22"/>
        <v/>
      </c>
      <c r="AE101" s="31" t="str">
        <f t="shared" si="23"/>
        <v/>
      </c>
      <c r="AF101" s="31" t="str">
        <f t="shared" si="24"/>
        <v/>
      </c>
      <c r="AG101" s="25">
        <v>11</v>
      </c>
      <c r="AH101" s="25">
        <v>0</v>
      </c>
      <c r="AI101" s="25">
        <v>0</v>
      </c>
      <c r="AJ101" s="23" t="s">
        <v>208</v>
      </c>
      <c r="AK101" s="23" t="s">
        <v>92</v>
      </c>
      <c r="AL101" s="25">
        <v>350</v>
      </c>
      <c r="AO101" s="32" t="str">
        <f t="shared" si="25"/>
        <v>2 doors</v>
      </c>
      <c r="AQ101" s="23" t="s">
        <v>48</v>
      </c>
      <c r="AR101" s="23" t="str">
        <f t="shared" si="27"/>
        <v>CC</v>
      </c>
      <c r="AS101" s="34">
        <f t="shared" si="26"/>
        <v>3100</v>
      </c>
      <c r="AT101" s="23">
        <v>31</v>
      </c>
      <c r="AU101" s="23">
        <v>0</v>
      </c>
      <c r="AV101" s="23">
        <v>0</v>
      </c>
    </row>
    <row r="102" spans="1:48">
      <c r="A102" s="25">
        <v>386</v>
      </c>
      <c r="D102" s="23">
        <v>2</v>
      </c>
      <c r="E102" s="25" t="s">
        <v>30</v>
      </c>
      <c r="F102" s="25" t="s">
        <v>30</v>
      </c>
      <c r="G102" s="23" t="s">
        <v>27</v>
      </c>
      <c r="H102" s="23" t="s">
        <v>226</v>
      </c>
      <c r="I102" s="25">
        <v>1986</v>
      </c>
      <c r="J102" s="35">
        <v>30</v>
      </c>
      <c r="K102" s="35">
        <v>40</v>
      </c>
      <c r="L102" s="35">
        <v>20</v>
      </c>
      <c r="M102" s="25">
        <v>4</v>
      </c>
      <c r="N102" s="25">
        <v>4</v>
      </c>
      <c r="R102" s="30">
        <f t="shared" si="14"/>
        <v>8</v>
      </c>
      <c r="S102" s="30">
        <f t="shared" si="15"/>
        <v>22.551428571428573</v>
      </c>
      <c r="T102" s="30">
        <f t="shared" si="16"/>
        <v>34.058095238095234</v>
      </c>
      <c r="U102" s="25">
        <v>113</v>
      </c>
      <c r="V102" s="31">
        <f t="shared" si="17"/>
        <v>319.60000000000002</v>
      </c>
      <c r="W102" s="25">
        <v>235</v>
      </c>
      <c r="X102" s="25">
        <v>12</v>
      </c>
      <c r="Y102" s="25">
        <v>49</v>
      </c>
      <c r="Z102" s="31">
        <f t="shared" si="18"/>
        <v>150</v>
      </c>
      <c r="AA102" s="31">
        <f t="shared" si="19"/>
        <v>3</v>
      </c>
      <c r="AB102" s="31">
        <f t="shared" si="20"/>
        <v>8</v>
      </c>
      <c r="AC102" s="31" t="str">
        <f t="shared" si="21"/>
        <v/>
      </c>
      <c r="AD102" s="31" t="str">
        <f t="shared" si="22"/>
        <v/>
      </c>
      <c r="AE102" s="31" t="str">
        <f t="shared" si="23"/>
        <v/>
      </c>
      <c r="AF102" s="31" t="str">
        <f t="shared" si="24"/>
        <v/>
      </c>
      <c r="AG102" s="25">
        <v>11</v>
      </c>
      <c r="AH102" s="25">
        <v>0</v>
      </c>
      <c r="AI102" s="25">
        <v>0</v>
      </c>
      <c r="AJ102" s="23" t="s">
        <v>208</v>
      </c>
      <c r="AK102" s="23" t="s">
        <v>92</v>
      </c>
      <c r="AL102" s="25">
        <v>386</v>
      </c>
      <c r="AO102" s="32" t="str">
        <f t="shared" si="25"/>
        <v>2 doors</v>
      </c>
      <c r="AQ102" s="23" t="s">
        <v>47</v>
      </c>
      <c r="AR102" s="23" t="str">
        <f t="shared" si="27"/>
        <v>CC</v>
      </c>
      <c r="AS102" s="34">
        <f t="shared" si="26"/>
        <v>3200</v>
      </c>
      <c r="AT102" s="23">
        <v>32</v>
      </c>
      <c r="AU102" s="23">
        <v>0</v>
      </c>
      <c r="AV102" s="23">
        <v>0</v>
      </c>
    </row>
    <row r="103" spans="1:48">
      <c r="A103" s="25">
        <v>397</v>
      </c>
      <c r="D103" s="23">
        <v>2</v>
      </c>
      <c r="E103" s="25" t="s">
        <v>30</v>
      </c>
      <c r="F103" s="25" t="s">
        <v>30</v>
      </c>
      <c r="G103" s="23" t="s">
        <v>27</v>
      </c>
      <c r="H103" s="23" t="s">
        <v>191</v>
      </c>
      <c r="I103" s="25">
        <v>1993</v>
      </c>
      <c r="J103" s="35">
        <v>30</v>
      </c>
      <c r="K103" s="35">
        <v>40</v>
      </c>
      <c r="L103" s="35">
        <v>20</v>
      </c>
      <c r="M103" s="25">
        <v>4</v>
      </c>
      <c r="N103" s="25">
        <v>6</v>
      </c>
      <c r="R103" s="30">
        <f t="shared" si="14"/>
        <v>10</v>
      </c>
      <c r="S103" s="30">
        <f t="shared" si="15"/>
        <v>27.370285714285714</v>
      </c>
      <c r="T103" s="30">
        <f t="shared" si="16"/>
        <v>39.132952380952382</v>
      </c>
      <c r="U103" s="25">
        <v>123</v>
      </c>
      <c r="V103" s="31">
        <f t="shared" si="17"/>
        <v>363.12</v>
      </c>
      <c r="W103" s="25">
        <v>267</v>
      </c>
      <c r="X103" s="25">
        <v>17</v>
      </c>
      <c r="Y103" s="25">
        <v>61</v>
      </c>
      <c r="Z103" s="31">
        <f t="shared" si="18"/>
        <v>150</v>
      </c>
      <c r="AA103" s="31">
        <f t="shared" si="19"/>
        <v>3</v>
      </c>
      <c r="AB103" s="31">
        <f t="shared" si="20"/>
        <v>8</v>
      </c>
      <c r="AC103" s="31" t="str">
        <f t="shared" si="21"/>
        <v/>
      </c>
      <c r="AD103" s="31" t="str">
        <f t="shared" si="22"/>
        <v/>
      </c>
      <c r="AE103" s="31" t="str">
        <f t="shared" si="23"/>
        <v/>
      </c>
      <c r="AF103" s="31" t="str">
        <f t="shared" si="24"/>
        <v/>
      </c>
      <c r="AG103" s="25">
        <v>11</v>
      </c>
      <c r="AH103" s="25">
        <v>0</v>
      </c>
      <c r="AI103" s="25">
        <v>0</v>
      </c>
      <c r="AJ103" s="23" t="s">
        <v>208</v>
      </c>
      <c r="AK103" s="23" t="s">
        <v>92</v>
      </c>
      <c r="AL103" s="25">
        <v>397</v>
      </c>
      <c r="AO103" s="32" t="str">
        <f t="shared" si="25"/>
        <v>2 doors</v>
      </c>
      <c r="AQ103" s="23" t="s">
        <v>47</v>
      </c>
      <c r="AR103" s="23" t="str">
        <f t="shared" si="27"/>
        <v>CC</v>
      </c>
      <c r="AS103" s="34">
        <f t="shared" si="26"/>
        <v>3300</v>
      </c>
      <c r="AT103" s="23">
        <v>33</v>
      </c>
      <c r="AU103" s="23">
        <v>0</v>
      </c>
      <c r="AV103" s="23">
        <v>0</v>
      </c>
    </row>
    <row r="104" spans="1:48">
      <c r="A104" s="25">
        <v>397</v>
      </c>
      <c r="D104" s="23">
        <v>2</v>
      </c>
      <c r="E104" s="25" t="s">
        <v>211</v>
      </c>
      <c r="F104" s="25" t="s">
        <v>211</v>
      </c>
      <c r="G104" s="23" t="s">
        <v>27</v>
      </c>
      <c r="H104" s="23" t="s">
        <v>191</v>
      </c>
      <c r="I104" s="25">
        <v>1993</v>
      </c>
      <c r="J104" s="35">
        <v>30</v>
      </c>
      <c r="K104" s="35">
        <v>40</v>
      </c>
      <c r="L104" s="35">
        <v>20</v>
      </c>
      <c r="M104" s="25">
        <v>4</v>
      </c>
      <c r="N104" s="25">
        <v>6</v>
      </c>
      <c r="R104" s="30">
        <f t="shared" si="14"/>
        <v>10</v>
      </c>
      <c r="S104" s="30">
        <f t="shared" si="15"/>
        <v>27.370285714285714</v>
      </c>
      <c r="T104" s="30">
        <f t="shared" si="16"/>
        <v>39.132952380952382</v>
      </c>
      <c r="U104" s="25">
        <v>123</v>
      </c>
      <c r="V104" s="31">
        <f t="shared" si="17"/>
        <v>363.12</v>
      </c>
      <c r="W104" s="25">
        <v>267</v>
      </c>
      <c r="X104" s="25">
        <v>17</v>
      </c>
      <c r="Y104" s="25">
        <v>61</v>
      </c>
      <c r="Z104" s="31">
        <f t="shared" si="18"/>
        <v>150</v>
      </c>
      <c r="AA104" s="31">
        <f t="shared" si="19"/>
        <v>3</v>
      </c>
      <c r="AB104" s="31">
        <f t="shared" si="20"/>
        <v>8</v>
      </c>
      <c r="AC104" s="31" t="str">
        <f t="shared" si="21"/>
        <v/>
      </c>
      <c r="AD104" s="31" t="str">
        <f t="shared" si="22"/>
        <v/>
      </c>
      <c r="AE104" s="31" t="str">
        <f t="shared" si="23"/>
        <v/>
      </c>
      <c r="AF104" s="31" t="str">
        <f t="shared" si="24"/>
        <v/>
      </c>
      <c r="AG104" s="25">
        <v>11</v>
      </c>
      <c r="AH104" s="25">
        <v>0</v>
      </c>
      <c r="AI104" s="25">
        <v>0</v>
      </c>
      <c r="AJ104" s="23" t="s">
        <v>208</v>
      </c>
      <c r="AK104" s="23" t="s">
        <v>92</v>
      </c>
      <c r="AL104" s="25">
        <v>397</v>
      </c>
      <c r="AO104" s="32" t="str">
        <f t="shared" si="25"/>
        <v>2 doors</v>
      </c>
      <c r="AQ104" s="23" t="s">
        <v>47</v>
      </c>
      <c r="AR104" s="23" t="str">
        <f t="shared" si="27"/>
        <v>Hungary</v>
      </c>
      <c r="AS104" s="34">
        <f t="shared" si="26"/>
        <v>3300.01</v>
      </c>
      <c r="AT104" s="23">
        <v>33</v>
      </c>
      <c r="AU104" s="23">
        <v>0</v>
      </c>
      <c r="AV104" s="23">
        <v>1</v>
      </c>
    </row>
    <row r="105" spans="1:48">
      <c r="A105" s="25">
        <v>405</v>
      </c>
      <c r="D105" s="23">
        <v>2</v>
      </c>
      <c r="E105" s="25" t="s">
        <v>30</v>
      </c>
      <c r="F105" s="25" t="s">
        <v>30</v>
      </c>
      <c r="G105" s="23" t="s">
        <v>27</v>
      </c>
      <c r="H105" s="23" t="s">
        <v>174</v>
      </c>
      <c r="I105" s="25">
        <v>1993</v>
      </c>
      <c r="J105" s="35">
        <v>30</v>
      </c>
      <c r="K105" s="35">
        <v>40</v>
      </c>
      <c r="L105" s="35">
        <v>20</v>
      </c>
      <c r="M105" s="25">
        <v>8</v>
      </c>
      <c r="N105" s="25">
        <v>12</v>
      </c>
      <c r="R105" s="30">
        <f t="shared" si="14"/>
        <v>20</v>
      </c>
      <c r="S105" s="30">
        <f t="shared" si="15"/>
        <v>10.796571428571429</v>
      </c>
      <c r="T105" s="30">
        <f t="shared" si="16"/>
        <v>15.971238095238096</v>
      </c>
      <c r="U105" s="25">
        <v>76</v>
      </c>
      <c r="V105" s="31">
        <f t="shared" si="17"/>
        <v>137.36000000000001</v>
      </c>
      <c r="W105" s="25">
        <v>101</v>
      </c>
      <c r="X105" s="25">
        <v>5</v>
      </c>
      <c r="Y105" s="25">
        <v>46</v>
      </c>
      <c r="Z105" s="31">
        <f t="shared" si="18"/>
        <v>200</v>
      </c>
      <c r="AA105" s="31">
        <f t="shared" si="19"/>
        <v>7</v>
      </c>
      <c r="AB105" s="31" t="str">
        <f t="shared" si="20"/>
        <v/>
      </c>
      <c r="AC105" s="31" t="str">
        <f t="shared" si="21"/>
        <v/>
      </c>
      <c r="AD105" s="31" t="str">
        <f t="shared" si="22"/>
        <v/>
      </c>
      <c r="AE105" s="31" t="str">
        <f t="shared" si="23"/>
        <v/>
      </c>
      <c r="AF105" s="31" t="str">
        <f t="shared" si="24"/>
        <v/>
      </c>
      <c r="AG105" s="25">
        <v>7</v>
      </c>
      <c r="AH105" s="25">
        <v>0</v>
      </c>
      <c r="AI105" s="25">
        <v>0</v>
      </c>
      <c r="AJ105" s="23" t="s">
        <v>207</v>
      </c>
      <c r="AK105" s="23" t="s">
        <v>92</v>
      </c>
      <c r="AL105" s="25">
        <v>405</v>
      </c>
      <c r="AO105" s="32" t="str">
        <f t="shared" si="25"/>
        <v>2 doors</v>
      </c>
      <c r="AQ105" s="23" t="s">
        <v>32</v>
      </c>
      <c r="AR105" s="23" t="str">
        <f t="shared" si="27"/>
        <v>CC</v>
      </c>
      <c r="AS105" s="34">
        <f t="shared" si="26"/>
        <v>5000</v>
      </c>
      <c r="AT105" s="23">
        <v>50</v>
      </c>
      <c r="AU105" s="23">
        <v>0</v>
      </c>
      <c r="AV105" s="23">
        <v>0</v>
      </c>
    </row>
    <row r="106" spans="1:48">
      <c r="A106" s="25">
        <v>405</v>
      </c>
      <c r="D106" s="23">
        <v>2</v>
      </c>
      <c r="E106" s="25" t="s">
        <v>85</v>
      </c>
      <c r="F106" s="25" t="s">
        <v>85</v>
      </c>
      <c r="G106" s="23" t="s">
        <v>27</v>
      </c>
      <c r="H106" s="23" t="s">
        <v>174</v>
      </c>
      <c r="I106" s="25">
        <v>1993</v>
      </c>
      <c r="J106" s="35">
        <v>30</v>
      </c>
      <c r="K106" s="35">
        <v>40</v>
      </c>
      <c r="L106" s="35">
        <v>20</v>
      </c>
      <c r="M106" s="25">
        <v>8</v>
      </c>
      <c r="N106" s="25">
        <v>12</v>
      </c>
      <c r="R106" s="30">
        <f t="shared" si="14"/>
        <v>20</v>
      </c>
      <c r="S106" s="30">
        <f t="shared" si="15"/>
        <v>10.796571428571429</v>
      </c>
      <c r="T106" s="30">
        <f t="shared" si="16"/>
        <v>15.971238095238096</v>
      </c>
      <c r="U106" s="25">
        <v>76</v>
      </c>
      <c r="V106" s="31">
        <f t="shared" si="17"/>
        <v>137.36000000000001</v>
      </c>
      <c r="W106" s="25">
        <v>101</v>
      </c>
      <c r="X106" s="25">
        <v>5</v>
      </c>
      <c r="Y106" s="25">
        <v>46</v>
      </c>
      <c r="Z106" s="31">
        <f t="shared" si="18"/>
        <v>200</v>
      </c>
      <c r="AA106" s="31">
        <f t="shared" si="19"/>
        <v>7</v>
      </c>
      <c r="AB106" s="31" t="str">
        <f t="shared" si="20"/>
        <v/>
      </c>
      <c r="AC106" s="31" t="str">
        <f t="shared" si="21"/>
        <v/>
      </c>
      <c r="AD106" s="31" t="str">
        <f t="shared" si="22"/>
        <v/>
      </c>
      <c r="AE106" s="31" t="str">
        <f t="shared" si="23"/>
        <v/>
      </c>
      <c r="AF106" s="31" t="str">
        <f t="shared" si="24"/>
        <v/>
      </c>
      <c r="AG106" s="25">
        <v>7</v>
      </c>
      <c r="AH106" s="25">
        <v>0</v>
      </c>
      <c r="AI106" s="25">
        <v>0</v>
      </c>
      <c r="AJ106" s="23" t="s">
        <v>207</v>
      </c>
      <c r="AK106" s="23" t="s">
        <v>92</v>
      </c>
      <c r="AL106" s="25">
        <v>405</v>
      </c>
      <c r="AO106" s="32" t="str">
        <f t="shared" si="25"/>
        <v>2 doors</v>
      </c>
      <c r="AQ106" s="23" t="s">
        <v>32</v>
      </c>
      <c r="AR106" s="23" t="str">
        <f t="shared" si="27"/>
        <v>Hungary</v>
      </c>
      <c r="AS106" s="34">
        <f t="shared" si="26"/>
        <v>5000.01</v>
      </c>
      <c r="AT106" s="23">
        <v>50</v>
      </c>
      <c r="AU106" s="23">
        <v>0</v>
      </c>
      <c r="AV106" s="23">
        <v>1</v>
      </c>
    </row>
    <row r="107" spans="1:48">
      <c r="A107" s="25">
        <v>415</v>
      </c>
      <c r="B107" s="23" t="s">
        <v>89</v>
      </c>
      <c r="C107" s="23" t="s">
        <v>246</v>
      </c>
      <c r="D107" s="23">
        <v>3</v>
      </c>
      <c r="E107" s="25" t="s">
        <v>30</v>
      </c>
      <c r="F107" s="25" t="s">
        <v>30</v>
      </c>
      <c r="G107" s="23" t="s">
        <v>27</v>
      </c>
      <c r="H107" s="23" t="s">
        <v>178</v>
      </c>
      <c r="I107" s="25">
        <v>1984</v>
      </c>
      <c r="J107" s="35">
        <v>30</v>
      </c>
      <c r="K107" s="35">
        <v>40</v>
      </c>
      <c r="L107" s="35">
        <v>20</v>
      </c>
      <c r="M107" s="25">
        <v>10</v>
      </c>
      <c r="N107" s="25">
        <v>10</v>
      </c>
      <c r="O107" s="25">
        <v>8</v>
      </c>
      <c r="R107" s="30">
        <f t="shared" si="14"/>
        <v>28</v>
      </c>
      <c r="S107" s="30">
        <f t="shared" si="15"/>
        <v>19.968</v>
      </c>
      <c r="T107" s="30">
        <f t="shared" si="16"/>
        <v>27.749333333333333</v>
      </c>
      <c r="U107" s="25">
        <v>71</v>
      </c>
      <c r="V107" s="31">
        <f t="shared" si="17"/>
        <v>239.36</v>
      </c>
      <c r="W107" s="25">
        <v>176</v>
      </c>
      <c r="X107" s="25">
        <v>12</v>
      </c>
      <c r="Y107" s="25">
        <v>92</v>
      </c>
      <c r="Z107" s="31">
        <f t="shared" si="18"/>
        <v>200</v>
      </c>
      <c r="AA107" s="31">
        <f t="shared" si="19"/>
        <v>3</v>
      </c>
      <c r="AB107" s="31">
        <f t="shared" si="20"/>
        <v>8</v>
      </c>
      <c r="AC107" s="31" t="str">
        <f t="shared" si="21"/>
        <v/>
      </c>
      <c r="AD107" s="31" t="str">
        <f t="shared" si="22"/>
        <v/>
      </c>
      <c r="AE107" s="31" t="str">
        <f t="shared" si="23"/>
        <v/>
      </c>
      <c r="AF107" s="31" t="str">
        <f t="shared" si="24"/>
        <v/>
      </c>
      <c r="AG107" s="25">
        <v>11</v>
      </c>
      <c r="AH107" s="25">
        <v>0</v>
      </c>
      <c r="AI107" s="25">
        <v>0</v>
      </c>
      <c r="AJ107" s="23" t="s">
        <v>207</v>
      </c>
      <c r="AK107" s="23" t="s">
        <v>92</v>
      </c>
      <c r="AL107" s="25">
        <v>415</v>
      </c>
      <c r="AO107" s="32" t="str">
        <f t="shared" si="25"/>
        <v>3 doors</v>
      </c>
      <c r="AQ107" s="23" t="s">
        <v>32</v>
      </c>
      <c r="AR107" s="23" t="str">
        <f t="shared" si="27"/>
        <v>CC</v>
      </c>
      <c r="AS107" s="34">
        <f t="shared" si="26"/>
        <v>5100</v>
      </c>
      <c r="AT107" s="23">
        <v>51</v>
      </c>
      <c r="AU107" s="23">
        <v>0</v>
      </c>
      <c r="AV107" s="23">
        <v>0</v>
      </c>
    </row>
    <row r="108" spans="1:48">
      <c r="A108" s="25">
        <v>415</v>
      </c>
      <c r="B108" s="23" t="s">
        <v>89</v>
      </c>
      <c r="C108" s="23" t="s">
        <v>128</v>
      </c>
      <c r="D108" s="23">
        <v>3</v>
      </c>
      <c r="E108" s="25" t="s">
        <v>42</v>
      </c>
      <c r="F108" s="25" t="s">
        <v>42</v>
      </c>
      <c r="G108" s="23" t="s">
        <v>27</v>
      </c>
      <c r="H108" s="23" t="s">
        <v>178</v>
      </c>
      <c r="I108" s="25">
        <v>1984</v>
      </c>
      <c r="J108" s="35">
        <v>30</v>
      </c>
      <c r="K108" s="35">
        <v>40</v>
      </c>
      <c r="L108" s="35">
        <v>20</v>
      </c>
      <c r="M108" s="25">
        <v>10</v>
      </c>
      <c r="N108" s="25">
        <v>10</v>
      </c>
      <c r="O108" s="25">
        <v>8</v>
      </c>
      <c r="R108" s="30">
        <f t="shared" si="14"/>
        <v>28</v>
      </c>
      <c r="S108" s="30">
        <f t="shared" si="15"/>
        <v>19.968</v>
      </c>
      <c r="T108" s="30">
        <f t="shared" si="16"/>
        <v>27.749333333333333</v>
      </c>
      <c r="U108" s="25">
        <v>71</v>
      </c>
      <c r="V108" s="31">
        <f t="shared" si="17"/>
        <v>239.36</v>
      </c>
      <c r="W108" s="25">
        <v>176</v>
      </c>
      <c r="X108" s="25">
        <v>12</v>
      </c>
      <c r="Y108" s="25">
        <v>92</v>
      </c>
      <c r="Z108" s="31">
        <f t="shared" si="18"/>
        <v>200</v>
      </c>
      <c r="AA108" s="31">
        <f t="shared" si="19"/>
        <v>3</v>
      </c>
      <c r="AB108" s="31">
        <f t="shared" si="20"/>
        <v>8</v>
      </c>
      <c r="AC108" s="31" t="str">
        <f t="shared" si="21"/>
        <v/>
      </c>
      <c r="AD108" s="31" t="str">
        <f t="shared" si="22"/>
        <v/>
      </c>
      <c r="AE108" s="31" t="str">
        <f t="shared" si="23"/>
        <v/>
      </c>
      <c r="AF108" s="31" t="str">
        <f t="shared" si="24"/>
        <v/>
      </c>
      <c r="AG108" s="25">
        <v>11</v>
      </c>
      <c r="AH108" s="25">
        <v>0</v>
      </c>
      <c r="AI108" s="25">
        <v>0</v>
      </c>
      <c r="AJ108" s="23" t="s">
        <v>207</v>
      </c>
      <c r="AK108" s="23" t="s">
        <v>92</v>
      </c>
      <c r="AL108" s="25">
        <v>415</v>
      </c>
      <c r="AO108" s="32" t="str">
        <f t="shared" si="25"/>
        <v>3 doors</v>
      </c>
      <c r="AP108" s="23" t="s">
        <v>210</v>
      </c>
      <c r="AQ108" s="23" t="s">
        <v>32</v>
      </c>
      <c r="AR108" s="23" t="str">
        <f t="shared" si="27"/>
        <v>CC</v>
      </c>
      <c r="AS108" s="34">
        <f t="shared" si="26"/>
        <v>5100.01</v>
      </c>
      <c r="AT108" s="23">
        <v>51</v>
      </c>
      <c r="AU108" s="23">
        <v>0</v>
      </c>
      <c r="AV108" s="23">
        <v>1</v>
      </c>
    </row>
    <row r="109" spans="1:48">
      <c r="A109" s="25">
        <v>415</v>
      </c>
      <c r="B109" s="23" t="s">
        <v>89</v>
      </c>
      <c r="C109" s="23" t="s">
        <v>246</v>
      </c>
      <c r="D109" s="23">
        <v>3</v>
      </c>
      <c r="E109" s="25" t="s">
        <v>85</v>
      </c>
      <c r="F109" s="25" t="s">
        <v>85</v>
      </c>
      <c r="G109" s="23" t="s">
        <v>27</v>
      </c>
      <c r="H109" s="23" t="s">
        <v>178</v>
      </c>
      <c r="I109" s="25">
        <v>1984</v>
      </c>
      <c r="J109" s="35">
        <v>30</v>
      </c>
      <c r="K109" s="35">
        <v>40</v>
      </c>
      <c r="L109" s="35">
        <v>20</v>
      </c>
      <c r="M109" s="25">
        <v>10</v>
      </c>
      <c r="N109" s="25">
        <v>10</v>
      </c>
      <c r="O109" s="25">
        <v>8</v>
      </c>
      <c r="R109" s="30">
        <f t="shared" si="14"/>
        <v>28</v>
      </c>
      <c r="S109" s="30">
        <f t="shared" si="15"/>
        <v>19.968</v>
      </c>
      <c r="T109" s="30">
        <f t="shared" si="16"/>
        <v>27.749333333333333</v>
      </c>
      <c r="U109" s="25">
        <v>71</v>
      </c>
      <c r="V109" s="31">
        <f t="shared" si="17"/>
        <v>239.36</v>
      </c>
      <c r="W109" s="25">
        <v>176</v>
      </c>
      <c r="X109" s="25">
        <v>12</v>
      </c>
      <c r="Y109" s="25">
        <v>92</v>
      </c>
      <c r="Z109" s="31">
        <f t="shared" si="18"/>
        <v>200</v>
      </c>
      <c r="AA109" s="31">
        <f t="shared" si="19"/>
        <v>3</v>
      </c>
      <c r="AB109" s="31">
        <f t="shared" si="20"/>
        <v>8</v>
      </c>
      <c r="AC109" s="31" t="str">
        <f t="shared" si="21"/>
        <v/>
      </c>
      <c r="AD109" s="31" t="str">
        <f t="shared" si="22"/>
        <v/>
      </c>
      <c r="AE109" s="31" t="str">
        <f t="shared" si="23"/>
        <v/>
      </c>
      <c r="AF109" s="31" t="str">
        <f t="shared" si="24"/>
        <v/>
      </c>
      <c r="AG109" s="25">
        <v>11</v>
      </c>
      <c r="AH109" s="25">
        <v>0</v>
      </c>
      <c r="AI109" s="25">
        <v>0</v>
      </c>
      <c r="AJ109" s="23" t="s">
        <v>207</v>
      </c>
      <c r="AK109" s="23" t="s">
        <v>92</v>
      </c>
      <c r="AL109" s="25">
        <v>415</v>
      </c>
      <c r="AO109" s="32" t="str">
        <f t="shared" si="25"/>
        <v>3 doors</v>
      </c>
      <c r="AQ109" s="23" t="s">
        <v>32</v>
      </c>
      <c r="AR109" s="23" t="str">
        <f t="shared" si="27"/>
        <v>Hungary</v>
      </c>
      <c r="AS109" s="34">
        <f t="shared" si="26"/>
        <v>5100.0200000000004</v>
      </c>
      <c r="AT109" s="23">
        <v>51</v>
      </c>
      <c r="AU109" s="23">
        <v>0</v>
      </c>
      <c r="AV109" s="23">
        <v>2</v>
      </c>
    </row>
    <row r="110" spans="1:48">
      <c r="A110" s="25">
        <v>415</v>
      </c>
      <c r="B110" s="23" t="s">
        <v>89</v>
      </c>
      <c r="D110" s="23">
        <v>3</v>
      </c>
      <c r="E110" s="25" t="s">
        <v>30</v>
      </c>
      <c r="F110" s="25" t="s">
        <v>30</v>
      </c>
      <c r="G110" s="23" t="s">
        <v>27</v>
      </c>
      <c r="H110" s="23" t="s">
        <v>179</v>
      </c>
      <c r="I110" s="25">
        <v>1992</v>
      </c>
      <c r="J110" s="35">
        <v>30</v>
      </c>
      <c r="K110" s="35">
        <v>40</v>
      </c>
      <c r="L110" s="35">
        <v>20</v>
      </c>
      <c r="M110" s="25">
        <v>10</v>
      </c>
      <c r="N110" s="25">
        <v>10</v>
      </c>
      <c r="O110" s="25">
        <v>6</v>
      </c>
      <c r="R110" s="30">
        <f t="shared" si="14"/>
        <v>26</v>
      </c>
      <c r="S110" s="30">
        <f t="shared" si="15"/>
        <v>20.369142857142858</v>
      </c>
      <c r="T110" s="30">
        <f t="shared" si="16"/>
        <v>28.72780952380953</v>
      </c>
      <c r="U110" s="25">
        <v>72</v>
      </c>
      <c r="V110" s="31">
        <f t="shared" si="17"/>
        <v>250.24</v>
      </c>
      <c r="W110" s="25">
        <v>184</v>
      </c>
      <c r="X110" s="25">
        <v>12</v>
      </c>
      <c r="Y110" s="25">
        <v>97</v>
      </c>
      <c r="Z110" s="31">
        <f t="shared" si="18"/>
        <v>200</v>
      </c>
      <c r="AA110" s="31">
        <f t="shared" si="19"/>
        <v>3</v>
      </c>
      <c r="AB110" s="31">
        <f t="shared" si="20"/>
        <v>8</v>
      </c>
      <c r="AC110" s="31" t="str">
        <f t="shared" si="21"/>
        <v/>
      </c>
      <c r="AD110" s="31" t="str">
        <f t="shared" si="22"/>
        <v/>
      </c>
      <c r="AE110" s="31" t="str">
        <f t="shared" si="23"/>
        <v/>
      </c>
      <c r="AF110" s="31" t="str">
        <f t="shared" si="24"/>
        <v/>
      </c>
      <c r="AG110" s="25">
        <v>11</v>
      </c>
      <c r="AH110" s="25">
        <v>0</v>
      </c>
      <c r="AI110" s="25">
        <v>0</v>
      </c>
      <c r="AJ110" s="23" t="s">
        <v>207</v>
      </c>
      <c r="AK110" s="23" t="s">
        <v>92</v>
      </c>
      <c r="AL110" s="25">
        <v>415</v>
      </c>
      <c r="AO110" s="32" t="str">
        <f t="shared" si="25"/>
        <v>3 doors</v>
      </c>
      <c r="AQ110" s="23" t="s">
        <v>32</v>
      </c>
      <c r="AR110" s="23" t="str">
        <f t="shared" si="27"/>
        <v>CC</v>
      </c>
      <c r="AS110" s="34">
        <f t="shared" si="26"/>
        <v>5120</v>
      </c>
      <c r="AT110" s="23">
        <v>51</v>
      </c>
      <c r="AU110" s="23">
        <v>20</v>
      </c>
      <c r="AV110" s="23">
        <v>0</v>
      </c>
    </row>
    <row r="111" spans="1:48">
      <c r="A111" s="25">
        <v>415</v>
      </c>
      <c r="B111" s="23" t="s">
        <v>89</v>
      </c>
      <c r="D111" s="23">
        <v>3</v>
      </c>
      <c r="E111" s="25" t="s">
        <v>85</v>
      </c>
      <c r="F111" s="25" t="s">
        <v>85</v>
      </c>
      <c r="G111" s="23" t="s">
        <v>27</v>
      </c>
      <c r="H111" s="23" t="s">
        <v>179</v>
      </c>
      <c r="I111" s="25">
        <v>1992</v>
      </c>
      <c r="J111" s="35">
        <v>30</v>
      </c>
      <c r="K111" s="35">
        <v>40</v>
      </c>
      <c r="L111" s="35">
        <v>20</v>
      </c>
      <c r="M111" s="25">
        <v>10</v>
      </c>
      <c r="N111" s="25">
        <v>10</v>
      </c>
      <c r="O111" s="25">
        <v>6</v>
      </c>
      <c r="R111" s="30">
        <f t="shared" si="14"/>
        <v>26</v>
      </c>
      <c r="S111" s="30">
        <f t="shared" si="15"/>
        <v>20.369142857142858</v>
      </c>
      <c r="T111" s="30">
        <f t="shared" si="16"/>
        <v>28.72780952380953</v>
      </c>
      <c r="U111" s="25">
        <v>72</v>
      </c>
      <c r="V111" s="31">
        <f t="shared" si="17"/>
        <v>250.24</v>
      </c>
      <c r="W111" s="25">
        <v>184</v>
      </c>
      <c r="X111" s="25">
        <v>12</v>
      </c>
      <c r="Y111" s="25">
        <v>97</v>
      </c>
      <c r="Z111" s="31">
        <f t="shared" si="18"/>
        <v>200</v>
      </c>
      <c r="AA111" s="31">
        <f t="shared" si="19"/>
        <v>3</v>
      </c>
      <c r="AB111" s="31">
        <f t="shared" si="20"/>
        <v>8</v>
      </c>
      <c r="AC111" s="31" t="str">
        <f t="shared" si="21"/>
        <v/>
      </c>
      <c r="AD111" s="31" t="str">
        <f t="shared" si="22"/>
        <v/>
      </c>
      <c r="AE111" s="31" t="str">
        <f t="shared" si="23"/>
        <v/>
      </c>
      <c r="AF111" s="31" t="str">
        <f t="shared" si="24"/>
        <v/>
      </c>
      <c r="AG111" s="25">
        <v>11</v>
      </c>
      <c r="AH111" s="25">
        <v>0</v>
      </c>
      <c r="AI111" s="25">
        <v>0</v>
      </c>
      <c r="AJ111" s="23" t="s">
        <v>207</v>
      </c>
      <c r="AK111" s="23" t="s">
        <v>92</v>
      </c>
      <c r="AL111" s="25">
        <v>415</v>
      </c>
      <c r="AO111" s="32" t="str">
        <f t="shared" si="25"/>
        <v>3 doors</v>
      </c>
      <c r="AQ111" s="23" t="s">
        <v>32</v>
      </c>
      <c r="AR111" s="23" t="str">
        <f t="shared" si="27"/>
        <v>Hungary</v>
      </c>
      <c r="AS111" s="34">
        <f t="shared" si="26"/>
        <v>5120.01</v>
      </c>
      <c r="AT111" s="23">
        <v>51</v>
      </c>
      <c r="AU111" s="23">
        <v>20</v>
      </c>
      <c r="AV111" s="23">
        <v>1</v>
      </c>
    </row>
    <row r="112" spans="1:48">
      <c r="A112" s="25">
        <v>415</v>
      </c>
      <c r="B112" s="23" t="s">
        <v>125</v>
      </c>
      <c r="D112" s="23">
        <v>2</v>
      </c>
      <c r="E112" s="25" t="s">
        <v>30</v>
      </c>
      <c r="F112" s="25" t="s">
        <v>30</v>
      </c>
      <c r="G112" s="23" t="s">
        <v>27</v>
      </c>
      <c r="H112" s="23" t="s">
        <v>180</v>
      </c>
      <c r="I112" s="25">
        <v>1992</v>
      </c>
      <c r="J112" s="35">
        <v>30</v>
      </c>
      <c r="K112" s="35">
        <v>40</v>
      </c>
      <c r="L112" s="35">
        <v>20</v>
      </c>
      <c r="M112" s="25">
        <v>10</v>
      </c>
      <c r="N112" s="25">
        <v>10</v>
      </c>
      <c r="R112" s="30">
        <f t="shared" si="14"/>
        <v>20</v>
      </c>
      <c r="S112" s="30">
        <f t="shared" si="15"/>
        <v>19.940571428571428</v>
      </c>
      <c r="T112" s="30">
        <f t="shared" si="16"/>
        <v>28.172571428571427</v>
      </c>
      <c r="U112" s="25">
        <v>92</v>
      </c>
      <c r="V112" s="31">
        <f t="shared" si="17"/>
        <v>250.24</v>
      </c>
      <c r="W112" s="25">
        <v>184</v>
      </c>
      <c r="X112" s="25">
        <v>12</v>
      </c>
      <c r="Y112" s="25">
        <v>78</v>
      </c>
      <c r="Z112" s="31">
        <f t="shared" si="18"/>
        <v>200</v>
      </c>
      <c r="AA112" s="31">
        <f t="shared" si="19"/>
        <v>3</v>
      </c>
      <c r="AB112" s="31">
        <f t="shared" si="20"/>
        <v>8</v>
      </c>
      <c r="AC112" s="31" t="str">
        <f t="shared" si="21"/>
        <v/>
      </c>
      <c r="AD112" s="31" t="str">
        <f t="shared" si="22"/>
        <v/>
      </c>
      <c r="AE112" s="31" t="str">
        <f t="shared" si="23"/>
        <v/>
      </c>
      <c r="AF112" s="31" t="str">
        <f t="shared" si="24"/>
        <v/>
      </c>
      <c r="AG112" s="25">
        <v>11</v>
      </c>
      <c r="AH112" s="25">
        <v>0</v>
      </c>
      <c r="AI112" s="25">
        <v>0</v>
      </c>
      <c r="AJ112" s="23" t="s">
        <v>207</v>
      </c>
      <c r="AK112" s="23" t="s">
        <v>92</v>
      </c>
      <c r="AL112" s="25">
        <v>415</v>
      </c>
      <c r="AO112" s="32" t="str">
        <f t="shared" si="25"/>
        <v>2 doors</v>
      </c>
      <c r="AQ112" s="23" t="s">
        <v>270</v>
      </c>
      <c r="AR112" s="23" t="str">
        <f t="shared" si="27"/>
        <v>CC</v>
      </c>
      <c r="AS112" s="34">
        <f t="shared" si="26"/>
        <v>5140</v>
      </c>
      <c r="AT112" s="23">
        <v>51</v>
      </c>
      <c r="AU112" s="23">
        <v>40</v>
      </c>
      <c r="AV112" s="23">
        <v>0</v>
      </c>
    </row>
    <row r="113" spans="1:48">
      <c r="A113" s="25">
        <v>415</v>
      </c>
      <c r="B113" s="23" t="s">
        <v>125</v>
      </c>
      <c r="D113" s="23">
        <v>2</v>
      </c>
      <c r="E113" s="25" t="s">
        <v>46</v>
      </c>
      <c r="F113" s="25" t="s">
        <v>46</v>
      </c>
      <c r="G113" s="23" t="s">
        <v>27</v>
      </c>
      <c r="H113" s="23" t="s">
        <v>180</v>
      </c>
      <c r="I113" s="25">
        <v>1992</v>
      </c>
      <c r="J113" s="35">
        <v>30</v>
      </c>
      <c r="K113" s="35">
        <v>40</v>
      </c>
      <c r="L113" s="35">
        <v>20</v>
      </c>
      <c r="M113" s="25">
        <v>10</v>
      </c>
      <c r="N113" s="25">
        <v>10</v>
      </c>
      <c r="R113" s="30">
        <f t="shared" si="14"/>
        <v>20</v>
      </c>
      <c r="S113" s="30">
        <f t="shared" si="15"/>
        <v>19.940571428571428</v>
      </c>
      <c r="T113" s="30">
        <f t="shared" si="16"/>
        <v>28.172571428571427</v>
      </c>
      <c r="U113" s="25">
        <v>92</v>
      </c>
      <c r="V113" s="31">
        <f t="shared" si="17"/>
        <v>250.24</v>
      </c>
      <c r="W113" s="25">
        <v>184</v>
      </c>
      <c r="X113" s="25">
        <v>12</v>
      </c>
      <c r="Y113" s="25">
        <v>78</v>
      </c>
      <c r="Z113" s="31">
        <f t="shared" si="18"/>
        <v>200</v>
      </c>
      <c r="AA113" s="31">
        <f t="shared" si="19"/>
        <v>3</v>
      </c>
      <c r="AB113" s="31">
        <f t="shared" si="20"/>
        <v>8</v>
      </c>
      <c r="AC113" s="31" t="str">
        <f t="shared" si="21"/>
        <v/>
      </c>
      <c r="AD113" s="31" t="str">
        <f t="shared" si="22"/>
        <v/>
      </c>
      <c r="AE113" s="31" t="str">
        <f t="shared" si="23"/>
        <v/>
      </c>
      <c r="AF113" s="31" t="str">
        <f t="shared" si="24"/>
        <v/>
      </c>
      <c r="AG113" s="25">
        <v>11</v>
      </c>
      <c r="AH113" s="25">
        <v>0</v>
      </c>
      <c r="AI113" s="25">
        <v>0</v>
      </c>
      <c r="AJ113" s="23" t="s">
        <v>207</v>
      </c>
      <c r="AK113" s="23" t="s">
        <v>92</v>
      </c>
      <c r="AL113" s="25">
        <v>415</v>
      </c>
      <c r="AO113" s="32" t="str">
        <f t="shared" si="25"/>
        <v>2 doors</v>
      </c>
      <c r="AQ113" s="23" t="s">
        <v>270</v>
      </c>
      <c r="AR113" s="23" t="str">
        <f t="shared" si="27"/>
        <v>Hungary</v>
      </c>
      <c r="AS113" s="34">
        <f t="shared" si="26"/>
        <v>5140.01</v>
      </c>
      <c r="AT113" s="23">
        <v>51</v>
      </c>
      <c r="AU113" s="23">
        <v>40</v>
      </c>
      <c r="AV113" s="23">
        <v>1</v>
      </c>
    </row>
    <row r="114" spans="1:48">
      <c r="A114" s="25">
        <v>415</v>
      </c>
      <c r="B114" s="23" t="s">
        <v>89</v>
      </c>
      <c r="C114" s="23" t="s">
        <v>129</v>
      </c>
      <c r="D114" s="23">
        <v>3</v>
      </c>
      <c r="E114" s="25" t="s">
        <v>30</v>
      </c>
      <c r="F114" s="25" t="s">
        <v>30</v>
      </c>
      <c r="G114" s="23" t="s">
        <v>27</v>
      </c>
      <c r="H114" s="23" t="s">
        <v>181</v>
      </c>
      <c r="I114" s="25">
        <v>1999</v>
      </c>
      <c r="J114" s="35">
        <v>30</v>
      </c>
      <c r="K114" s="35">
        <v>40</v>
      </c>
      <c r="L114" s="35">
        <v>20</v>
      </c>
      <c r="M114" s="25">
        <v>10</v>
      </c>
      <c r="N114" s="25">
        <v>10</v>
      </c>
      <c r="O114" s="25">
        <v>6</v>
      </c>
      <c r="R114" s="30">
        <f t="shared" si="14"/>
        <v>26</v>
      </c>
      <c r="S114" s="30">
        <f t="shared" si="15"/>
        <v>21.797142857142859</v>
      </c>
      <c r="T114" s="30">
        <f t="shared" si="16"/>
        <v>31.610476190476195</v>
      </c>
      <c r="U114" s="25">
        <v>81</v>
      </c>
      <c r="V114" s="31">
        <f t="shared" si="17"/>
        <v>278.8</v>
      </c>
      <c r="W114" s="25">
        <v>205</v>
      </c>
      <c r="X114" s="25">
        <v>12</v>
      </c>
      <c r="Y114" s="25">
        <v>101</v>
      </c>
      <c r="Z114" s="31">
        <f t="shared" si="18"/>
        <v>200</v>
      </c>
      <c r="AA114" s="31">
        <f t="shared" si="19"/>
        <v>3</v>
      </c>
      <c r="AB114" s="31">
        <f t="shared" si="20"/>
        <v>8</v>
      </c>
      <c r="AC114" s="31" t="str">
        <f t="shared" si="21"/>
        <v/>
      </c>
      <c r="AD114" s="31" t="str">
        <f t="shared" si="22"/>
        <v/>
      </c>
      <c r="AE114" s="31" t="str">
        <f t="shared" si="23"/>
        <v/>
      </c>
      <c r="AF114" s="31" t="str">
        <f t="shared" si="24"/>
        <v/>
      </c>
      <c r="AG114" s="25">
        <v>11</v>
      </c>
      <c r="AH114" s="25">
        <v>0</v>
      </c>
      <c r="AI114" s="25">
        <v>0</v>
      </c>
      <c r="AJ114" s="23" t="s">
        <v>207</v>
      </c>
      <c r="AK114" s="23" t="s">
        <v>92</v>
      </c>
      <c r="AL114" s="25">
        <v>415</v>
      </c>
      <c r="AM114" s="28" t="s">
        <v>209</v>
      </c>
      <c r="AO114" s="32" t="str">
        <f t="shared" si="25"/>
        <v>3 doors</v>
      </c>
      <c r="AQ114" s="23" t="s">
        <v>32</v>
      </c>
      <c r="AR114" s="23" t="str">
        <f t="shared" si="27"/>
        <v>CC</v>
      </c>
      <c r="AS114" s="34">
        <f t="shared" si="26"/>
        <v>5160</v>
      </c>
      <c r="AT114" s="23">
        <v>51</v>
      </c>
      <c r="AU114" s="23">
        <v>60</v>
      </c>
      <c r="AV114" s="23">
        <v>0</v>
      </c>
    </row>
    <row r="115" spans="1:48">
      <c r="A115" s="25">
        <v>415</v>
      </c>
      <c r="B115" s="23" t="s">
        <v>89</v>
      </c>
      <c r="C115" s="23" t="s">
        <v>129</v>
      </c>
      <c r="D115" s="23">
        <v>3</v>
      </c>
      <c r="E115" s="25" t="s">
        <v>212</v>
      </c>
      <c r="F115" s="25" t="s">
        <v>212</v>
      </c>
      <c r="G115" s="23" t="s">
        <v>27</v>
      </c>
      <c r="H115" s="23" t="s">
        <v>181</v>
      </c>
      <c r="I115" s="25">
        <v>1999</v>
      </c>
      <c r="J115" s="35">
        <v>30</v>
      </c>
      <c r="K115" s="35">
        <v>40</v>
      </c>
      <c r="L115" s="35">
        <v>20</v>
      </c>
      <c r="M115" s="25">
        <v>10</v>
      </c>
      <c r="N115" s="25">
        <v>10</v>
      </c>
      <c r="O115" s="25">
        <v>6</v>
      </c>
      <c r="R115" s="30">
        <f t="shared" si="14"/>
        <v>26</v>
      </c>
      <c r="S115" s="30">
        <f t="shared" si="15"/>
        <v>21.797142857142859</v>
      </c>
      <c r="T115" s="30">
        <f t="shared" si="16"/>
        <v>31.610476190476195</v>
      </c>
      <c r="U115" s="25">
        <v>81</v>
      </c>
      <c r="V115" s="31">
        <f t="shared" si="17"/>
        <v>278.8</v>
      </c>
      <c r="W115" s="25">
        <v>205</v>
      </c>
      <c r="X115" s="25">
        <v>12</v>
      </c>
      <c r="Y115" s="25">
        <v>101</v>
      </c>
      <c r="Z115" s="31">
        <f t="shared" si="18"/>
        <v>200</v>
      </c>
      <c r="AA115" s="31">
        <f t="shared" si="19"/>
        <v>3</v>
      </c>
      <c r="AB115" s="31">
        <f t="shared" si="20"/>
        <v>8</v>
      </c>
      <c r="AC115" s="31" t="str">
        <f t="shared" si="21"/>
        <v/>
      </c>
      <c r="AD115" s="31" t="str">
        <f t="shared" si="22"/>
        <v/>
      </c>
      <c r="AE115" s="31" t="str">
        <f t="shared" si="23"/>
        <v/>
      </c>
      <c r="AF115" s="31" t="str">
        <f t="shared" si="24"/>
        <v/>
      </c>
      <c r="AG115" s="25">
        <v>11</v>
      </c>
      <c r="AH115" s="25">
        <v>0</v>
      </c>
      <c r="AI115" s="25">
        <v>0</v>
      </c>
      <c r="AJ115" s="23" t="s">
        <v>207</v>
      </c>
      <c r="AK115" s="23" t="s">
        <v>92</v>
      </c>
      <c r="AL115" s="25">
        <v>415</v>
      </c>
      <c r="AM115" s="28" t="s">
        <v>209</v>
      </c>
      <c r="AO115" s="32" t="str">
        <f t="shared" si="25"/>
        <v>3 doors</v>
      </c>
      <c r="AQ115" s="23" t="s">
        <v>32</v>
      </c>
      <c r="AR115" s="23" t="str">
        <f t="shared" si="27"/>
        <v>Hungary</v>
      </c>
      <c r="AS115" s="34">
        <f t="shared" si="26"/>
        <v>5160.01</v>
      </c>
      <c r="AT115" s="23">
        <v>51</v>
      </c>
      <c r="AU115" s="23">
        <v>60</v>
      </c>
      <c r="AV115" s="23">
        <v>1</v>
      </c>
    </row>
    <row r="116" spans="1:48">
      <c r="A116" s="25">
        <v>435</v>
      </c>
      <c r="B116" s="23" t="s">
        <v>89</v>
      </c>
      <c r="C116" s="23" t="s">
        <v>128</v>
      </c>
      <c r="D116" s="23">
        <v>4</v>
      </c>
      <c r="E116" s="25" t="s">
        <v>30</v>
      </c>
      <c r="F116" s="25" t="s">
        <v>30</v>
      </c>
      <c r="G116" s="23" t="s">
        <v>27</v>
      </c>
      <c r="H116" s="23" t="s">
        <v>185</v>
      </c>
      <c r="I116" s="25">
        <v>1985</v>
      </c>
      <c r="J116" s="35">
        <v>30</v>
      </c>
      <c r="K116" s="35">
        <v>40</v>
      </c>
      <c r="L116" s="35">
        <v>20</v>
      </c>
      <c r="M116" s="25">
        <v>10</v>
      </c>
      <c r="N116" s="25">
        <v>10</v>
      </c>
      <c r="O116" s="25">
        <v>10</v>
      </c>
      <c r="P116" s="25">
        <v>8</v>
      </c>
      <c r="R116" s="30">
        <f t="shared" si="14"/>
        <v>38</v>
      </c>
      <c r="S116" s="30">
        <f t="shared" si="15"/>
        <v>22.726285714285716</v>
      </c>
      <c r="T116" s="30">
        <f t="shared" si="16"/>
        <v>30.418285714285716</v>
      </c>
      <c r="U116" s="25">
        <v>71</v>
      </c>
      <c r="V116" s="31">
        <f t="shared" si="17"/>
        <v>250.24</v>
      </c>
      <c r="W116" s="25">
        <v>184</v>
      </c>
      <c r="X116" s="25">
        <v>15</v>
      </c>
      <c r="Y116" s="25">
        <v>177</v>
      </c>
      <c r="Z116" s="31">
        <f t="shared" si="18"/>
        <v>200</v>
      </c>
      <c r="AA116" s="31">
        <f t="shared" si="19"/>
        <v>2</v>
      </c>
      <c r="AB116" s="31">
        <f t="shared" si="20"/>
        <v>8</v>
      </c>
      <c r="AC116" s="31">
        <f t="shared" si="21"/>
        <v>7</v>
      </c>
      <c r="AD116" s="31" t="str">
        <f t="shared" si="22"/>
        <v/>
      </c>
      <c r="AE116" s="31" t="str">
        <f t="shared" si="23"/>
        <v/>
      </c>
      <c r="AF116" s="31" t="str">
        <f t="shared" si="24"/>
        <v/>
      </c>
      <c r="AG116" s="25">
        <v>10</v>
      </c>
      <c r="AH116" s="25">
        <v>7</v>
      </c>
      <c r="AI116" s="25">
        <v>0</v>
      </c>
      <c r="AJ116" s="23" t="s">
        <v>207</v>
      </c>
      <c r="AK116" s="23" t="s">
        <v>92</v>
      </c>
      <c r="AL116" s="25">
        <v>435</v>
      </c>
      <c r="AM116" s="28" t="s">
        <v>210</v>
      </c>
      <c r="AO116" s="32" t="str">
        <f t="shared" si="25"/>
        <v>4 doors</v>
      </c>
      <c r="AQ116" s="23" t="s">
        <v>32</v>
      </c>
      <c r="AR116" s="23" t="str">
        <f t="shared" si="27"/>
        <v>CC</v>
      </c>
      <c r="AS116" s="34">
        <f t="shared" si="26"/>
        <v>5200</v>
      </c>
      <c r="AT116" s="23">
        <v>52</v>
      </c>
      <c r="AU116" s="23">
        <v>0</v>
      </c>
      <c r="AV116" s="23">
        <v>0</v>
      </c>
    </row>
    <row r="117" spans="1:48">
      <c r="A117" s="25">
        <v>435</v>
      </c>
      <c r="B117" s="23" t="s">
        <v>89</v>
      </c>
      <c r="D117" s="23">
        <v>4</v>
      </c>
      <c r="E117" s="25" t="s">
        <v>30</v>
      </c>
      <c r="F117" s="25" t="s">
        <v>30</v>
      </c>
      <c r="G117" s="23" t="s">
        <v>27</v>
      </c>
      <c r="H117" s="23" t="s">
        <v>186</v>
      </c>
      <c r="I117" s="25">
        <v>1994</v>
      </c>
      <c r="J117" s="35">
        <v>30</v>
      </c>
      <c r="K117" s="35">
        <v>40</v>
      </c>
      <c r="L117" s="35">
        <v>20</v>
      </c>
      <c r="M117" s="25">
        <v>10</v>
      </c>
      <c r="N117" s="25">
        <v>10</v>
      </c>
      <c r="O117" s="25">
        <v>10</v>
      </c>
      <c r="P117" s="25">
        <v>6</v>
      </c>
      <c r="R117" s="30">
        <f t="shared" si="14"/>
        <v>36</v>
      </c>
      <c r="S117" s="30">
        <f t="shared" si="15"/>
        <v>22.991428571428575</v>
      </c>
      <c r="T117" s="30">
        <f t="shared" si="16"/>
        <v>31.044761904761909</v>
      </c>
      <c r="U117" s="25">
        <v>72</v>
      </c>
      <c r="V117" s="31">
        <f t="shared" si="17"/>
        <v>258.40000000000003</v>
      </c>
      <c r="W117" s="25">
        <v>190</v>
      </c>
      <c r="X117" s="25">
        <v>15</v>
      </c>
      <c r="Y117" s="25">
        <v>170</v>
      </c>
      <c r="Z117" s="31">
        <f t="shared" si="18"/>
        <v>200</v>
      </c>
      <c r="AA117" s="31">
        <f t="shared" si="19"/>
        <v>2</v>
      </c>
      <c r="AB117" s="31">
        <f t="shared" si="20"/>
        <v>8</v>
      </c>
      <c r="AC117" s="31">
        <f t="shared" si="21"/>
        <v>7</v>
      </c>
      <c r="AD117" s="31" t="str">
        <f t="shared" si="22"/>
        <v/>
      </c>
      <c r="AE117" s="31" t="str">
        <f t="shared" si="23"/>
        <v/>
      </c>
      <c r="AF117" s="31" t="str">
        <f t="shared" si="24"/>
        <v/>
      </c>
      <c r="AG117" s="25">
        <v>10</v>
      </c>
      <c r="AH117" s="25">
        <v>7</v>
      </c>
      <c r="AI117" s="25">
        <v>0</v>
      </c>
      <c r="AJ117" s="23" t="s">
        <v>207</v>
      </c>
      <c r="AK117" s="23" t="s">
        <v>92</v>
      </c>
      <c r="AL117" s="25">
        <v>435</v>
      </c>
      <c r="AO117" s="32" t="str">
        <f t="shared" si="25"/>
        <v>4 doors</v>
      </c>
      <c r="AQ117" s="23" t="s">
        <v>32</v>
      </c>
      <c r="AR117" s="23" t="str">
        <f t="shared" si="27"/>
        <v>CC</v>
      </c>
      <c r="AS117" s="34">
        <f t="shared" si="26"/>
        <v>5220</v>
      </c>
      <c r="AT117" s="23">
        <v>52</v>
      </c>
      <c r="AU117" s="23">
        <v>20</v>
      </c>
      <c r="AV117" s="23">
        <v>0</v>
      </c>
    </row>
    <row r="118" spans="1:48">
      <c r="A118" s="25">
        <v>435</v>
      </c>
      <c r="B118" s="23" t="s">
        <v>89</v>
      </c>
      <c r="D118" s="23">
        <v>4</v>
      </c>
      <c r="E118" s="25" t="s">
        <v>85</v>
      </c>
      <c r="F118" s="25" t="s">
        <v>85</v>
      </c>
      <c r="G118" s="23" t="s">
        <v>27</v>
      </c>
      <c r="H118" s="23" t="s">
        <v>186</v>
      </c>
      <c r="I118" s="25">
        <v>1994</v>
      </c>
      <c r="J118" s="35">
        <v>30</v>
      </c>
      <c r="K118" s="35">
        <v>40</v>
      </c>
      <c r="L118" s="35">
        <v>20</v>
      </c>
      <c r="M118" s="25">
        <v>10</v>
      </c>
      <c r="N118" s="25">
        <v>10</v>
      </c>
      <c r="O118" s="25">
        <v>10</v>
      </c>
      <c r="P118" s="25">
        <v>6</v>
      </c>
      <c r="R118" s="30">
        <f t="shared" si="14"/>
        <v>36</v>
      </c>
      <c r="S118" s="30">
        <f t="shared" si="15"/>
        <v>22.991428571428575</v>
      </c>
      <c r="T118" s="30">
        <f t="shared" si="16"/>
        <v>31.044761904761909</v>
      </c>
      <c r="U118" s="25">
        <v>72</v>
      </c>
      <c r="V118" s="31">
        <f t="shared" si="17"/>
        <v>258.40000000000003</v>
      </c>
      <c r="W118" s="25">
        <v>190</v>
      </c>
      <c r="X118" s="25">
        <v>15</v>
      </c>
      <c r="Y118" s="25">
        <v>170</v>
      </c>
      <c r="Z118" s="31">
        <f t="shared" si="18"/>
        <v>200</v>
      </c>
      <c r="AA118" s="31">
        <f t="shared" si="19"/>
        <v>2</v>
      </c>
      <c r="AB118" s="31">
        <f t="shared" si="20"/>
        <v>8</v>
      </c>
      <c r="AC118" s="31">
        <f t="shared" si="21"/>
        <v>7</v>
      </c>
      <c r="AD118" s="31" t="str">
        <f t="shared" si="22"/>
        <v/>
      </c>
      <c r="AE118" s="31" t="str">
        <f t="shared" si="23"/>
        <v/>
      </c>
      <c r="AF118" s="31" t="str">
        <f t="shared" si="24"/>
        <v/>
      </c>
      <c r="AG118" s="25">
        <v>10</v>
      </c>
      <c r="AH118" s="25">
        <v>7</v>
      </c>
      <c r="AI118" s="25">
        <v>0</v>
      </c>
      <c r="AJ118" s="23" t="s">
        <v>207</v>
      </c>
      <c r="AK118" s="23" t="s">
        <v>92</v>
      </c>
      <c r="AL118" s="25">
        <v>435</v>
      </c>
      <c r="AO118" s="32" t="str">
        <f t="shared" si="25"/>
        <v>4 doors</v>
      </c>
      <c r="AQ118" s="23" t="s">
        <v>32</v>
      </c>
      <c r="AR118" s="23" t="str">
        <f t="shared" si="27"/>
        <v>Hungary</v>
      </c>
      <c r="AS118" s="34">
        <f t="shared" si="26"/>
        <v>5220.01</v>
      </c>
      <c r="AT118" s="23">
        <v>52</v>
      </c>
      <c r="AU118" s="23">
        <v>20</v>
      </c>
      <c r="AV118" s="23">
        <v>1</v>
      </c>
    </row>
    <row r="119" spans="1:48">
      <c r="A119" s="25">
        <v>435</v>
      </c>
      <c r="B119" s="23" t="s">
        <v>125</v>
      </c>
      <c r="D119" s="23">
        <v>3</v>
      </c>
      <c r="E119" s="25" t="s">
        <v>30</v>
      </c>
      <c r="F119" s="25" t="s">
        <v>30</v>
      </c>
      <c r="G119" s="23" t="s">
        <v>27</v>
      </c>
      <c r="H119" s="23" t="s">
        <v>187</v>
      </c>
      <c r="I119" s="25">
        <v>1995</v>
      </c>
      <c r="J119" s="35">
        <v>30</v>
      </c>
      <c r="K119" s="35">
        <v>40</v>
      </c>
      <c r="L119" s="35">
        <v>20</v>
      </c>
      <c r="M119" s="25">
        <v>10</v>
      </c>
      <c r="N119" s="25">
        <v>10</v>
      </c>
      <c r="O119" s="25">
        <v>10</v>
      </c>
      <c r="R119" s="30">
        <f t="shared" si="14"/>
        <v>30</v>
      </c>
      <c r="S119" s="30">
        <f t="shared" si="15"/>
        <v>22.562857142857144</v>
      </c>
      <c r="T119" s="30">
        <f t="shared" si="16"/>
        <v>30.382857142857144</v>
      </c>
      <c r="U119" s="25">
        <v>90</v>
      </c>
      <c r="V119" s="31">
        <f t="shared" si="17"/>
        <v>258.40000000000003</v>
      </c>
      <c r="W119" s="25">
        <v>190</v>
      </c>
      <c r="X119" s="25">
        <v>15</v>
      </c>
      <c r="Y119" s="25">
        <v>135</v>
      </c>
      <c r="Z119" s="31">
        <f t="shared" si="18"/>
        <v>200</v>
      </c>
      <c r="AA119" s="31">
        <f t="shared" si="19"/>
        <v>2</v>
      </c>
      <c r="AB119" s="31">
        <f t="shared" si="20"/>
        <v>8</v>
      </c>
      <c r="AC119" s="31">
        <f t="shared" si="21"/>
        <v>7</v>
      </c>
      <c r="AD119" s="31" t="str">
        <f t="shared" si="22"/>
        <v/>
      </c>
      <c r="AE119" s="31" t="str">
        <f t="shared" si="23"/>
        <v/>
      </c>
      <c r="AF119" s="31" t="str">
        <f t="shared" si="24"/>
        <v/>
      </c>
      <c r="AG119" s="25">
        <v>10</v>
      </c>
      <c r="AH119" s="25">
        <v>7</v>
      </c>
      <c r="AI119" s="25">
        <v>0</v>
      </c>
      <c r="AJ119" s="23" t="s">
        <v>207</v>
      </c>
      <c r="AK119" s="23" t="s">
        <v>92</v>
      </c>
      <c r="AL119" s="25">
        <v>435</v>
      </c>
      <c r="AO119" s="32" t="str">
        <f t="shared" si="25"/>
        <v>3 doors</v>
      </c>
      <c r="AQ119" s="23" t="s">
        <v>270</v>
      </c>
      <c r="AR119" s="23" t="str">
        <f t="shared" si="27"/>
        <v>CC</v>
      </c>
      <c r="AS119" s="34">
        <f t="shared" si="26"/>
        <v>5240</v>
      </c>
      <c r="AT119" s="23">
        <v>52</v>
      </c>
      <c r="AU119" s="23">
        <v>40</v>
      </c>
      <c r="AV119" s="23">
        <v>0</v>
      </c>
    </row>
    <row r="120" spans="1:48">
      <c r="A120" s="25">
        <v>435</v>
      </c>
      <c r="B120" s="23" t="s">
        <v>125</v>
      </c>
      <c r="D120" s="23">
        <v>3</v>
      </c>
      <c r="E120" s="25" t="s">
        <v>46</v>
      </c>
      <c r="F120" s="25" t="s">
        <v>46</v>
      </c>
      <c r="G120" s="23" t="s">
        <v>27</v>
      </c>
      <c r="H120" s="23" t="s">
        <v>187</v>
      </c>
      <c r="I120" s="25">
        <v>1992</v>
      </c>
      <c r="J120" s="35">
        <v>30</v>
      </c>
      <c r="K120" s="35">
        <v>40</v>
      </c>
      <c r="L120" s="35">
        <v>20</v>
      </c>
      <c r="M120" s="25">
        <v>10</v>
      </c>
      <c r="N120" s="25">
        <v>10</v>
      </c>
      <c r="O120" s="25">
        <v>10</v>
      </c>
      <c r="R120" s="30">
        <f t="shared" si="14"/>
        <v>30</v>
      </c>
      <c r="S120" s="30">
        <f t="shared" si="15"/>
        <v>22.562857142857144</v>
      </c>
      <c r="T120" s="30">
        <f t="shared" si="16"/>
        <v>30.382857142857144</v>
      </c>
      <c r="U120" s="25">
        <v>90</v>
      </c>
      <c r="V120" s="31">
        <f t="shared" si="17"/>
        <v>258.40000000000003</v>
      </c>
      <c r="W120" s="25">
        <v>190</v>
      </c>
      <c r="X120" s="25">
        <v>15</v>
      </c>
      <c r="Y120" s="25">
        <v>135</v>
      </c>
      <c r="Z120" s="31">
        <f t="shared" si="18"/>
        <v>200</v>
      </c>
      <c r="AA120" s="31">
        <f t="shared" si="19"/>
        <v>2</v>
      </c>
      <c r="AB120" s="31">
        <f t="shared" si="20"/>
        <v>8</v>
      </c>
      <c r="AC120" s="31">
        <f t="shared" si="21"/>
        <v>7</v>
      </c>
      <c r="AD120" s="31" t="str">
        <f t="shared" si="22"/>
        <v/>
      </c>
      <c r="AE120" s="31" t="str">
        <f t="shared" si="23"/>
        <v/>
      </c>
      <c r="AF120" s="31" t="str">
        <f t="shared" si="24"/>
        <v/>
      </c>
      <c r="AG120" s="25">
        <v>10</v>
      </c>
      <c r="AH120" s="25">
        <v>7</v>
      </c>
      <c r="AI120" s="25">
        <v>0</v>
      </c>
      <c r="AJ120" s="23" t="s">
        <v>207</v>
      </c>
      <c r="AK120" s="23" t="s">
        <v>92</v>
      </c>
      <c r="AL120" s="25">
        <v>435</v>
      </c>
      <c r="AO120" s="32" t="str">
        <f t="shared" si="25"/>
        <v>3 doors</v>
      </c>
      <c r="AQ120" s="23" t="s">
        <v>270</v>
      </c>
      <c r="AR120" s="23" t="str">
        <f t="shared" si="27"/>
        <v>Hungary</v>
      </c>
      <c r="AS120" s="34">
        <f t="shared" si="26"/>
        <v>5240.01</v>
      </c>
      <c r="AT120" s="23">
        <v>52</v>
      </c>
      <c r="AU120" s="23">
        <v>40</v>
      </c>
      <c r="AV120" s="23">
        <v>1</v>
      </c>
    </row>
    <row r="121" spans="1:48">
      <c r="A121" s="25">
        <v>435</v>
      </c>
      <c r="B121" s="23" t="s">
        <v>89</v>
      </c>
      <c r="C121" s="23" t="s">
        <v>129</v>
      </c>
      <c r="D121" s="23">
        <v>4</v>
      </c>
      <c r="E121" s="25" t="s">
        <v>30</v>
      </c>
      <c r="F121" s="25" t="s">
        <v>30</v>
      </c>
      <c r="G121" s="23" t="s">
        <v>27</v>
      </c>
      <c r="H121" s="23" t="s">
        <v>188</v>
      </c>
      <c r="I121" s="25">
        <v>1999</v>
      </c>
      <c r="J121" s="35">
        <v>30</v>
      </c>
      <c r="K121" s="35">
        <v>40</v>
      </c>
      <c r="L121" s="35">
        <v>20</v>
      </c>
      <c r="M121" s="25">
        <v>10</v>
      </c>
      <c r="N121" s="25">
        <v>10</v>
      </c>
      <c r="O121" s="25">
        <v>10</v>
      </c>
      <c r="P121" s="25">
        <v>6</v>
      </c>
      <c r="R121" s="30">
        <f t="shared" si="14"/>
        <v>36</v>
      </c>
      <c r="S121" s="30">
        <f t="shared" si="15"/>
        <v>24.011428571428574</v>
      </c>
      <c r="T121" s="30">
        <f t="shared" si="16"/>
        <v>33.084761904761905</v>
      </c>
      <c r="U121" s="25">
        <v>81</v>
      </c>
      <c r="V121" s="31">
        <f t="shared" si="17"/>
        <v>278.8</v>
      </c>
      <c r="W121" s="25">
        <v>205</v>
      </c>
      <c r="X121" s="25">
        <v>15</v>
      </c>
      <c r="Y121" s="25">
        <v>170</v>
      </c>
      <c r="Z121" s="31">
        <f t="shared" si="18"/>
        <v>200</v>
      </c>
      <c r="AA121" s="31">
        <f t="shared" si="19"/>
        <v>2</v>
      </c>
      <c r="AB121" s="31">
        <f t="shared" si="20"/>
        <v>8</v>
      </c>
      <c r="AC121" s="31">
        <f t="shared" si="21"/>
        <v>7</v>
      </c>
      <c r="AD121" s="31" t="str">
        <f t="shared" si="22"/>
        <v/>
      </c>
      <c r="AE121" s="31" t="str">
        <f t="shared" si="23"/>
        <v/>
      </c>
      <c r="AF121" s="31" t="str">
        <f t="shared" si="24"/>
        <v/>
      </c>
      <c r="AG121" s="25">
        <v>10</v>
      </c>
      <c r="AH121" s="25">
        <v>7</v>
      </c>
      <c r="AI121" s="25">
        <v>0</v>
      </c>
      <c r="AJ121" s="23" t="s">
        <v>207</v>
      </c>
      <c r="AK121" s="23" t="s">
        <v>92</v>
      </c>
      <c r="AL121" s="25">
        <v>435</v>
      </c>
      <c r="AM121" s="28" t="s">
        <v>209</v>
      </c>
      <c r="AO121" s="32" t="str">
        <f t="shared" si="25"/>
        <v>4 doors</v>
      </c>
      <c r="AQ121" s="23" t="s">
        <v>32</v>
      </c>
      <c r="AR121" s="23" t="str">
        <f t="shared" si="27"/>
        <v>CC</v>
      </c>
      <c r="AS121" s="34">
        <f t="shared" si="26"/>
        <v>5260</v>
      </c>
      <c r="AT121" s="23">
        <v>52</v>
      </c>
      <c r="AU121" s="23">
        <v>60</v>
      </c>
      <c r="AV121" s="23">
        <v>0</v>
      </c>
    </row>
    <row r="122" spans="1:48">
      <c r="A122" s="25">
        <v>435</v>
      </c>
      <c r="B122" s="23" t="s">
        <v>89</v>
      </c>
      <c r="C122" s="23" t="s">
        <v>129</v>
      </c>
      <c r="D122" s="23">
        <v>4</v>
      </c>
      <c r="E122" s="25" t="s">
        <v>212</v>
      </c>
      <c r="F122" s="25" t="s">
        <v>212</v>
      </c>
      <c r="G122" s="23" t="s">
        <v>27</v>
      </c>
      <c r="H122" s="23" t="s">
        <v>188</v>
      </c>
      <c r="I122" s="25">
        <v>1999</v>
      </c>
      <c r="J122" s="35">
        <v>30</v>
      </c>
      <c r="K122" s="35">
        <v>40</v>
      </c>
      <c r="L122" s="35">
        <v>20</v>
      </c>
      <c r="M122" s="25">
        <v>10</v>
      </c>
      <c r="N122" s="25">
        <v>10</v>
      </c>
      <c r="O122" s="25">
        <v>10</v>
      </c>
      <c r="P122" s="25">
        <v>6</v>
      </c>
      <c r="R122" s="30">
        <f t="shared" si="14"/>
        <v>36</v>
      </c>
      <c r="S122" s="30">
        <f t="shared" si="15"/>
        <v>24.011428571428574</v>
      </c>
      <c r="T122" s="30">
        <f t="shared" si="16"/>
        <v>33.084761904761905</v>
      </c>
      <c r="U122" s="25">
        <v>81</v>
      </c>
      <c r="V122" s="31">
        <f t="shared" si="17"/>
        <v>278.8</v>
      </c>
      <c r="W122" s="25">
        <v>205</v>
      </c>
      <c r="X122" s="25">
        <v>15</v>
      </c>
      <c r="Y122" s="25">
        <v>170</v>
      </c>
      <c r="Z122" s="31">
        <f t="shared" si="18"/>
        <v>200</v>
      </c>
      <c r="AA122" s="31">
        <f t="shared" si="19"/>
        <v>2</v>
      </c>
      <c r="AB122" s="31">
        <f t="shared" si="20"/>
        <v>8</v>
      </c>
      <c r="AC122" s="31">
        <f t="shared" si="21"/>
        <v>7</v>
      </c>
      <c r="AD122" s="31" t="str">
        <f t="shared" si="22"/>
        <v/>
      </c>
      <c r="AE122" s="31" t="str">
        <f t="shared" si="23"/>
        <v/>
      </c>
      <c r="AF122" s="31" t="str">
        <f t="shared" si="24"/>
        <v/>
      </c>
      <c r="AG122" s="25">
        <v>10</v>
      </c>
      <c r="AH122" s="25">
        <v>7</v>
      </c>
      <c r="AI122" s="25">
        <v>0</v>
      </c>
      <c r="AJ122" s="23" t="s">
        <v>207</v>
      </c>
      <c r="AK122" s="23" t="s">
        <v>92</v>
      </c>
      <c r="AL122" s="25">
        <v>435</v>
      </c>
      <c r="AM122" s="28" t="s">
        <v>209</v>
      </c>
      <c r="AO122" s="32" t="str">
        <f t="shared" si="25"/>
        <v>4 doors</v>
      </c>
      <c r="AQ122" s="23" t="s">
        <v>32</v>
      </c>
      <c r="AR122" s="23" t="str">
        <f t="shared" si="27"/>
        <v>Hungary</v>
      </c>
      <c r="AS122" s="34">
        <f t="shared" si="26"/>
        <v>5260.01</v>
      </c>
      <c r="AT122" s="23">
        <v>52</v>
      </c>
      <c r="AU122" s="23">
        <v>60</v>
      </c>
      <c r="AV122" s="23">
        <v>1</v>
      </c>
    </row>
    <row r="123" spans="1:48">
      <c r="A123" s="25">
        <v>411</v>
      </c>
      <c r="D123" s="23">
        <v>3</v>
      </c>
      <c r="E123" s="25" t="s">
        <v>30</v>
      </c>
      <c r="F123" s="25" t="s">
        <v>30</v>
      </c>
      <c r="G123" s="23" t="s">
        <v>27</v>
      </c>
      <c r="H123" s="23" t="s">
        <v>175</v>
      </c>
      <c r="I123" s="25">
        <v>1993</v>
      </c>
      <c r="J123" s="35">
        <v>30</v>
      </c>
      <c r="K123" s="35">
        <v>40</v>
      </c>
      <c r="L123" s="35">
        <v>20</v>
      </c>
      <c r="M123" s="25">
        <v>14</v>
      </c>
      <c r="N123" s="25">
        <v>14</v>
      </c>
      <c r="O123" s="25">
        <v>7</v>
      </c>
      <c r="R123" s="30">
        <f t="shared" si="14"/>
        <v>35</v>
      </c>
      <c r="S123" s="30">
        <f t="shared" si="15"/>
        <v>19.672000000000001</v>
      </c>
      <c r="T123" s="30">
        <f t="shared" si="16"/>
        <v>28.510666666666669</v>
      </c>
      <c r="U123" s="25">
        <v>80</v>
      </c>
      <c r="V123" s="31">
        <f t="shared" si="17"/>
        <v>243.44000000000003</v>
      </c>
      <c r="W123" s="25">
        <v>179</v>
      </c>
      <c r="X123" s="25">
        <v>10</v>
      </c>
      <c r="Y123" s="25">
        <v>100</v>
      </c>
      <c r="Z123" s="31">
        <f t="shared" si="18"/>
        <v>200</v>
      </c>
      <c r="AA123" s="31">
        <f t="shared" si="19"/>
        <v>2</v>
      </c>
      <c r="AB123" s="31">
        <f t="shared" si="20"/>
        <v>8</v>
      </c>
      <c r="AC123" s="31" t="str">
        <f t="shared" si="21"/>
        <v/>
      </c>
      <c r="AD123" s="31" t="str">
        <f t="shared" si="22"/>
        <v/>
      </c>
      <c r="AE123" s="31" t="str">
        <f t="shared" si="23"/>
        <v/>
      </c>
      <c r="AF123" s="31" t="str">
        <f t="shared" si="24"/>
        <v/>
      </c>
      <c r="AG123" s="25">
        <v>10</v>
      </c>
      <c r="AH123" s="25">
        <v>0</v>
      </c>
      <c r="AI123" s="25">
        <v>0</v>
      </c>
      <c r="AJ123" s="23" t="s">
        <v>207</v>
      </c>
      <c r="AK123" s="23" t="s">
        <v>92</v>
      </c>
      <c r="AL123" s="25">
        <v>411</v>
      </c>
      <c r="AO123" s="32" t="str">
        <f t="shared" si="25"/>
        <v>3 doors</v>
      </c>
      <c r="AQ123" s="23" t="s">
        <v>32</v>
      </c>
      <c r="AR123" s="23" t="str">
        <f t="shared" si="27"/>
        <v>CC</v>
      </c>
      <c r="AS123" s="34">
        <f t="shared" si="26"/>
        <v>5300</v>
      </c>
      <c r="AT123" s="23">
        <v>53</v>
      </c>
      <c r="AU123" s="23">
        <v>0</v>
      </c>
      <c r="AV123" s="23">
        <v>0</v>
      </c>
    </row>
    <row r="124" spans="1:48">
      <c r="A124" s="25">
        <v>412</v>
      </c>
      <c r="B124" s="23" t="s">
        <v>89</v>
      </c>
      <c r="D124" s="23">
        <v>3</v>
      </c>
      <c r="E124" s="25" t="s">
        <v>30</v>
      </c>
      <c r="F124" s="25" t="s">
        <v>30</v>
      </c>
      <c r="G124" s="23" t="s">
        <v>27</v>
      </c>
      <c r="H124" s="23" t="s">
        <v>176</v>
      </c>
      <c r="I124" s="25">
        <v>1996</v>
      </c>
      <c r="J124" s="35">
        <v>30</v>
      </c>
      <c r="K124" s="35">
        <v>40</v>
      </c>
      <c r="L124" s="35">
        <v>20</v>
      </c>
      <c r="M124" s="25">
        <v>14</v>
      </c>
      <c r="N124" s="25">
        <v>14</v>
      </c>
      <c r="O124" s="25">
        <v>7</v>
      </c>
      <c r="R124" s="30">
        <f t="shared" si="14"/>
        <v>35</v>
      </c>
      <c r="S124" s="30">
        <f t="shared" si="15"/>
        <v>18.880000000000003</v>
      </c>
      <c r="T124" s="30">
        <f t="shared" si="16"/>
        <v>26.033333333333339</v>
      </c>
      <c r="U124" s="25">
        <v>72</v>
      </c>
      <c r="V124" s="31">
        <f t="shared" si="17"/>
        <v>217.60000000000002</v>
      </c>
      <c r="W124" s="25">
        <v>160</v>
      </c>
      <c r="X124" s="25">
        <v>11</v>
      </c>
      <c r="Y124" s="25">
        <v>101</v>
      </c>
      <c r="Z124" s="31">
        <f t="shared" si="18"/>
        <v>200</v>
      </c>
      <c r="AA124" s="31">
        <f t="shared" si="19"/>
        <v>3</v>
      </c>
      <c r="AB124" s="31">
        <f t="shared" si="20"/>
        <v>8</v>
      </c>
      <c r="AC124" s="31" t="str">
        <f t="shared" si="21"/>
        <v/>
      </c>
      <c r="AD124" s="31" t="str">
        <f t="shared" si="22"/>
        <v/>
      </c>
      <c r="AE124" s="31" t="str">
        <f t="shared" si="23"/>
        <v/>
      </c>
      <c r="AF124" s="31" t="str">
        <f t="shared" si="24"/>
        <v/>
      </c>
      <c r="AG124" s="25">
        <v>11</v>
      </c>
      <c r="AH124" s="25">
        <v>0</v>
      </c>
      <c r="AI124" s="25">
        <v>0</v>
      </c>
      <c r="AJ124" s="23" t="s">
        <v>207</v>
      </c>
      <c r="AK124" s="23" t="s">
        <v>92</v>
      </c>
      <c r="AL124" s="25">
        <v>412</v>
      </c>
      <c r="AO124" s="32" t="str">
        <f t="shared" si="25"/>
        <v>3 doors</v>
      </c>
      <c r="AQ124" s="23" t="s">
        <v>32</v>
      </c>
      <c r="AR124" s="23" t="str">
        <f t="shared" si="27"/>
        <v>CC</v>
      </c>
      <c r="AS124" s="34">
        <f t="shared" si="26"/>
        <v>5320</v>
      </c>
      <c r="AT124" s="23">
        <v>53</v>
      </c>
      <c r="AU124" s="23">
        <v>20</v>
      </c>
      <c r="AV124" s="23">
        <v>0</v>
      </c>
    </row>
    <row r="125" spans="1:48">
      <c r="A125" s="25">
        <v>412</v>
      </c>
      <c r="B125" s="23" t="s">
        <v>89</v>
      </c>
      <c r="D125" s="23">
        <v>3</v>
      </c>
      <c r="E125" s="25" t="s">
        <v>42</v>
      </c>
      <c r="F125" s="25" t="s">
        <v>42</v>
      </c>
      <c r="G125" s="23" t="s">
        <v>27</v>
      </c>
      <c r="H125" s="23" t="s">
        <v>176</v>
      </c>
      <c r="I125" s="25">
        <v>2008</v>
      </c>
      <c r="J125" s="35">
        <v>30</v>
      </c>
      <c r="K125" s="35">
        <v>40</v>
      </c>
      <c r="L125" s="35">
        <v>20</v>
      </c>
      <c r="M125" s="25">
        <v>14</v>
      </c>
      <c r="N125" s="25">
        <v>14</v>
      </c>
      <c r="O125" s="25">
        <v>7</v>
      </c>
      <c r="R125" s="30">
        <f t="shared" si="14"/>
        <v>35</v>
      </c>
      <c r="S125" s="30">
        <f t="shared" si="15"/>
        <v>18.880000000000003</v>
      </c>
      <c r="T125" s="30">
        <f t="shared" si="16"/>
        <v>26.033333333333339</v>
      </c>
      <c r="U125" s="25">
        <v>72</v>
      </c>
      <c r="V125" s="31">
        <f t="shared" si="17"/>
        <v>217.60000000000002</v>
      </c>
      <c r="W125" s="25">
        <v>160</v>
      </c>
      <c r="X125" s="25">
        <v>11</v>
      </c>
      <c r="Y125" s="25">
        <v>101</v>
      </c>
      <c r="Z125" s="31">
        <f t="shared" si="18"/>
        <v>200</v>
      </c>
      <c r="AA125" s="31">
        <f t="shared" si="19"/>
        <v>3</v>
      </c>
      <c r="AB125" s="31">
        <f t="shared" si="20"/>
        <v>8</v>
      </c>
      <c r="AC125" s="31" t="str">
        <f t="shared" si="21"/>
        <v/>
      </c>
      <c r="AD125" s="31" t="str">
        <f t="shared" si="22"/>
        <v/>
      </c>
      <c r="AE125" s="31" t="str">
        <f t="shared" si="23"/>
        <v/>
      </c>
      <c r="AF125" s="31" t="str">
        <f t="shared" si="24"/>
        <v/>
      </c>
      <c r="AG125" s="25">
        <v>11</v>
      </c>
      <c r="AH125" s="25">
        <v>0</v>
      </c>
      <c r="AI125" s="25">
        <v>0</v>
      </c>
      <c r="AJ125" s="23" t="s">
        <v>207</v>
      </c>
      <c r="AK125" s="23" t="s">
        <v>92</v>
      </c>
      <c r="AL125" s="25">
        <v>412</v>
      </c>
      <c r="AO125" s="32" t="str">
        <f t="shared" si="25"/>
        <v>3 doors</v>
      </c>
      <c r="AQ125" s="23" t="s">
        <v>32</v>
      </c>
      <c r="AR125" s="23" t="str">
        <f t="shared" si="27"/>
        <v>CC</v>
      </c>
      <c r="AS125" s="34">
        <f t="shared" si="26"/>
        <v>5320.01</v>
      </c>
      <c r="AT125" s="23">
        <v>53</v>
      </c>
      <c r="AU125" s="23">
        <v>20</v>
      </c>
      <c r="AV125" s="23">
        <v>1</v>
      </c>
    </row>
    <row r="126" spans="1:48">
      <c r="A126" s="25">
        <v>412</v>
      </c>
      <c r="B126" s="23" t="s">
        <v>89</v>
      </c>
      <c r="D126" s="23">
        <v>3</v>
      </c>
      <c r="E126" s="25" t="s">
        <v>43</v>
      </c>
      <c r="F126" s="25" t="s">
        <v>43</v>
      </c>
      <c r="G126" s="23" t="s">
        <v>27</v>
      </c>
      <c r="H126" s="23" t="s">
        <v>176</v>
      </c>
      <c r="I126" s="25">
        <v>2012</v>
      </c>
      <c r="J126" s="35">
        <v>30</v>
      </c>
      <c r="K126" s="35">
        <v>40</v>
      </c>
      <c r="L126" s="35">
        <v>20</v>
      </c>
      <c r="M126" s="25">
        <v>14</v>
      </c>
      <c r="N126" s="25">
        <v>14</v>
      </c>
      <c r="O126" s="25">
        <v>7</v>
      </c>
      <c r="R126" s="30">
        <f t="shared" si="14"/>
        <v>35</v>
      </c>
      <c r="S126" s="30">
        <f t="shared" si="15"/>
        <v>18.880000000000003</v>
      </c>
      <c r="T126" s="30">
        <f t="shared" si="16"/>
        <v>26.033333333333339</v>
      </c>
      <c r="U126" s="25">
        <v>72</v>
      </c>
      <c r="V126" s="31">
        <f t="shared" si="17"/>
        <v>217.60000000000002</v>
      </c>
      <c r="W126" s="25">
        <v>160</v>
      </c>
      <c r="X126" s="25">
        <v>11</v>
      </c>
      <c r="Y126" s="25">
        <v>101</v>
      </c>
      <c r="Z126" s="31">
        <f t="shared" si="18"/>
        <v>200</v>
      </c>
      <c r="AA126" s="31">
        <f t="shared" si="19"/>
        <v>3</v>
      </c>
      <c r="AB126" s="31">
        <f t="shared" si="20"/>
        <v>8</v>
      </c>
      <c r="AC126" s="31" t="str">
        <f t="shared" si="21"/>
        <v/>
      </c>
      <c r="AD126" s="31" t="str">
        <f t="shared" si="22"/>
        <v/>
      </c>
      <c r="AE126" s="31" t="str">
        <f t="shared" si="23"/>
        <v/>
      </c>
      <c r="AF126" s="31" t="str">
        <f t="shared" si="24"/>
        <v/>
      </c>
      <c r="AG126" s="25">
        <v>11</v>
      </c>
      <c r="AH126" s="25">
        <v>0</v>
      </c>
      <c r="AI126" s="25">
        <v>0</v>
      </c>
      <c r="AJ126" s="23" t="s">
        <v>207</v>
      </c>
      <c r="AK126" s="23" t="s">
        <v>92</v>
      </c>
      <c r="AL126" s="25">
        <v>412</v>
      </c>
      <c r="AO126" s="32" t="str">
        <f t="shared" si="25"/>
        <v>3 doors</v>
      </c>
      <c r="AQ126" s="23" t="s">
        <v>32</v>
      </c>
      <c r="AR126" s="23" t="str">
        <f t="shared" si="27"/>
        <v>CC</v>
      </c>
      <c r="AS126" s="34">
        <f t="shared" si="26"/>
        <v>5320.02</v>
      </c>
      <c r="AT126" s="23">
        <v>53</v>
      </c>
      <c r="AU126" s="23">
        <v>20</v>
      </c>
      <c r="AV126" s="23">
        <v>2</v>
      </c>
    </row>
    <row r="127" spans="1:48">
      <c r="A127" s="25">
        <v>412</v>
      </c>
      <c r="B127" s="23" t="s">
        <v>125</v>
      </c>
      <c r="D127" s="23">
        <v>2</v>
      </c>
      <c r="E127" s="25" t="s">
        <v>30</v>
      </c>
      <c r="F127" s="25" t="s">
        <v>30</v>
      </c>
      <c r="G127" s="23" t="s">
        <v>27</v>
      </c>
      <c r="H127" s="23" t="s">
        <v>177</v>
      </c>
      <c r="I127" s="25">
        <v>1996</v>
      </c>
      <c r="J127" s="35">
        <v>30</v>
      </c>
      <c r="K127" s="35">
        <v>40</v>
      </c>
      <c r="L127" s="35">
        <v>20</v>
      </c>
      <c r="M127" s="25">
        <v>14</v>
      </c>
      <c r="N127" s="25">
        <v>14</v>
      </c>
      <c r="R127" s="30">
        <f t="shared" si="14"/>
        <v>28</v>
      </c>
      <c r="S127" s="30">
        <f t="shared" si="15"/>
        <v>18.516000000000002</v>
      </c>
      <c r="T127" s="30">
        <f t="shared" si="16"/>
        <v>25.598666666666666</v>
      </c>
      <c r="U127" s="25">
        <v>100</v>
      </c>
      <c r="V127" s="31">
        <f t="shared" si="17"/>
        <v>220.32000000000002</v>
      </c>
      <c r="W127" s="25">
        <v>162</v>
      </c>
      <c r="X127" s="25">
        <v>11</v>
      </c>
      <c r="Y127" s="25">
        <v>70</v>
      </c>
      <c r="Z127" s="31">
        <f t="shared" si="18"/>
        <v>200</v>
      </c>
      <c r="AA127" s="31">
        <f t="shared" si="19"/>
        <v>3</v>
      </c>
      <c r="AB127" s="31">
        <f t="shared" si="20"/>
        <v>8</v>
      </c>
      <c r="AC127" s="31" t="str">
        <f t="shared" si="21"/>
        <v/>
      </c>
      <c r="AD127" s="31" t="str">
        <f t="shared" si="22"/>
        <v/>
      </c>
      <c r="AE127" s="31" t="str">
        <f t="shared" si="23"/>
        <v/>
      </c>
      <c r="AF127" s="31" t="str">
        <f t="shared" si="24"/>
        <v/>
      </c>
      <c r="AG127" s="25">
        <v>11</v>
      </c>
      <c r="AH127" s="25">
        <v>0</v>
      </c>
      <c r="AI127" s="25">
        <v>0</v>
      </c>
      <c r="AJ127" s="23" t="s">
        <v>207</v>
      </c>
      <c r="AK127" s="23" t="s">
        <v>92</v>
      </c>
      <c r="AL127" s="25">
        <v>412</v>
      </c>
      <c r="AO127" s="32" t="str">
        <f t="shared" si="25"/>
        <v>2 doors</v>
      </c>
      <c r="AQ127" s="23" t="s">
        <v>270</v>
      </c>
      <c r="AR127" s="23" t="str">
        <f t="shared" si="27"/>
        <v>CC</v>
      </c>
      <c r="AS127" s="34">
        <f t="shared" si="26"/>
        <v>5340</v>
      </c>
      <c r="AT127" s="23">
        <v>53</v>
      </c>
      <c r="AU127" s="23">
        <v>40</v>
      </c>
      <c r="AV127" s="23">
        <v>0</v>
      </c>
    </row>
    <row r="128" spans="1:48">
      <c r="A128" s="25">
        <v>412</v>
      </c>
      <c r="B128" s="23" t="s">
        <v>125</v>
      </c>
      <c r="D128" s="23">
        <v>2</v>
      </c>
      <c r="E128" s="25" t="s">
        <v>42</v>
      </c>
      <c r="F128" s="25" t="s">
        <v>42</v>
      </c>
      <c r="G128" s="23" t="s">
        <v>27</v>
      </c>
      <c r="H128" s="23" t="s">
        <v>177</v>
      </c>
      <c r="I128" s="25">
        <v>1996</v>
      </c>
      <c r="J128" s="35">
        <v>30</v>
      </c>
      <c r="K128" s="35">
        <v>40</v>
      </c>
      <c r="L128" s="35">
        <v>20</v>
      </c>
      <c r="M128" s="25">
        <v>14</v>
      </c>
      <c r="N128" s="25">
        <v>14</v>
      </c>
      <c r="R128" s="30">
        <f t="shared" si="14"/>
        <v>28</v>
      </c>
      <c r="S128" s="30">
        <f t="shared" si="15"/>
        <v>18.516000000000002</v>
      </c>
      <c r="T128" s="30">
        <f t="shared" si="16"/>
        <v>25.598666666666666</v>
      </c>
      <c r="U128" s="25">
        <v>100</v>
      </c>
      <c r="V128" s="31">
        <f t="shared" si="17"/>
        <v>220.32000000000002</v>
      </c>
      <c r="W128" s="25">
        <v>162</v>
      </c>
      <c r="X128" s="25">
        <v>11</v>
      </c>
      <c r="Y128" s="25">
        <v>70</v>
      </c>
      <c r="Z128" s="31">
        <f t="shared" si="18"/>
        <v>200</v>
      </c>
      <c r="AA128" s="31">
        <f t="shared" si="19"/>
        <v>3</v>
      </c>
      <c r="AB128" s="31">
        <f t="shared" si="20"/>
        <v>8</v>
      </c>
      <c r="AC128" s="31" t="str">
        <f t="shared" si="21"/>
        <v/>
      </c>
      <c r="AD128" s="31" t="str">
        <f t="shared" si="22"/>
        <v/>
      </c>
      <c r="AE128" s="31" t="str">
        <f t="shared" si="23"/>
        <v/>
      </c>
      <c r="AF128" s="31" t="str">
        <f t="shared" si="24"/>
        <v/>
      </c>
      <c r="AG128" s="25">
        <v>11</v>
      </c>
      <c r="AH128" s="25">
        <v>0</v>
      </c>
      <c r="AI128" s="25">
        <v>0</v>
      </c>
      <c r="AJ128" s="23" t="s">
        <v>207</v>
      </c>
      <c r="AK128" s="23" t="s">
        <v>92</v>
      </c>
      <c r="AL128" s="25">
        <v>412</v>
      </c>
      <c r="AO128" s="32" t="str">
        <f t="shared" si="25"/>
        <v>2 doors</v>
      </c>
      <c r="AQ128" s="23" t="s">
        <v>270</v>
      </c>
      <c r="AR128" s="23" t="str">
        <f t="shared" si="27"/>
        <v>CC</v>
      </c>
      <c r="AS128" s="34">
        <f t="shared" si="26"/>
        <v>5340.01</v>
      </c>
      <c r="AT128" s="23">
        <v>53</v>
      </c>
      <c r="AU128" s="23">
        <v>40</v>
      </c>
      <c r="AV128" s="23">
        <v>1</v>
      </c>
    </row>
    <row r="129" spans="1:48">
      <c r="A129" s="25">
        <v>417</v>
      </c>
      <c r="B129" s="23" t="s">
        <v>89</v>
      </c>
      <c r="D129" s="23">
        <v>4</v>
      </c>
      <c r="E129" s="25" t="s">
        <v>30</v>
      </c>
      <c r="F129" s="25" t="s">
        <v>30</v>
      </c>
      <c r="G129" s="23" t="s">
        <v>27</v>
      </c>
      <c r="H129" s="23" t="s">
        <v>183</v>
      </c>
      <c r="I129" s="25">
        <v>1994</v>
      </c>
      <c r="J129" s="35">
        <v>30</v>
      </c>
      <c r="K129" s="35">
        <v>40</v>
      </c>
      <c r="L129" s="35">
        <v>20</v>
      </c>
      <c r="M129" s="25">
        <v>14</v>
      </c>
      <c r="N129" s="25">
        <v>14</v>
      </c>
      <c r="O129" s="25">
        <v>14</v>
      </c>
      <c r="P129" s="25">
        <v>7</v>
      </c>
      <c r="R129" s="30">
        <f t="shared" si="14"/>
        <v>49</v>
      </c>
      <c r="S129" s="30">
        <f t="shared" si="15"/>
        <v>23.988</v>
      </c>
      <c r="T129" s="30">
        <f t="shared" si="16"/>
        <v>32.109333333333332</v>
      </c>
      <c r="U129" s="25">
        <v>72</v>
      </c>
      <c r="V129" s="31">
        <f t="shared" si="17"/>
        <v>259.76</v>
      </c>
      <c r="W129" s="25">
        <v>191</v>
      </c>
      <c r="X129" s="25">
        <v>15</v>
      </c>
      <c r="Y129" s="25">
        <v>170</v>
      </c>
      <c r="Z129" s="31">
        <f t="shared" si="18"/>
        <v>200</v>
      </c>
      <c r="AA129" s="31">
        <f t="shared" si="19"/>
        <v>2</v>
      </c>
      <c r="AB129" s="31">
        <f t="shared" si="20"/>
        <v>8</v>
      </c>
      <c r="AC129" s="31">
        <f t="shared" si="21"/>
        <v>7</v>
      </c>
      <c r="AD129" s="31" t="str">
        <f t="shared" si="22"/>
        <v/>
      </c>
      <c r="AE129" s="31" t="str">
        <f t="shared" si="23"/>
        <v/>
      </c>
      <c r="AF129" s="31" t="str">
        <f t="shared" si="24"/>
        <v/>
      </c>
      <c r="AG129" s="25">
        <v>10</v>
      </c>
      <c r="AH129" s="25">
        <v>7</v>
      </c>
      <c r="AI129" s="25">
        <v>0</v>
      </c>
      <c r="AJ129" s="23" t="s">
        <v>207</v>
      </c>
      <c r="AK129" s="23" t="s">
        <v>92</v>
      </c>
      <c r="AL129" s="25">
        <v>417</v>
      </c>
      <c r="AO129" s="32" t="str">
        <f t="shared" si="25"/>
        <v>4 doors</v>
      </c>
      <c r="AQ129" s="23" t="s">
        <v>32</v>
      </c>
      <c r="AR129" s="23" t="str">
        <f t="shared" si="27"/>
        <v>CC</v>
      </c>
      <c r="AS129" s="34">
        <f t="shared" si="26"/>
        <v>5400</v>
      </c>
      <c r="AT129" s="23">
        <v>54</v>
      </c>
      <c r="AU129" s="23">
        <v>0</v>
      </c>
      <c r="AV129" s="23">
        <v>0</v>
      </c>
    </row>
    <row r="130" spans="1:48">
      <c r="A130" s="25">
        <v>417</v>
      </c>
      <c r="B130" s="23" t="s">
        <v>89</v>
      </c>
      <c r="D130" s="23">
        <v>4</v>
      </c>
      <c r="E130" s="25" t="s">
        <v>42</v>
      </c>
      <c r="F130" s="25" t="s">
        <v>42</v>
      </c>
      <c r="G130" s="23" t="s">
        <v>27</v>
      </c>
      <c r="H130" s="23" t="s">
        <v>183</v>
      </c>
      <c r="I130" s="25">
        <v>1998</v>
      </c>
      <c r="J130" s="35">
        <v>30</v>
      </c>
      <c r="K130" s="35">
        <v>40</v>
      </c>
      <c r="L130" s="35">
        <v>20</v>
      </c>
      <c r="M130" s="25">
        <v>14</v>
      </c>
      <c r="N130" s="25">
        <v>14</v>
      </c>
      <c r="O130" s="25">
        <v>14</v>
      </c>
      <c r="P130" s="25">
        <v>7</v>
      </c>
      <c r="R130" s="30">
        <f t="shared" ref="R130:R171" si="28">SUM(M130:Q130)</f>
        <v>49</v>
      </c>
      <c r="S130" s="30">
        <f t="shared" ref="S130:S171" si="29">IF(OR(G130="diesel", G130="petrol"), ((X130+(V130/10))/2)+(R130/14), IF(OR(G130="cng", G130="hybrid"), ((X130+(V130/10))/2*1.2)+(R130/14), IF(OR(G130="hydrogen", G130="electric"), ((X130+(V130/10))/2*1.5)+(R130/14), 0)))</f>
        <v>23.988</v>
      </c>
      <c r="T130" s="30">
        <f t="shared" ref="T130:T171" si="30">IF(G130="petrol", ((X130+(Y130/15)+V130)/10*1.5)+(R130/14), IF(G130="diesel", ((X130+(Y130/15)+V130)/10)+(R130/14), IF(OR(G130="cng", G130="hybrid"), ((X130+(Y130/15)+V130)/10*0.8)+(R130/14), IF(OR(G130="hydrogen", G130="electric"), ((X130+(Y130/15)+V130)/10*0.5)+(R130/14), 0))))</f>
        <v>32.109333333333332</v>
      </c>
      <c r="U130" s="25">
        <v>72</v>
      </c>
      <c r="V130" s="31">
        <f t="shared" ref="V130:V171" si="31">W130*1.36</f>
        <v>259.76</v>
      </c>
      <c r="W130" s="25">
        <v>191</v>
      </c>
      <c r="X130" s="25">
        <v>15</v>
      </c>
      <c r="Y130" s="25">
        <v>170</v>
      </c>
      <c r="Z130" s="31">
        <f t="shared" ref="Z130:Z171" si="32">IF(AQ130="Regional", 185, IF(AQ130="Intercity", 150, IF(AQ130="Tourist", 100, 200)))</f>
        <v>200</v>
      </c>
      <c r="AA130" s="31">
        <f t="shared" ref="AA130:AA171" si="33">IF(AG130&gt;8, AG130-8, AG130)</f>
        <v>2</v>
      </c>
      <c r="AB130" s="31">
        <f t="shared" ref="AB130:AB171" si="34">IF(AG130&gt;8, 8, "")</f>
        <v>8</v>
      </c>
      <c r="AC130" s="31">
        <f t="shared" ref="AC130:AC171" si="35">IF(AH130&gt;8, AH130-8, IF(AH130=0, "", AH130))</f>
        <v>7</v>
      </c>
      <c r="AD130" s="31" t="str">
        <f t="shared" ref="AD130:AD171" si="36">IF(AH130&gt;8, 8, "")</f>
        <v/>
      </c>
      <c r="AE130" s="31" t="str">
        <f t="shared" ref="AE130:AE171" si="37">IF(AI130&gt;8, AI130-8, IF(AI130=0, "", AI130))</f>
        <v/>
      </c>
      <c r="AF130" s="31" t="str">
        <f t="shared" ref="AF130:AF171" si="38">IF(AI130&gt;8, 8, "")</f>
        <v/>
      </c>
      <c r="AG130" s="25">
        <v>10</v>
      </c>
      <c r="AH130" s="25">
        <v>7</v>
      </c>
      <c r="AI130" s="25">
        <v>0</v>
      </c>
      <c r="AJ130" s="23" t="s">
        <v>207</v>
      </c>
      <c r="AK130" s="23" t="s">
        <v>92</v>
      </c>
      <c r="AL130" s="25">
        <v>417</v>
      </c>
      <c r="AO130" s="32" t="str">
        <f t="shared" ref="AO130:AO171" si="39">IF(Q130&gt;0, "5 doors", IF(P130&gt;0, "4 doors", IF(O130&gt;0, "3 doors", IF(N130&gt;0, "2 doors", "1 door"))))</f>
        <v>4 doors</v>
      </c>
      <c r="AQ130" s="23" t="s">
        <v>32</v>
      </c>
      <c r="AR130" s="23" t="str">
        <f t="shared" si="27"/>
        <v>CC</v>
      </c>
      <c r="AS130" s="34">
        <f t="shared" ref="AS130:AS171" si="40">(AT130*100)+AU130+(AV130/100)</f>
        <v>5400.01</v>
      </c>
      <c r="AT130" s="23">
        <v>54</v>
      </c>
      <c r="AU130" s="23">
        <v>0</v>
      </c>
      <c r="AV130" s="23">
        <v>1</v>
      </c>
    </row>
    <row r="131" spans="1:48">
      <c r="A131" s="25">
        <v>417</v>
      </c>
      <c r="B131" s="23" t="s">
        <v>89</v>
      </c>
      <c r="D131" s="23">
        <v>4</v>
      </c>
      <c r="E131" s="25" t="s">
        <v>43</v>
      </c>
      <c r="F131" s="25" t="s">
        <v>43</v>
      </c>
      <c r="G131" s="23" t="s">
        <v>27</v>
      </c>
      <c r="H131" s="23" t="s">
        <v>183</v>
      </c>
      <c r="I131" s="25">
        <v>2012</v>
      </c>
      <c r="J131" s="35">
        <v>30</v>
      </c>
      <c r="K131" s="35">
        <v>40</v>
      </c>
      <c r="L131" s="35">
        <v>20</v>
      </c>
      <c r="M131" s="25">
        <v>14</v>
      </c>
      <c r="N131" s="25">
        <v>14</v>
      </c>
      <c r="O131" s="25">
        <v>14</v>
      </c>
      <c r="P131" s="25">
        <v>7</v>
      </c>
      <c r="R131" s="30">
        <f t="shared" si="28"/>
        <v>49</v>
      </c>
      <c r="S131" s="30">
        <f t="shared" si="29"/>
        <v>23.988</v>
      </c>
      <c r="T131" s="30">
        <f t="shared" si="30"/>
        <v>32.109333333333332</v>
      </c>
      <c r="U131" s="25">
        <v>72</v>
      </c>
      <c r="V131" s="31">
        <f t="shared" si="31"/>
        <v>259.76</v>
      </c>
      <c r="W131" s="25">
        <v>191</v>
      </c>
      <c r="X131" s="25">
        <v>15</v>
      </c>
      <c r="Y131" s="25">
        <v>170</v>
      </c>
      <c r="Z131" s="31">
        <f t="shared" si="32"/>
        <v>200</v>
      </c>
      <c r="AA131" s="31">
        <f t="shared" si="33"/>
        <v>2</v>
      </c>
      <c r="AB131" s="31">
        <f t="shared" si="34"/>
        <v>8</v>
      </c>
      <c r="AC131" s="31">
        <f t="shared" si="35"/>
        <v>7</v>
      </c>
      <c r="AD131" s="31" t="str">
        <f t="shared" si="36"/>
        <v/>
      </c>
      <c r="AE131" s="31" t="str">
        <f t="shared" si="37"/>
        <v/>
      </c>
      <c r="AF131" s="31" t="str">
        <f t="shared" si="38"/>
        <v/>
      </c>
      <c r="AG131" s="25">
        <v>10</v>
      </c>
      <c r="AH131" s="25">
        <v>7</v>
      </c>
      <c r="AI131" s="25">
        <v>0</v>
      </c>
      <c r="AJ131" s="23" t="s">
        <v>207</v>
      </c>
      <c r="AK131" s="23" t="s">
        <v>92</v>
      </c>
      <c r="AL131" s="25">
        <v>417</v>
      </c>
      <c r="AO131" s="32" t="str">
        <f t="shared" si="39"/>
        <v>4 doors</v>
      </c>
      <c r="AQ131" s="23" t="s">
        <v>32</v>
      </c>
      <c r="AR131" s="23" t="str">
        <f t="shared" ref="AR131:AR171" si="41">IF(E131="CC1", "CC", IF(E131="CC2", "CC", IF(E131="CC3", "CC", "Hungary")))</f>
        <v>CC</v>
      </c>
      <c r="AS131" s="34">
        <f t="shared" si="40"/>
        <v>5400.02</v>
      </c>
      <c r="AT131" s="23">
        <v>54</v>
      </c>
      <c r="AU131" s="23">
        <v>0</v>
      </c>
      <c r="AV131" s="23">
        <v>2</v>
      </c>
    </row>
    <row r="132" spans="1:48">
      <c r="A132" s="25">
        <v>417</v>
      </c>
      <c r="B132" s="23" t="s">
        <v>125</v>
      </c>
      <c r="D132" s="23">
        <v>3</v>
      </c>
      <c r="E132" s="25" t="s">
        <v>30</v>
      </c>
      <c r="F132" s="25" t="s">
        <v>30</v>
      </c>
      <c r="G132" s="23" t="s">
        <v>27</v>
      </c>
      <c r="H132" s="23" t="s">
        <v>184</v>
      </c>
      <c r="I132" s="25">
        <v>1995</v>
      </c>
      <c r="J132" s="35">
        <v>30</v>
      </c>
      <c r="K132" s="35">
        <v>40</v>
      </c>
      <c r="L132" s="35">
        <v>20</v>
      </c>
      <c r="M132" s="25">
        <v>14</v>
      </c>
      <c r="N132" s="25">
        <v>14</v>
      </c>
      <c r="O132" s="25">
        <v>14</v>
      </c>
      <c r="R132" s="30">
        <f t="shared" si="28"/>
        <v>42</v>
      </c>
      <c r="S132" s="30">
        <f t="shared" si="29"/>
        <v>26.004000000000001</v>
      </c>
      <c r="T132" s="30">
        <f t="shared" si="30"/>
        <v>36.334666666666671</v>
      </c>
      <c r="U132" s="25">
        <v>90</v>
      </c>
      <c r="V132" s="31">
        <f t="shared" si="31"/>
        <v>310.08000000000004</v>
      </c>
      <c r="W132" s="25">
        <v>228</v>
      </c>
      <c r="X132" s="25">
        <v>15</v>
      </c>
      <c r="Y132" s="25">
        <v>124</v>
      </c>
      <c r="Z132" s="31">
        <f t="shared" si="32"/>
        <v>200</v>
      </c>
      <c r="AA132" s="31">
        <f t="shared" si="33"/>
        <v>2</v>
      </c>
      <c r="AB132" s="31">
        <f t="shared" si="34"/>
        <v>8</v>
      </c>
      <c r="AC132" s="31">
        <f t="shared" si="35"/>
        <v>7</v>
      </c>
      <c r="AD132" s="31" t="str">
        <f t="shared" si="36"/>
        <v/>
      </c>
      <c r="AE132" s="31" t="str">
        <f t="shared" si="37"/>
        <v/>
      </c>
      <c r="AF132" s="31" t="str">
        <f t="shared" si="38"/>
        <v/>
      </c>
      <c r="AG132" s="25">
        <v>10</v>
      </c>
      <c r="AH132" s="25">
        <v>7</v>
      </c>
      <c r="AI132" s="25">
        <v>0</v>
      </c>
      <c r="AJ132" s="23" t="s">
        <v>207</v>
      </c>
      <c r="AK132" s="23" t="s">
        <v>92</v>
      </c>
      <c r="AL132" s="25">
        <v>417</v>
      </c>
      <c r="AO132" s="32" t="str">
        <f t="shared" si="39"/>
        <v>3 doors</v>
      </c>
      <c r="AQ132" s="23" t="s">
        <v>270</v>
      </c>
      <c r="AR132" s="23" t="str">
        <f t="shared" si="41"/>
        <v>CC</v>
      </c>
      <c r="AS132" s="34">
        <f t="shared" si="40"/>
        <v>5420</v>
      </c>
      <c r="AT132" s="23">
        <v>54</v>
      </c>
      <c r="AU132" s="23">
        <v>20</v>
      </c>
      <c r="AV132" s="23">
        <v>0</v>
      </c>
    </row>
    <row r="133" spans="1:48">
      <c r="A133" s="25">
        <v>417</v>
      </c>
      <c r="B133" s="23" t="s">
        <v>125</v>
      </c>
      <c r="D133" s="23">
        <v>3</v>
      </c>
      <c r="E133" s="25" t="s">
        <v>42</v>
      </c>
      <c r="F133" s="25" t="s">
        <v>42</v>
      </c>
      <c r="G133" s="23" t="s">
        <v>27</v>
      </c>
      <c r="H133" s="23" t="s">
        <v>184</v>
      </c>
      <c r="I133" s="25">
        <v>2001</v>
      </c>
      <c r="J133" s="35">
        <v>30</v>
      </c>
      <c r="K133" s="35">
        <v>40</v>
      </c>
      <c r="L133" s="35">
        <v>20</v>
      </c>
      <c r="M133" s="25">
        <v>14</v>
      </c>
      <c r="N133" s="25">
        <v>14</v>
      </c>
      <c r="O133" s="25">
        <v>14</v>
      </c>
      <c r="R133" s="30">
        <f t="shared" si="28"/>
        <v>42</v>
      </c>
      <c r="S133" s="30">
        <f t="shared" si="29"/>
        <v>26.004000000000001</v>
      </c>
      <c r="T133" s="30">
        <f t="shared" si="30"/>
        <v>36.334666666666671</v>
      </c>
      <c r="U133" s="25">
        <v>90</v>
      </c>
      <c r="V133" s="31">
        <f t="shared" si="31"/>
        <v>310.08000000000004</v>
      </c>
      <c r="W133" s="25">
        <v>228</v>
      </c>
      <c r="X133" s="25">
        <v>15</v>
      </c>
      <c r="Y133" s="25">
        <v>124</v>
      </c>
      <c r="Z133" s="31">
        <f t="shared" si="32"/>
        <v>200</v>
      </c>
      <c r="AA133" s="31">
        <f t="shared" si="33"/>
        <v>2</v>
      </c>
      <c r="AB133" s="31">
        <f t="shared" si="34"/>
        <v>8</v>
      </c>
      <c r="AC133" s="31">
        <f t="shared" si="35"/>
        <v>7</v>
      </c>
      <c r="AD133" s="31" t="str">
        <f t="shared" si="36"/>
        <v/>
      </c>
      <c r="AE133" s="31" t="str">
        <f t="shared" si="37"/>
        <v/>
      </c>
      <c r="AF133" s="31" t="str">
        <f t="shared" si="38"/>
        <v/>
      </c>
      <c r="AG133" s="25">
        <v>10</v>
      </c>
      <c r="AH133" s="25">
        <v>7</v>
      </c>
      <c r="AI133" s="25">
        <v>0</v>
      </c>
      <c r="AJ133" s="23" t="s">
        <v>207</v>
      </c>
      <c r="AK133" s="23" t="s">
        <v>92</v>
      </c>
      <c r="AL133" s="25">
        <v>417</v>
      </c>
      <c r="AO133" s="32" t="str">
        <f t="shared" si="39"/>
        <v>3 doors</v>
      </c>
      <c r="AQ133" s="23" t="s">
        <v>270</v>
      </c>
      <c r="AR133" s="23" t="str">
        <f t="shared" si="41"/>
        <v>CC</v>
      </c>
      <c r="AS133" s="34">
        <f t="shared" si="40"/>
        <v>5420.01</v>
      </c>
      <c r="AT133" s="23">
        <v>54</v>
      </c>
      <c r="AU133" s="23">
        <v>20</v>
      </c>
      <c r="AV133" s="23">
        <v>1</v>
      </c>
    </row>
    <row r="134" spans="1:48">
      <c r="A134" s="25" t="s">
        <v>111</v>
      </c>
      <c r="D134" s="23">
        <v>4</v>
      </c>
      <c r="E134" s="25" t="s">
        <v>30</v>
      </c>
      <c r="F134" s="25" t="s">
        <v>30</v>
      </c>
      <c r="G134" s="23" t="s">
        <v>27</v>
      </c>
      <c r="H134" s="23" t="s">
        <v>182</v>
      </c>
      <c r="I134" s="25">
        <v>2020</v>
      </c>
      <c r="J134" s="35">
        <v>30</v>
      </c>
      <c r="K134" s="35">
        <v>40</v>
      </c>
      <c r="L134" s="35">
        <v>20</v>
      </c>
      <c r="M134" s="25">
        <v>14</v>
      </c>
      <c r="N134" s="25">
        <v>14</v>
      </c>
      <c r="O134" s="25">
        <v>14</v>
      </c>
      <c r="P134" s="25">
        <v>14</v>
      </c>
      <c r="R134" s="30">
        <f t="shared" si="28"/>
        <v>56</v>
      </c>
      <c r="S134" s="30">
        <f t="shared" si="29"/>
        <v>34.012</v>
      </c>
      <c r="T134" s="30">
        <f t="shared" si="30"/>
        <v>49.490666666666669</v>
      </c>
      <c r="U134" s="25">
        <v>78</v>
      </c>
      <c r="V134" s="31">
        <f t="shared" si="31"/>
        <v>420.24</v>
      </c>
      <c r="W134" s="25">
        <v>309</v>
      </c>
      <c r="X134" s="25">
        <v>18</v>
      </c>
      <c r="Y134" s="25">
        <v>250</v>
      </c>
      <c r="Z134" s="31">
        <f t="shared" si="32"/>
        <v>200</v>
      </c>
      <c r="AA134" s="31">
        <f t="shared" si="33"/>
        <v>2</v>
      </c>
      <c r="AB134" s="31">
        <f t="shared" si="34"/>
        <v>8</v>
      </c>
      <c r="AC134" s="31">
        <f t="shared" si="35"/>
        <v>6</v>
      </c>
      <c r="AD134" s="31" t="str">
        <f t="shared" si="36"/>
        <v/>
      </c>
      <c r="AE134" s="31">
        <f t="shared" si="37"/>
        <v>7</v>
      </c>
      <c r="AF134" s="31" t="str">
        <f t="shared" si="38"/>
        <v/>
      </c>
      <c r="AG134" s="25">
        <v>10</v>
      </c>
      <c r="AH134" s="25">
        <v>6</v>
      </c>
      <c r="AI134" s="25">
        <v>7</v>
      </c>
      <c r="AJ134" s="23" t="s">
        <v>207</v>
      </c>
      <c r="AK134" s="23" t="s">
        <v>92</v>
      </c>
      <c r="AL134" s="25" t="s">
        <v>111</v>
      </c>
      <c r="AO134" s="32" t="str">
        <f t="shared" si="39"/>
        <v>4 doors</v>
      </c>
      <c r="AQ134" s="23" t="s">
        <v>32</v>
      </c>
      <c r="AR134" s="23" t="str">
        <f t="shared" si="41"/>
        <v>CC</v>
      </c>
      <c r="AS134" s="34">
        <f t="shared" si="40"/>
        <v>5900</v>
      </c>
      <c r="AT134" s="23">
        <v>59</v>
      </c>
      <c r="AU134" s="23">
        <v>0</v>
      </c>
      <c r="AV134" s="23">
        <v>0</v>
      </c>
    </row>
    <row r="135" spans="1:48">
      <c r="A135" s="25" t="s">
        <v>119</v>
      </c>
      <c r="D135" s="23">
        <v>2</v>
      </c>
      <c r="E135" s="25" t="s">
        <v>30</v>
      </c>
      <c r="F135" s="25" t="s">
        <v>30</v>
      </c>
      <c r="G135" s="23" t="s">
        <v>27</v>
      </c>
      <c r="H135" s="23" t="s">
        <v>202</v>
      </c>
      <c r="I135" s="25">
        <v>1992</v>
      </c>
      <c r="J135" s="35">
        <v>30</v>
      </c>
      <c r="K135" s="35">
        <v>40</v>
      </c>
      <c r="L135" s="35">
        <v>20</v>
      </c>
      <c r="M135" s="25">
        <v>5</v>
      </c>
      <c r="N135" s="25">
        <v>5</v>
      </c>
      <c r="R135" s="30">
        <f t="shared" si="28"/>
        <v>10</v>
      </c>
      <c r="S135" s="30">
        <f t="shared" si="29"/>
        <v>22.694285714285716</v>
      </c>
      <c r="T135" s="30">
        <f t="shared" si="30"/>
        <v>34.327619047619045</v>
      </c>
      <c r="U135" s="25">
        <v>130</v>
      </c>
      <c r="V135" s="31">
        <f t="shared" si="31"/>
        <v>319.60000000000002</v>
      </c>
      <c r="W135" s="25">
        <v>235</v>
      </c>
      <c r="X135" s="25">
        <v>12</v>
      </c>
      <c r="Y135" s="25">
        <v>68</v>
      </c>
      <c r="Z135" s="31">
        <f t="shared" si="32"/>
        <v>150</v>
      </c>
      <c r="AA135" s="31">
        <f t="shared" si="33"/>
        <v>3</v>
      </c>
      <c r="AB135" s="31">
        <f t="shared" si="34"/>
        <v>8</v>
      </c>
      <c r="AC135" s="31" t="str">
        <f t="shared" si="35"/>
        <v/>
      </c>
      <c r="AD135" s="31" t="str">
        <f t="shared" si="36"/>
        <v/>
      </c>
      <c r="AE135" s="31" t="str">
        <f t="shared" si="37"/>
        <v/>
      </c>
      <c r="AF135" s="31" t="str">
        <f t="shared" si="38"/>
        <v/>
      </c>
      <c r="AG135" s="25">
        <v>11</v>
      </c>
      <c r="AH135" s="25">
        <v>0</v>
      </c>
      <c r="AI135" s="25">
        <v>0</v>
      </c>
      <c r="AJ135" s="23" t="s">
        <v>208</v>
      </c>
      <c r="AK135" s="23" t="s">
        <v>92</v>
      </c>
      <c r="AL135" s="25" t="s">
        <v>119</v>
      </c>
      <c r="AO135" s="32" t="str">
        <f t="shared" si="39"/>
        <v>2 doors</v>
      </c>
      <c r="AQ135" s="23" t="s">
        <v>47</v>
      </c>
      <c r="AR135" s="23" t="str">
        <f t="shared" si="41"/>
        <v>CC</v>
      </c>
      <c r="AS135" s="34">
        <f t="shared" si="40"/>
        <v>7000</v>
      </c>
      <c r="AT135" s="23">
        <v>70</v>
      </c>
      <c r="AU135" s="23">
        <v>0</v>
      </c>
      <c r="AV135" s="23">
        <v>0</v>
      </c>
    </row>
    <row r="136" spans="1:48">
      <c r="A136" s="25" t="s">
        <v>119</v>
      </c>
      <c r="D136" s="23">
        <v>2</v>
      </c>
      <c r="E136" s="25" t="s">
        <v>42</v>
      </c>
      <c r="F136" s="25" t="s">
        <v>42</v>
      </c>
      <c r="G136" s="23" t="s">
        <v>27</v>
      </c>
      <c r="H136" s="23" t="s">
        <v>202</v>
      </c>
      <c r="I136" s="25">
        <v>1992</v>
      </c>
      <c r="J136" s="35">
        <v>30</v>
      </c>
      <c r="K136" s="35">
        <v>40</v>
      </c>
      <c r="L136" s="35">
        <v>20</v>
      </c>
      <c r="M136" s="25">
        <v>5</v>
      </c>
      <c r="N136" s="25">
        <v>5</v>
      </c>
      <c r="R136" s="30">
        <f t="shared" si="28"/>
        <v>10</v>
      </c>
      <c r="S136" s="30">
        <f t="shared" si="29"/>
        <v>22.694285714285716</v>
      </c>
      <c r="T136" s="30">
        <f t="shared" si="30"/>
        <v>34.327619047619045</v>
      </c>
      <c r="U136" s="25">
        <v>130</v>
      </c>
      <c r="V136" s="31">
        <f t="shared" si="31"/>
        <v>319.60000000000002</v>
      </c>
      <c r="W136" s="25">
        <v>235</v>
      </c>
      <c r="X136" s="25">
        <v>12</v>
      </c>
      <c r="Y136" s="25">
        <v>68</v>
      </c>
      <c r="Z136" s="31">
        <f t="shared" si="32"/>
        <v>150</v>
      </c>
      <c r="AA136" s="31">
        <f t="shared" si="33"/>
        <v>3</v>
      </c>
      <c r="AB136" s="31">
        <f t="shared" si="34"/>
        <v>8</v>
      </c>
      <c r="AC136" s="31" t="str">
        <f t="shared" si="35"/>
        <v/>
      </c>
      <c r="AD136" s="31" t="str">
        <f t="shared" si="36"/>
        <v/>
      </c>
      <c r="AE136" s="31" t="str">
        <f t="shared" si="37"/>
        <v/>
      </c>
      <c r="AF136" s="31" t="str">
        <f t="shared" si="38"/>
        <v/>
      </c>
      <c r="AG136" s="25">
        <v>11</v>
      </c>
      <c r="AH136" s="25">
        <v>0</v>
      </c>
      <c r="AI136" s="25">
        <v>0</v>
      </c>
      <c r="AJ136" s="23" t="s">
        <v>208</v>
      </c>
      <c r="AK136" s="23" t="s">
        <v>92</v>
      </c>
      <c r="AL136" s="25" t="s">
        <v>119</v>
      </c>
      <c r="AO136" s="32" t="str">
        <f t="shared" si="39"/>
        <v>2 doors</v>
      </c>
      <c r="AQ136" s="23" t="s">
        <v>47</v>
      </c>
      <c r="AR136" s="23" t="str">
        <f t="shared" si="41"/>
        <v>CC</v>
      </c>
      <c r="AS136" s="34">
        <f t="shared" si="40"/>
        <v>7000.01</v>
      </c>
      <c r="AT136" s="23">
        <v>70</v>
      </c>
      <c r="AU136" s="23">
        <v>0</v>
      </c>
      <c r="AV136" s="23">
        <v>1</v>
      </c>
    </row>
    <row r="137" spans="1:48">
      <c r="A137" s="25" t="s">
        <v>119</v>
      </c>
      <c r="D137" s="23">
        <v>2</v>
      </c>
      <c r="E137" s="25" t="s">
        <v>214</v>
      </c>
      <c r="F137" s="25" t="s">
        <v>46</v>
      </c>
      <c r="G137" s="23" t="s">
        <v>27</v>
      </c>
      <c r="H137" s="23" t="s">
        <v>202</v>
      </c>
      <c r="I137" s="25">
        <v>1992</v>
      </c>
      <c r="J137" s="35">
        <v>30</v>
      </c>
      <c r="K137" s="35">
        <v>40</v>
      </c>
      <c r="L137" s="35">
        <v>20</v>
      </c>
      <c r="M137" s="25">
        <v>5</v>
      </c>
      <c r="N137" s="25">
        <v>5</v>
      </c>
      <c r="R137" s="30">
        <f t="shared" si="28"/>
        <v>10</v>
      </c>
      <c r="S137" s="30">
        <f t="shared" si="29"/>
        <v>22.694285714285716</v>
      </c>
      <c r="T137" s="30">
        <f t="shared" si="30"/>
        <v>34.327619047619045</v>
      </c>
      <c r="U137" s="25">
        <v>130</v>
      </c>
      <c r="V137" s="31">
        <f t="shared" si="31"/>
        <v>319.60000000000002</v>
      </c>
      <c r="W137" s="25">
        <v>235</v>
      </c>
      <c r="X137" s="25">
        <v>12</v>
      </c>
      <c r="Y137" s="25">
        <v>68</v>
      </c>
      <c r="Z137" s="31">
        <f t="shared" si="32"/>
        <v>150</v>
      </c>
      <c r="AA137" s="31">
        <f t="shared" si="33"/>
        <v>3</v>
      </c>
      <c r="AB137" s="31">
        <f t="shared" si="34"/>
        <v>8</v>
      </c>
      <c r="AC137" s="31" t="str">
        <f t="shared" si="35"/>
        <v/>
      </c>
      <c r="AD137" s="31" t="str">
        <f t="shared" si="36"/>
        <v/>
      </c>
      <c r="AE137" s="31" t="str">
        <f t="shared" si="37"/>
        <v/>
      </c>
      <c r="AF137" s="31" t="str">
        <f t="shared" si="38"/>
        <v/>
      </c>
      <c r="AG137" s="25">
        <v>11</v>
      </c>
      <c r="AH137" s="25">
        <v>0</v>
      </c>
      <c r="AI137" s="25">
        <v>0</v>
      </c>
      <c r="AJ137" s="23" t="s">
        <v>208</v>
      </c>
      <c r="AK137" s="23" t="s">
        <v>92</v>
      </c>
      <c r="AL137" s="25" t="s">
        <v>119</v>
      </c>
      <c r="AO137" s="32" t="str">
        <f t="shared" si="39"/>
        <v>2 doors</v>
      </c>
      <c r="AQ137" s="23" t="s">
        <v>47</v>
      </c>
      <c r="AR137" s="23" t="str">
        <f t="shared" si="41"/>
        <v>Hungary</v>
      </c>
      <c r="AS137" s="34">
        <f t="shared" si="40"/>
        <v>7000.02</v>
      </c>
      <c r="AT137" s="23">
        <v>70</v>
      </c>
      <c r="AU137" s="23">
        <v>0</v>
      </c>
      <c r="AV137" s="23">
        <v>2</v>
      </c>
    </row>
    <row r="138" spans="1:48">
      <c r="A138" s="25" t="s">
        <v>119</v>
      </c>
      <c r="D138" s="23">
        <v>2</v>
      </c>
      <c r="E138" s="25" t="s">
        <v>215</v>
      </c>
      <c r="F138" s="25" t="s">
        <v>46</v>
      </c>
      <c r="G138" s="23" t="s">
        <v>27</v>
      </c>
      <c r="H138" s="23" t="s">
        <v>202</v>
      </c>
      <c r="I138" s="25">
        <v>1992</v>
      </c>
      <c r="J138" s="35">
        <v>30</v>
      </c>
      <c r="K138" s="35">
        <v>40</v>
      </c>
      <c r="L138" s="35">
        <v>20</v>
      </c>
      <c r="M138" s="25">
        <v>5</v>
      </c>
      <c r="N138" s="25">
        <v>5</v>
      </c>
      <c r="R138" s="30">
        <f t="shared" si="28"/>
        <v>10</v>
      </c>
      <c r="S138" s="30">
        <f t="shared" si="29"/>
        <v>22.694285714285716</v>
      </c>
      <c r="T138" s="30">
        <f t="shared" si="30"/>
        <v>34.327619047619045</v>
      </c>
      <c r="U138" s="25">
        <v>130</v>
      </c>
      <c r="V138" s="31">
        <f t="shared" si="31"/>
        <v>319.60000000000002</v>
      </c>
      <c r="W138" s="25">
        <v>235</v>
      </c>
      <c r="X138" s="25">
        <v>12</v>
      </c>
      <c r="Y138" s="25">
        <v>68</v>
      </c>
      <c r="Z138" s="31">
        <f t="shared" si="32"/>
        <v>150</v>
      </c>
      <c r="AA138" s="31">
        <f t="shared" si="33"/>
        <v>3</v>
      </c>
      <c r="AB138" s="31">
        <f t="shared" si="34"/>
        <v>8</v>
      </c>
      <c r="AC138" s="31" t="str">
        <f t="shared" si="35"/>
        <v/>
      </c>
      <c r="AD138" s="31" t="str">
        <f t="shared" si="36"/>
        <v/>
      </c>
      <c r="AE138" s="31" t="str">
        <f t="shared" si="37"/>
        <v/>
      </c>
      <c r="AF138" s="31" t="str">
        <f t="shared" si="38"/>
        <v/>
      </c>
      <c r="AG138" s="25">
        <v>11</v>
      </c>
      <c r="AH138" s="25">
        <v>0</v>
      </c>
      <c r="AI138" s="25">
        <v>0</v>
      </c>
      <c r="AJ138" s="23" t="s">
        <v>208</v>
      </c>
      <c r="AK138" s="23" t="s">
        <v>92</v>
      </c>
      <c r="AL138" s="25" t="s">
        <v>119</v>
      </c>
      <c r="AO138" s="32" t="str">
        <f t="shared" si="39"/>
        <v>2 doors</v>
      </c>
      <c r="AQ138" s="23" t="s">
        <v>47</v>
      </c>
      <c r="AR138" s="23" t="str">
        <f t="shared" si="41"/>
        <v>Hungary</v>
      </c>
      <c r="AS138" s="34">
        <f t="shared" si="40"/>
        <v>7000.03</v>
      </c>
      <c r="AT138" s="23">
        <v>70</v>
      </c>
      <c r="AU138" s="23">
        <v>0</v>
      </c>
      <c r="AV138" s="23">
        <v>3</v>
      </c>
    </row>
    <row r="139" spans="1:48">
      <c r="A139" s="25" t="s">
        <v>112</v>
      </c>
      <c r="D139" s="23">
        <v>2</v>
      </c>
      <c r="E139" s="25" t="s">
        <v>30</v>
      </c>
      <c r="F139" s="25" t="s">
        <v>30</v>
      </c>
      <c r="G139" s="23" t="s">
        <v>27</v>
      </c>
      <c r="H139" s="23" t="s">
        <v>193</v>
      </c>
      <c r="I139" s="25">
        <v>1998</v>
      </c>
      <c r="J139" s="35">
        <v>30</v>
      </c>
      <c r="K139" s="35">
        <v>40</v>
      </c>
      <c r="L139" s="35">
        <v>20</v>
      </c>
      <c r="M139" s="25">
        <v>4</v>
      </c>
      <c r="N139" s="25">
        <v>4</v>
      </c>
      <c r="R139" s="30">
        <f t="shared" si="28"/>
        <v>8</v>
      </c>
      <c r="S139" s="30">
        <f t="shared" si="29"/>
        <v>12.571428571428571</v>
      </c>
      <c r="T139" s="30">
        <f t="shared" si="30"/>
        <v>18.444761904761908</v>
      </c>
      <c r="U139" s="25">
        <v>117</v>
      </c>
      <c r="V139" s="31">
        <f t="shared" si="31"/>
        <v>170</v>
      </c>
      <c r="W139" s="25">
        <v>125</v>
      </c>
      <c r="X139" s="25">
        <v>7</v>
      </c>
      <c r="Y139" s="25">
        <v>26</v>
      </c>
      <c r="Z139" s="31">
        <f t="shared" si="32"/>
        <v>100</v>
      </c>
      <c r="AA139" s="31">
        <f t="shared" si="33"/>
        <v>8</v>
      </c>
      <c r="AB139" s="31" t="str">
        <f t="shared" si="34"/>
        <v/>
      </c>
      <c r="AC139" s="31" t="str">
        <f t="shared" si="35"/>
        <v/>
      </c>
      <c r="AD139" s="31" t="str">
        <f t="shared" si="36"/>
        <v/>
      </c>
      <c r="AE139" s="31" t="str">
        <f t="shared" si="37"/>
        <v/>
      </c>
      <c r="AF139" s="31" t="str">
        <f t="shared" si="38"/>
        <v/>
      </c>
      <c r="AG139" s="25">
        <v>8</v>
      </c>
      <c r="AH139" s="25">
        <v>0</v>
      </c>
      <c r="AI139" s="25">
        <v>0</v>
      </c>
      <c r="AJ139" s="23" t="s">
        <v>208</v>
      </c>
      <c r="AK139" s="23" t="s">
        <v>92</v>
      </c>
      <c r="AL139" s="25" t="s">
        <v>112</v>
      </c>
      <c r="AO139" s="32" t="str">
        <f t="shared" si="39"/>
        <v>2 doors</v>
      </c>
      <c r="AQ139" s="23" t="s">
        <v>48</v>
      </c>
      <c r="AR139" s="23" t="str">
        <f t="shared" si="41"/>
        <v>CC</v>
      </c>
      <c r="AS139" s="34">
        <f t="shared" si="40"/>
        <v>7040</v>
      </c>
      <c r="AT139" s="23">
        <v>70</v>
      </c>
      <c r="AU139" s="23">
        <v>40</v>
      </c>
      <c r="AV139" s="23">
        <v>0</v>
      </c>
    </row>
    <row r="140" spans="1:48">
      <c r="A140" s="25" t="s">
        <v>112</v>
      </c>
      <c r="D140" s="23">
        <v>2</v>
      </c>
      <c r="E140" s="25" t="s">
        <v>211</v>
      </c>
      <c r="F140" s="25" t="s">
        <v>211</v>
      </c>
      <c r="G140" s="23" t="s">
        <v>27</v>
      </c>
      <c r="H140" s="23" t="s">
        <v>193</v>
      </c>
      <c r="I140" s="25">
        <v>1998</v>
      </c>
      <c r="J140" s="35">
        <v>30</v>
      </c>
      <c r="K140" s="35">
        <v>40</v>
      </c>
      <c r="L140" s="35">
        <v>20</v>
      </c>
      <c r="M140" s="25">
        <v>4</v>
      </c>
      <c r="N140" s="25">
        <v>4</v>
      </c>
      <c r="R140" s="30">
        <f t="shared" si="28"/>
        <v>8</v>
      </c>
      <c r="S140" s="30">
        <f t="shared" si="29"/>
        <v>12.571428571428571</v>
      </c>
      <c r="T140" s="30">
        <f t="shared" si="30"/>
        <v>18.444761904761908</v>
      </c>
      <c r="U140" s="25">
        <v>117</v>
      </c>
      <c r="V140" s="31">
        <f t="shared" si="31"/>
        <v>170</v>
      </c>
      <c r="W140" s="25">
        <v>125</v>
      </c>
      <c r="X140" s="25">
        <v>7</v>
      </c>
      <c r="Y140" s="25">
        <v>26</v>
      </c>
      <c r="Z140" s="31">
        <f t="shared" si="32"/>
        <v>100</v>
      </c>
      <c r="AA140" s="31">
        <f t="shared" si="33"/>
        <v>8</v>
      </c>
      <c r="AB140" s="31" t="str">
        <f t="shared" si="34"/>
        <v/>
      </c>
      <c r="AC140" s="31" t="str">
        <f t="shared" si="35"/>
        <v/>
      </c>
      <c r="AD140" s="31" t="str">
        <f t="shared" si="36"/>
        <v/>
      </c>
      <c r="AE140" s="31" t="str">
        <f t="shared" si="37"/>
        <v/>
      </c>
      <c r="AF140" s="31" t="str">
        <f t="shared" si="38"/>
        <v/>
      </c>
      <c r="AG140" s="25">
        <v>8</v>
      </c>
      <c r="AH140" s="25">
        <v>0</v>
      </c>
      <c r="AI140" s="25">
        <v>0</v>
      </c>
      <c r="AJ140" s="23" t="s">
        <v>208</v>
      </c>
      <c r="AK140" s="23" t="s">
        <v>92</v>
      </c>
      <c r="AL140" s="25" t="s">
        <v>112</v>
      </c>
      <c r="AO140" s="32" t="str">
        <f t="shared" si="39"/>
        <v>2 doors</v>
      </c>
      <c r="AQ140" s="23" t="s">
        <v>48</v>
      </c>
      <c r="AR140" s="23" t="str">
        <f t="shared" si="41"/>
        <v>Hungary</v>
      </c>
      <c r="AS140" s="34">
        <f t="shared" si="40"/>
        <v>7040.01</v>
      </c>
      <c r="AT140" s="23">
        <v>70</v>
      </c>
      <c r="AU140" s="23">
        <v>40</v>
      </c>
      <c r="AV140" s="23">
        <v>1</v>
      </c>
    </row>
    <row r="141" spans="1:48">
      <c r="A141" s="25" t="s">
        <v>118</v>
      </c>
      <c r="D141" s="23">
        <v>2</v>
      </c>
      <c r="E141" s="25" t="s">
        <v>30</v>
      </c>
      <c r="F141" s="25" t="s">
        <v>30</v>
      </c>
      <c r="G141" s="23" t="s">
        <v>27</v>
      </c>
      <c r="H141" s="23" t="s">
        <v>200</v>
      </c>
      <c r="I141" s="25">
        <v>1993</v>
      </c>
      <c r="J141" s="35">
        <v>30</v>
      </c>
      <c r="K141" s="35">
        <v>40</v>
      </c>
      <c r="L141" s="35">
        <v>20</v>
      </c>
      <c r="M141" s="25">
        <v>14</v>
      </c>
      <c r="N141" s="25">
        <v>12</v>
      </c>
      <c r="R141" s="30">
        <f t="shared" si="28"/>
        <v>26</v>
      </c>
      <c r="S141" s="30">
        <f t="shared" si="29"/>
        <v>23.361142857142859</v>
      </c>
      <c r="T141" s="30">
        <f t="shared" si="30"/>
        <v>34.591809523809523</v>
      </c>
      <c r="U141" s="25">
        <v>112</v>
      </c>
      <c r="V141" s="31">
        <f t="shared" si="31"/>
        <v>310.08000000000004</v>
      </c>
      <c r="W141" s="25">
        <v>228</v>
      </c>
      <c r="X141" s="25">
        <v>12</v>
      </c>
      <c r="Y141" s="25">
        <v>79</v>
      </c>
      <c r="Z141" s="31">
        <f t="shared" si="32"/>
        <v>185</v>
      </c>
      <c r="AA141" s="31">
        <f t="shared" si="33"/>
        <v>3</v>
      </c>
      <c r="AB141" s="31">
        <f t="shared" si="34"/>
        <v>8</v>
      </c>
      <c r="AC141" s="31" t="str">
        <f t="shared" si="35"/>
        <v/>
      </c>
      <c r="AD141" s="31" t="str">
        <f t="shared" si="36"/>
        <v/>
      </c>
      <c r="AE141" s="31" t="str">
        <f t="shared" si="37"/>
        <v/>
      </c>
      <c r="AF141" s="31" t="str">
        <f t="shared" si="38"/>
        <v/>
      </c>
      <c r="AG141" s="25">
        <v>11</v>
      </c>
      <c r="AH141" s="25">
        <v>0</v>
      </c>
      <c r="AI141" s="25">
        <v>0</v>
      </c>
      <c r="AJ141" s="23" t="s">
        <v>208</v>
      </c>
      <c r="AK141" s="23" t="s">
        <v>92</v>
      </c>
      <c r="AL141" s="25" t="s">
        <v>118</v>
      </c>
      <c r="AO141" s="32" t="str">
        <f t="shared" si="39"/>
        <v>2 doors</v>
      </c>
      <c r="AQ141" s="23" t="s">
        <v>33</v>
      </c>
      <c r="AR141" s="23" t="str">
        <f t="shared" si="41"/>
        <v>CC</v>
      </c>
      <c r="AS141" s="34">
        <f t="shared" si="40"/>
        <v>7100</v>
      </c>
      <c r="AT141" s="23">
        <v>71</v>
      </c>
      <c r="AU141" s="23">
        <v>0</v>
      </c>
      <c r="AV141" s="23">
        <v>0</v>
      </c>
    </row>
    <row r="142" spans="1:48">
      <c r="A142" s="25" t="s">
        <v>118</v>
      </c>
      <c r="D142" s="23">
        <v>2</v>
      </c>
      <c r="E142" s="25" t="s">
        <v>42</v>
      </c>
      <c r="F142" s="25" t="s">
        <v>42</v>
      </c>
      <c r="G142" s="23" t="s">
        <v>27</v>
      </c>
      <c r="H142" s="23" t="s">
        <v>200</v>
      </c>
      <c r="I142" s="25">
        <v>1993</v>
      </c>
      <c r="J142" s="35">
        <v>30</v>
      </c>
      <c r="K142" s="35">
        <v>40</v>
      </c>
      <c r="L142" s="35">
        <v>20</v>
      </c>
      <c r="M142" s="25">
        <v>14</v>
      </c>
      <c r="N142" s="25">
        <v>12</v>
      </c>
      <c r="R142" s="30">
        <f t="shared" si="28"/>
        <v>26</v>
      </c>
      <c r="S142" s="30">
        <f t="shared" si="29"/>
        <v>23.361142857142859</v>
      </c>
      <c r="T142" s="30">
        <f t="shared" si="30"/>
        <v>34.591809523809523</v>
      </c>
      <c r="U142" s="25">
        <v>112</v>
      </c>
      <c r="V142" s="31">
        <f t="shared" si="31"/>
        <v>310.08000000000004</v>
      </c>
      <c r="W142" s="25">
        <v>228</v>
      </c>
      <c r="X142" s="25">
        <v>12</v>
      </c>
      <c r="Y142" s="25">
        <v>79</v>
      </c>
      <c r="Z142" s="31">
        <f t="shared" si="32"/>
        <v>185</v>
      </c>
      <c r="AA142" s="31">
        <f t="shared" si="33"/>
        <v>3</v>
      </c>
      <c r="AB142" s="31">
        <f t="shared" si="34"/>
        <v>8</v>
      </c>
      <c r="AC142" s="31" t="str">
        <f t="shared" si="35"/>
        <v/>
      </c>
      <c r="AD142" s="31" t="str">
        <f t="shared" si="36"/>
        <v/>
      </c>
      <c r="AE142" s="31" t="str">
        <f t="shared" si="37"/>
        <v/>
      </c>
      <c r="AF142" s="31" t="str">
        <f t="shared" si="38"/>
        <v/>
      </c>
      <c r="AG142" s="25">
        <v>11</v>
      </c>
      <c r="AH142" s="25">
        <v>0</v>
      </c>
      <c r="AI142" s="25">
        <v>0</v>
      </c>
      <c r="AJ142" s="23" t="s">
        <v>208</v>
      </c>
      <c r="AK142" s="23" t="s">
        <v>92</v>
      </c>
      <c r="AL142" s="25" t="s">
        <v>118</v>
      </c>
      <c r="AO142" s="32" t="str">
        <f t="shared" si="39"/>
        <v>2 doors</v>
      </c>
      <c r="AQ142" s="23" t="s">
        <v>33</v>
      </c>
      <c r="AR142" s="23" t="str">
        <f t="shared" si="41"/>
        <v>CC</v>
      </c>
      <c r="AS142" s="34">
        <f t="shared" si="40"/>
        <v>7100.01</v>
      </c>
      <c r="AT142" s="23">
        <v>71</v>
      </c>
      <c r="AU142" s="23">
        <v>0</v>
      </c>
      <c r="AV142" s="23">
        <v>1</v>
      </c>
    </row>
    <row r="143" spans="1:48">
      <c r="A143" s="25" t="s">
        <v>118</v>
      </c>
      <c r="D143" s="23">
        <v>2</v>
      </c>
      <c r="E143" s="25" t="s">
        <v>46</v>
      </c>
      <c r="F143" s="25" t="s">
        <v>46</v>
      </c>
      <c r="G143" s="23" t="s">
        <v>27</v>
      </c>
      <c r="H143" s="23" t="s">
        <v>200</v>
      </c>
      <c r="I143" s="25">
        <v>1993</v>
      </c>
      <c r="J143" s="35">
        <v>30</v>
      </c>
      <c r="K143" s="35">
        <v>40</v>
      </c>
      <c r="L143" s="35">
        <v>20</v>
      </c>
      <c r="M143" s="25">
        <v>14</v>
      </c>
      <c r="N143" s="25">
        <v>12</v>
      </c>
      <c r="R143" s="30">
        <f t="shared" si="28"/>
        <v>26</v>
      </c>
      <c r="S143" s="30">
        <f t="shared" si="29"/>
        <v>23.361142857142859</v>
      </c>
      <c r="T143" s="30">
        <f t="shared" si="30"/>
        <v>34.591809523809523</v>
      </c>
      <c r="U143" s="25">
        <v>112</v>
      </c>
      <c r="V143" s="31">
        <f t="shared" si="31"/>
        <v>310.08000000000004</v>
      </c>
      <c r="W143" s="25">
        <v>228</v>
      </c>
      <c r="X143" s="25">
        <v>12</v>
      </c>
      <c r="Y143" s="25">
        <v>79</v>
      </c>
      <c r="Z143" s="31">
        <f t="shared" si="32"/>
        <v>185</v>
      </c>
      <c r="AA143" s="31">
        <f t="shared" si="33"/>
        <v>3</v>
      </c>
      <c r="AB143" s="31">
        <f t="shared" si="34"/>
        <v>8</v>
      </c>
      <c r="AC143" s="31" t="str">
        <f t="shared" si="35"/>
        <v/>
      </c>
      <c r="AD143" s="31" t="str">
        <f t="shared" si="36"/>
        <v/>
      </c>
      <c r="AE143" s="31" t="str">
        <f t="shared" si="37"/>
        <v/>
      </c>
      <c r="AF143" s="31" t="str">
        <f t="shared" si="38"/>
        <v/>
      </c>
      <c r="AG143" s="25">
        <v>11</v>
      </c>
      <c r="AH143" s="25">
        <v>0</v>
      </c>
      <c r="AI143" s="25">
        <v>0</v>
      </c>
      <c r="AJ143" s="23" t="s">
        <v>208</v>
      </c>
      <c r="AK143" s="23" t="s">
        <v>92</v>
      </c>
      <c r="AL143" s="25" t="s">
        <v>118</v>
      </c>
      <c r="AO143" s="32" t="str">
        <f t="shared" si="39"/>
        <v>2 doors</v>
      </c>
      <c r="AQ143" s="23" t="s">
        <v>33</v>
      </c>
      <c r="AR143" s="23" t="str">
        <f t="shared" si="41"/>
        <v>Hungary</v>
      </c>
      <c r="AS143" s="34">
        <f t="shared" si="40"/>
        <v>7100.02</v>
      </c>
      <c r="AT143" s="23">
        <v>71</v>
      </c>
      <c r="AU143" s="23">
        <v>0</v>
      </c>
      <c r="AV143" s="23">
        <v>2</v>
      </c>
    </row>
    <row r="144" spans="1:48">
      <c r="A144" s="25" t="s">
        <v>118</v>
      </c>
      <c r="C144" s="23" t="s">
        <v>130</v>
      </c>
      <c r="D144" s="23">
        <v>2</v>
      </c>
      <c r="E144" s="25" t="s">
        <v>30</v>
      </c>
      <c r="F144" s="25" t="s">
        <v>30</v>
      </c>
      <c r="G144" s="23" t="s">
        <v>27</v>
      </c>
      <c r="H144" s="23" t="s">
        <v>201</v>
      </c>
      <c r="I144" s="25">
        <v>1993</v>
      </c>
      <c r="J144" s="35">
        <v>30</v>
      </c>
      <c r="K144" s="35">
        <v>40</v>
      </c>
      <c r="L144" s="35">
        <v>20</v>
      </c>
      <c r="M144" s="25">
        <v>14</v>
      </c>
      <c r="N144" s="25">
        <v>12</v>
      </c>
      <c r="R144" s="30">
        <f t="shared" si="28"/>
        <v>26</v>
      </c>
      <c r="S144" s="30">
        <f t="shared" si="29"/>
        <v>23.361142857142859</v>
      </c>
      <c r="T144" s="30">
        <f t="shared" si="30"/>
        <v>34.591809523809523</v>
      </c>
      <c r="U144" s="25">
        <v>112</v>
      </c>
      <c r="V144" s="31">
        <f t="shared" si="31"/>
        <v>310.08000000000004</v>
      </c>
      <c r="W144" s="25">
        <v>228</v>
      </c>
      <c r="X144" s="25">
        <v>12</v>
      </c>
      <c r="Y144" s="25">
        <v>79</v>
      </c>
      <c r="Z144" s="31">
        <f t="shared" si="32"/>
        <v>185</v>
      </c>
      <c r="AA144" s="31">
        <f t="shared" si="33"/>
        <v>3</v>
      </c>
      <c r="AB144" s="31">
        <f t="shared" si="34"/>
        <v>8</v>
      </c>
      <c r="AC144" s="31" t="str">
        <f t="shared" si="35"/>
        <v/>
      </c>
      <c r="AD144" s="31" t="str">
        <f t="shared" si="36"/>
        <v/>
      </c>
      <c r="AE144" s="31" t="str">
        <f t="shared" si="37"/>
        <v/>
      </c>
      <c r="AF144" s="31" t="str">
        <f t="shared" si="38"/>
        <v/>
      </c>
      <c r="AG144" s="25">
        <v>11</v>
      </c>
      <c r="AH144" s="25">
        <v>0</v>
      </c>
      <c r="AI144" s="25">
        <v>0</v>
      </c>
      <c r="AJ144" s="23" t="s">
        <v>208</v>
      </c>
      <c r="AK144" s="23" t="s">
        <v>92</v>
      </c>
      <c r="AL144" s="25" t="s">
        <v>118</v>
      </c>
      <c r="AO144" s="32" t="str">
        <f t="shared" si="39"/>
        <v>2 doors</v>
      </c>
      <c r="AQ144" s="23" t="s">
        <v>33</v>
      </c>
      <c r="AR144" s="23" t="str">
        <f t="shared" si="41"/>
        <v>CC</v>
      </c>
      <c r="AS144" s="34">
        <f t="shared" si="40"/>
        <v>7130</v>
      </c>
      <c r="AT144" s="23">
        <v>71</v>
      </c>
      <c r="AU144" s="23">
        <v>30</v>
      </c>
      <c r="AV144" s="23">
        <v>0</v>
      </c>
    </row>
    <row r="145" spans="1:48">
      <c r="A145" s="25" t="s">
        <v>118</v>
      </c>
      <c r="C145" s="23" t="s">
        <v>130</v>
      </c>
      <c r="D145" s="23">
        <v>2</v>
      </c>
      <c r="E145" s="25" t="s">
        <v>42</v>
      </c>
      <c r="F145" s="25" t="s">
        <v>42</v>
      </c>
      <c r="G145" s="23" t="s">
        <v>27</v>
      </c>
      <c r="H145" s="23" t="s">
        <v>201</v>
      </c>
      <c r="I145" s="25">
        <v>1993</v>
      </c>
      <c r="J145" s="35">
        <v>30</v>
      </c>
      <c r="K145" s="35">
        <v>40</v>
      </c>
      <c r="L145" s="35">
        <v>20</v>
      </c>
      <c r="M145" s="25">
        <v>14</v>
      </c>
      <c r="N145" s="25">
        <v>12</v>
      </c>
      <c r="R145" s="30">
        <f t="shared" si="28"/>
        <v>26</v>
      </c>
      <c r="S145" s="30">
        <f t="shared" si="29"/>
        <v>23.361142857142859</v>
      </c>
      <c r="T145" s="30">
        <f t="shared" si="30"/>
        <v>34.591809523809523</v>
      </c>
      <c r="U145" s="25">
        <v>112</v>
      </c>
      <c r="V145" s="31">
        <f t="shared" si="31"/>
        <v>310.08000000000004</v>
      </c>
      <c r="W145" s="25">
        <v>228</v>
      </c>
      <c r="X145" s="25">
        <v>12</v>
      </c>
      <c r="Y145" s="25">
        <v>79</v>
      </c>
      <c r="Z145" s="31">
        <f t="shared" si="32"/>
        <v>185</v>
      </c>
      <c r="AA145" s="31">
        <f t="shared" si="33"/>
        <v>3</v>
      </c>
      <c r="AB145" s="31">
        <f t="shared" si="34"/>
        <v>8</v>
      </c>
      <c r="AC145" s="31" t="str">
        <f t="shared" si="35"/>
        <v/>
      </c>
      <c r="AD145" s="31" t="str">
        <f t="shared" si="36"/>
        <v/>
      </c>
      <c r="AE145" s="31" t="str">
        <f t="shared" si="37"/>
        <v/>
      </c>
      <c r="AF145" s="31" t="str">
        <f t="shared" si="38"/>
        <v/>
      </c>
      <c r="AG145" s="25">
        <v>11</v>
      </c>
      <c r="AH145" s="25">
        <v>0</v>
      </c>
      <c r="AI145" s="25">
        <v>0</v>
      </c>
      <c r="AJ145" s="23" t="s">
        <v>208</v>
      </c>
      <c r="AK145" s="23" t="s">
        <v>92</v>
      </c>
      <c r="AL145" s="25" t="s">
        <v>118</v>
      </c>
      <c r="AO145" s="32" t="str">
        <f t="shared" si="39"/>
        <v>2 doors</v>
      </c>
      <c r="AQ145" s="23" t="s">
        <v>33</v>
      </c>
      <c r="AR145" s="23" t="str">
        <f t="shared" si="41"/>
        <v>CC</v>
      </c>
      <c r="AS145" s="34">
        <f t="shared" si="40"/>
        <v>7130.01</v>
      </c>
      <c r="AT145" s="23">
        <v>71</v>
      </c>
      <c r="AU145" s="23">
        <v>30</v>
      </c>
      <c r="AV145" s="23">
        <v>1</v>
      </c>
    </row>
    <row r="146" spans="1:48">
      <c r="A146" s="25" t="s">
        <v>118</v>
      </c>
      <c r="C146" s="23" t="s">
        <v>130</v>
      </c>
      <c r="D146" s="23">
        <v>2</v>
      </c>
      <c r="E146" s="25" t="s">
        <v>46</v>
      </c>
      <c r="F146" s="25" t="s">
        <v>46</v>
      </c>
      <c r="G146" s="23" t="s">
        <v>27</v>
      </c>
      <c r="H146" s="23" t="s">
        <v>201</v>
      </c>
      <c r="I146" s="25">
        <v>1993</v>
      </c>
      <c r="J146" s="35">
        <v>30</v>
      </c>
      <c r="K146" s="35">
        <v>40</v>
      </c>
      <c r="L146" s="35">
        <v>20</v>
      </c>
      <c r="M146" s="25">
        <v>14</v>
      </c>
      <c r="N146" s="25">
        <v>12</v>
      </c>
      <c r="R146" s="30">
        <f t="shared" si="28"/>
        <v>26</v>
      </c>
      <c r="S146" s="30">
        <f t="shared" si="29"/>
        <v>23.361142857142859</v>
      </c>
      <c r="T146" s="30">
        <f t="shared" si="30"/>
        <v>34.591809523809523</v>
      </c>
      <c r="U146" s="25">
        <v>112</v>
      </c>
      <c r="V146" s="31">
        <f t="shared" si="31"/>
        <v>310.08000000000004</v>
      </c>
      <c r="W146" s="25">
        <v>228</v>
      </c>
      <c r="X146" s="25">
        <v>12</v>
      </c>
      <c r="Y146" s="25">
        <v>79</v>
      </c>
      <c r="Z146" s="31">
        <f t="shared" si="32"/>
        <v>185</v>
      </c>
      <c r="AA146" s="31">
        <f t="shared" si="33"/>
        <v>3</v>
      </c>
      <c r="AB146" s="31">
        <f t="shared" si="34"/>
        <v>8</v>
      </c>
      <c r="AC146" s="31" t="str">
        <f t="shared" si="35"/>
        <v/>
      </c>
      <c r="AD146" s="31" t="str">
        <f t="shared" si="36"/>
        <v/>
      </c>
      <c r="AE146" s="31" t="str">
        <f t="shared" si="37"/>
        <v/>
      </c>
      <c r="AF146" s="31" t="str">
        <f t="shared" si="38"/>
        <v/>
      </c>
      <c r="AG146" s="25">
        <v>11</v>
      </c>
      <c r="AH146" s="25">
        <v>0</v>
      </c>
      <c r="AI146" s="25">
        <v>0</v>
      </c>
      <c r="AJ146" s="23" t="s">
        <v>208</v>
      </c>
      <c r="AK146" s="23" t="s">
        <v>92</v>
      </c>
      <c r="AL146" s="25" t="s">
        <v>118</v>
      </c>
      <c r="AO146" s="32" t="str">
        <f t="shared" si="39"/>
        <v>2 doors</v>
      </c>
      <c r="AQ146" s="23" t="s">
        <v>33</v>
      </c>
      <c r="AR146" s="23" t="str">
        <f t="shared" si="41"/>
        <v>Hungary</v>
      </c>
      <c r="AS146" s="34">
        <f t="shared" si="40"/>
        <v>7130.02</v>
      </c>
      <c r="AT146" s="23">
        <v>71</v>
      </c>
      <c r="AU146" s="23">
        <v>30</v>
      </c>
      <c r="AV146" s="23">
        <v>2</v>
      </c>
    </row>
    <row r="147" spans="1:48">
      <c r="A147" s="25" t="s">
        <v>115</v>
      </c>
      <c r="D147" s="23">
        <v>2</v>
      </c>
      <c r="E147" s="25" t="s">
        <v>30</v>
      </c>
      <c r="F147" s="25" t="s">
        <v>30</v>
      </c>
      <c r="G147" s="23" t="s">
        <v>27</v>
      </c>
      <c r="H147" s="23" t="s">
        <v>197</v>
      </c>
      <c r="I147" s="25">
        <v>2001</v>
      </c>
      <c r="J147" s="35">
        <v>30</v>
      </c>
      <c r="K147" s="35">
        <v>40</v>
      </c>
      <c r="L147" s="35">
        <v>20</v>
      </c>
      <c r="M147" s="25">
        <v>14</v>
      </c>
      <c r="N147" s="25">
        <v>14</v>
      </c>
      <c r="R147" s="30">
        <f t="shared" si="28"/>
        <v>28</v>
      </c>
      <c r="S147" s="30">
        <f t="shared" si="29"/>
        <v>18.516000000000002</v>
      </c>
      <c r="T147" s="30">
        <f t="shared" si="30"/>
        <v>25.61866666666667</v>
      </c>
      <c r="U147" s="25">
        <v>98</v>
      </c>
      <c r="V147" s="31">
        <f t="shared" si="31"/>
        <v>220.32000000000002</v>
      </c>
      <c r="W147" s="25">
        <v>162</v>
      </c>
      <c r="X147" s="25">
        <v>11</v>
      </c>
      <c r="Y147" s="25">
        <v>73</v>
      </c>
      <c r="Z147" s="31">
        <f t="shared" si="32"/>
        <v>185</v>
      </c>
      <c r="AA147" s="31">
        <f t="shared" si="33"/>
        <v>3</v>
      </c>
      <c r="AB147" s="31">
        <f t="shared" si="34"/>
        <v>8</v>
      </c>
      <c r="AC147" s="31" t="str">
        <f t="shared" si="35"/>
        <v/>
      </c>
      <c r="AD147" s="31" t="str">
        <f t="shared" si="36"/>
        <v/>
      </c>
      <c r="AE147" s="31" t="str">
        <f t="shared" si="37"/>
        <v/>
      </c>
      <c r="AF147" s="31" t="str">
        <f t="shared" si="38"/>
        <v/>
      </c>
      <c r="AG147" s="25">
        <v>11</v>
      </c>
      <c r="AH147" s="25">
        <v>0</v>
      </c>
      <c r="AI147" s="25">
        <v>0</v>
      </c>
      <c r="AJ147" s="23" t="s">
        <v>208</v>
      </c>
      <c r="AK147" s="23" t="s">
        <v>92</v>
      </c>
      <c r="AL147" s="25" t="s">
        <v>118</v>
      </c>
      <c r="AM147" s="28" t="s">
        <v>209</v>
      </c>
      <c r="AO147" s="32" t="str">
        <f t="shared" si="39"/>
        <v>2 doors</v>
      </c>
      <c r="AQ147" s="23" t="s">
        <v>33</v>
      </c>
      <c r="AR147" s="23" t="str">
        <f t="shared" si="41"/>
        <v>CC</v>
      </c>
      <c r="AS147" s="34">
        <f t="shared" si="40"/>
        <v>7150</v>
      </c>
      <c r="AT147" s="23">
        <v>71</v>
      </c>
      <c r="AU147" s="23">
        <v>50</v>
      </c>
      <c r="AV147" s="23">
        <v>0</v>
      </c>
    </row>
    <row r="148" spans="1:48">
      <c r="A148" s="25" t="s">
        <v>115</v>
      </c>
      <c r="D148" s="23">
        <v>2</v>
      </c>
      <c r="E148" s="25" t="s">
        <v>46</v>
      </c>
      <c r="F148" s="25" t="s">
        <v>46</v>
      </c>
      <c r="G148" s="23" t="s">
        <v>27</v>
      </c>
      <c r="H148" s="23" t="s">
        <v>197</v>
      </c>
      <c r="I148" s="25">
        <v>2001</v>
      </c>
      <c r="J148" s="35">
        <v>30</v>
      </c>
      <c r="K148" s="35">
        <v>40</v>
      </c>
      <c r="L148" s="35">
        <v>20</v>
      </c>
      <c r="M148" s="25">
        <v>14</v>
      </c>
      <c r="N148" s="25">
        <v>14</v>
      </c>
      <c r="R148" s="30">
        <f t="shared" si="28"/>
        <v>28</v>
      </c>
      <c r="S148" s="30">
        <f t="shared" si="29"/>
        <v>18.516000000000002</v>
      </c>
      <c r="T148" s="30">
        <f t="shared" si="30"/>
        <v>25.61866666666667</v>
      </c>
      <c r="U148" s="25">
        <v>98</v>
      </c>
      <c r="V148" s="31">
        <f t="shared" si="31"/>
        <v>220.32000000000002</v>
      </c>
      <c r="W148" s="25">
        <v>162</v>
      </c>
      <c r="X148" s="25">
        <v>11</v>
      </c>
      <c r="Y148" s="25">
        <v>73</v>
      </c>
      <c r="Z148" s="31">
        <f t="shared" si="32"/>
        <v>185</v>
      </c>
      <c r="AA148" s="31">
        <f t="shared" si="33"/>
        <v>3</v>
      </c>
      <c r="AB148" s="31">
        <f t="shared" si="34"/>
        <v>8</v>
      </c>
      <c r="AC148" s="31" t="str">
        <f t="shared" si="35"/>
        <v/>
      </c>
      <c r="AD148" s="31" t="str">
        <f t="shared" si="36"/>
        <v/>
      </c>
      <c r="AE148" s="31" t="str">
        <f t="shared" si="37"/>
        <v/>
      </c>
      <c r="AF148" s="31" t="str">
        <f t="shared" si="38"/>
        <v/>
      </c>
      <c r="AG148" s="25">
        <v>11</v>
      </c>
      <c r="AH148" s="25">
        <v>0</v>
      </c>
      <c r="AI148" s="25">
        <v>0</v>
      </c>
      <c r="AJ148" s="23" t="s">
        <v>208</v>
      </c>
      <c r="AK148" s="23" t="s">
        <v>92</v>
      </c>
      <c r="AL148" s="25" t="s">
        <v>118</v>
      </c>
      <c r="AM148" s="28" t="s">
        <v>209</v>
      </c>
      <c r="AO148" s="32" t="str">
        <f t="shared" si="39"/>
        <v>2 doors</v>
      </c>
      <c r="AQ148" s="23" t="s">
        <v>33</v>
      </c>
      <c r="AR148" s="23" t="str">
        <f t="shared" si="41"/>
        <v>Hungary</v>
      </c>
      <c r="AS148" s="34">
        <f t="shared" si="40"/>
        <v>7150.01</v>
      </c>
      <c r="AT148" s="23">
        <v>71</v>
      </c>
      <c r="AU148" s="23">
        <v>50</v>
      </c>
      <c r="AV148" s="23">
        <v>1</v>
      </c>
    </row>
    <row r="149" spans="1:48">
      <c r="A149" s="25" t="s">
        <v>117</v>
      </c>
      <c r="D149" s="23">
        <v>3</v>
      </c>
      <c r="E149" s="25" t="s">
        <v>30</v>
      </c>
      <c r="F149" s="25" t="s">
        <v>30</v>
      </c>
      <c r="G149" s="23" t="s">
        <v>27</v>
      </c>
      <c r="H149" s="23" t="s">
        <v>199</v>
      </c>
      <c r="I149" s="25">
        <v>2006</v>
      </c>
      <c r="J149" s="35">
        <v>30</v>
      </c>
      <c r="K149" s="35">
        <v>40</v>
      </c>
      <c r="L149" s="35">
        <v>20</v>
      </c>
      <c r="M149" s="25">
        <v>14</v>
      </c>
      <c r="N149" s="25">
        <v>14</v>
      </c>
      <c r="O149" s="25">
        <v>7</v>
      </c>
      <c r="R149" s="30">
        <f t="shared" si="28"/>
        <v>35</v>
      </c>
      <c r="S149" s="30">
        <f t="shared" si="29"/>
        <v>27.360000000000003</v>
      </c>
      <c r="T149" s="30">
        <f t="shared" si="30"/>
        <v>41.373333333333335</v>
      </c>
      <c r="U149" s="25">
        <v>104</v>
      </c>
      <c r="V149" s="31">
        <f t="shared" si="31"/>
        <v>367.20000000000005</v>
      </c>
      <c r="W149" s="25">
        <v>270</v>
      </c>
      <c r="X149" s="25">
        <v>13</v>
      </c>
      <c r="Y149" s="25">
        <v>128</v>
      </c>
      <c r="Z149" s="31">
        <f t="shared" si="32"/>
        <v>185</v>
      </c>
      <c r="AA149" s="31">
        <f t="shared" si="33"/>
        <v>5</v>
      </c>
      <c r="AB149" s="31">
        <f t="shared" si="34"/>
        <v>8</v>
      </c>
      <c r="AC149" s="31" t="str">
        <f t="shared" si="35"/>
        <v/>
      </c>
      <c r="AD149" s="31" t="str">
        <f t="shared" si="36"/>
        <v/>
      </c>
      <c r="AE149" s="31" t="str">
        <f t="shared" si="37"/>
        <v/>
      </c>
      <c r="AF149" s="31" t="str">
        <f t="shared" si="38"/>
        <v/>
      </c>
      <c r="AG149" s="25">
        <v>13</v>
      </c>
      <c r="AH149" s="25">
        <v>0</v>
      </c>
      <c r="AI149" s="25">
        <v>0</v>
      </c>
      <c r="AJ149" s="23" t="s">
        <v>208</v>
      </c>
      <c r="AK149" s="23" t="s">
        <v>92</v>
      </c>
      <c r="AL149" s="25" t="s">
        <v>227</v>
      </c>
      <c r="AM149" s="28" t="s">
        <v>209</v>
      </c>
      <c r="AO149" s="32" t="str">
        <f t="shared" si="39"/>
        <v>3 doors</v>
      </c>
      <c r="AQ149" s="23" t="s">
        <v>33</v>
      </c>
      <c r="AR149" s="23" t="str">
        <f t="shared" si="41"/>
        <v>CC</v>
      </c>
      <c r="AS149" s="34">
        <f t="shared" si="40"/>
        <v>7170</v>
      </c>
      <c r="AT149" s="23">
        <v>71</v>
      </c>
      <c r="AU149" s="23">
        <v>70</v>
      </c>
      <c r="AV149" s="23">
        <v>0</v>
      </c>
    </row>
    <row r="150" spans="1:48">
      <c r="A150" s="25" t="s">
        <v>117</v>
      </c>
      <c r="D150" s="23">
        <v>3</v>
      </c>
      <c r="E150" s="25" t="s">
        <v>46</v>
      </c>
      <c r="F150" s="25" t="s">
        <v>46</v>
      </c>
      <c r="G150" s="23" t="s">
        <v>27</v>
      </c>
      <c r="H150" s="23" t="s">
        <v>199</v>
      </c>
      <c r="I150" s="25">
        <v>2006</v>
      </c>
      <c r="J150" s="35">
        <v>30</v>
      </c>
      <c r="K150" s="35">
        <v>40</v>
      </c>
      <c r="L150" s="35">
        <v>20</v>
      </c>
      <c r="M150" s="25">
        <v>14</v>
      </c>
      <c r="N150" s="25">
        <v>14</v>
      </c>
      <c r="O150" s="25">
        <v>7</v>
      </c>
      <c r="R150" s="30">
        <f t="shared" si="28"/>
        <v>35</v>
      </c>
      <c r="S150" s="30">
        <f t="shared" si="29"/>
        <v>27.360000000000003</v>
      </c>
      <c r="T150" s="30">
        <f t="shared" si="30"/>
        <v>41.373333333333335</v>
      </c>
      <c r="U150" s="25">
        <v>104</v>
      </c>
      <c r="V150" s="31">
        <f t="shared" si="31"/>
        <v>367.20000000000005</v>
      </c>
      <c r="W150" s="25">
        <v>270</v>
      </c>
      <c r="X150" s="25">
        <v>13</v>
      </c>
      <c r="Y150" s="25">
        <v>128</v>
      </c>
      <c r="Z150" s="31">
        <f t="shared" si="32"/>
        <v>185</v>
      </c>
      <c r="AA150" s="31">
        <f t="shared" si="33"/>
        <v>5</v>
      </c>
      <c r="AB150" s="31">
        <f t="shared" si="34"/>
        <v>8</v>
      </c>
      <c r="AC150" s="31" t="str">
        <f t="shared" si="35"/>
        <v/>
      </c>
      <c r="AD150" s="31" t="str">
        <f t="shared" si="36"/>
        <v/>
      </c>
      <c r="AE150" s="31" t="str">
        <f t="shared" si="37"/>
        <v/>
      </c>
      <c r="AF150" s="31" t="str">
        <f t="shared" si="38"/>
        <v/>
      </c>
      <c r="AG150" s="25">
        <v>13</v>
      </c>
      <c r="AH150" s="25">
        <v>0</v>
      </c>
      <c r="AI150" s="25">
        <v>0</v>
      </c>
      <c r="AJ150" s="23" t="s">
        <v>208</v>
      </c>
      <c r="AK150" s="23" t="s">
        <v>92</v>
      </c>
      <c r="AL150" s="25" t="s">
        <v>227</v>
      </c>
      <c r="AM150" s="28" t="s">
        <v>209</v>
      </c>
      <c r="AO150" s="32" t="str">
        <f t="shared" si="39"/>
        <v>3 doors</v>
      </c>
      <c r="AQ150" s="23" t="s">
        <v>33</v>
      </c>
      <c r="AR150" s="23" t="str">
        <f t="shared" si="41"/>
        <v>Hungary</v>
      </c>
      <c r="AS150" s="34">
        <f t="shared" si="40"/>
        <v>7170.01</v>
      </c>
      <c r="AT150" s="23">
        <v>71</v>
      </c>
      <c r="AU150" s="23">
        <v>70</v>
      </c>
      <c r="AV150" s="23">
        <v>1</v>
      </c>
    </row>
    <row r="151" spans="1:48">
      <c r="A151" s="25" t="s">
        <v>116</v>
      </c>
      <c r="D151" s="23">
        <v>3</v>
      </c>
      <c r="E151" s="25" t="s">
        <v>30</v>
      </c>
      <c r="F151" s="25" t="s">
        <v>30</v>
      </c>
      <c r="G151" s="23" t="s">
        <v>27</v>
      </c>
      <c r="H151" s="23" t="s">
        <v>198</v>
      </c>
      <c r="I151" s="25">
        <v>1997</v>
      </c>
      <c r="J151" s="35">
        <v>30</v>
      </c>
      <c r="K151" s="35">
        <v>40</v>
      </c>
      <c r="L151" s="35">
        <v>20</v>
      </c>
      <c r="M151" s="25">
        <v>12</v>
      </c>
      <c r="N151" s="25">
        <v>12</v>
      </c>
      <c r="O151" s="25">
        <v>12</v>
      </c>
      <c r="R151" s="30">
        <f t="shared" si="28"/>
        <v>36</v>
      </c>
      <c r="S151" s="30">
        <f t="shared" si="29"/>
        <v>29.111428571428572</v>
      </c>
      <c r="T151" s="30">
        <f t="shared" si="30"/>
        <v>43.118095238095236</v>
      </c>
      <c r="U151" s="25">
        <v>94</v>
      </c>
      <c r="V151" s="31">
        <f t="shared" si="31"/>
        <v>380.8</v>
      </c>
      <c r="W151" s="25">
        <v>280</v>
      </c>
      <c r="X151" s="25">
        <v>15</v>
      </c>
      <c r="Y151" s="25">
        <v>145</v>
      </c>
      <c r="Z151" s="31">
        <f t="shared" si="32"/>
        <v>185</v>
      </c>
      <c r="AA151" s="31">
        <f t="shared" si="33"/>
        <v>2</v>
      </c>
      <c r="AB151" s="31">
        <f t="shared" si="34"/>
        <v>8</v>
      </c>
      <c r="AC151" s="31">
        <f t="shared" si="35"/>
        <v>7</v>
      </c>
      <c r="AD151" s="31" t="str">
        <f t="shared" si="36"/>
        <v/>
      </c>
      <c r="AE151" s="31" t="str">
        <f t="shared" si="37"/>
        <v/>
      </c>
      <c r="AF151" s="31" t="str">
        <f t="shared" si="38"/>
        <v/>
      </c>
      <c r="AG151" s="25">
        <v>10</v>
      </c>
      <c r="AH151" s="25">
        <v>7</v>
      </c>
      <c r="AI151" s="25">
        <v>0</v>
      </c>
      <c r="AJ151" s="23" t="s">
        <v>208</v>
      </c>
      <c r="AK151" s="23" t="s">
        <v>92</v>
      </c>
      <c r="AL151" s="25" t="s">
        <v>116</v>
      </c>
      <c r="AO151" s="32" t="str">
        <f t="shared" si="39"/>
        <v>3 doors</v>
      </c>
      <c r="AQ151" s="23" t="s">
        <v>33</v>
      </c>
      <c r="AR151" s="23" t="str">
        <f t="shared" si="41"/>
        <v>CC</v>
      </c>
      <c r="AS151" s="34">
        <f t="shared" si="40"/>
        <v>7180</v>
      </c>
      <c r="AT151" s="23">
        <v>71</v>
      </c>
      <c r="AU151" s="23">
        <v>80</v>
      </c>
      <c r="AV151" s="23">
        <v>0</v>
      </c>
    </row>
    <row r="152" spans="1:48">
      <c r="A152" s="25" t="s">
        <v>116</v>
      </c>
      <c r="D152" s="23">
        <v>3</v>
      </c>
      <c r="E152" s="25" t="s">
        <v>46</v>
      </c>
      <c r="F152" s="25" t="s">
        <v>46</v>
      </c>
      <c r="G152" s="23" t="s">
        <v>27</v>
      </c>
      <c r="H152" s="23" t="s">
        <v>198</v>
      </c>
      <c r="I152" s="25">
        <v>1997</v>
      </c>
      <c r="J152" s="35">
        <v>30</v>
      </c>
      <c r="K152" s="35">
        <v>40</v>
      </c>
      <c r="L152" s="35">
        <v>20</v>
      </c>
      <c r="M152" s="25">
        <v>12</v>
      </c>
      <c r="N152" s="25">
        <v>12</v>
      </c>
      <c r="O152" s="25">
        <v>12</v>
      </c>
      <c r="R152" s="30">
        <f t="shared" si="28"/>
        <v>36</v>
      </c>
      <c r="S152" s="30">
        <f t="shared" si="29"/>
        <v>29.111428571428572</v>
      </c>
      <c r="T152" s="30">
        <f t="shared" si="30"/>
        <v>43.118095238095236</v>
      </c>
      <c r="U152" s="25">
        <v>94</v>
      </c>
      <c r="V152" s="31">
        <f t="shared" si="31"/>
        <v>380.8</v>
      </c>
      <c r="W152" s="25">
        <v>280</v>
      </c>
      <c r="X152" s="25">
        <v>15</v>
      </c>
      <c r="Y152" s="25">
        <v>145</v>
      </c>
      <c r="Z152" s="31">
        <f t="shared" si="32"/>
        <v>185</v>
      </c>
      <c r="AA152" s="31">
        <f t="shared" si="33"/>
        <v>2</v>
      </c>
      <c r="AB152" s="31">
        <f t="shared" si="34"/>
        <v>8</v>
      </c>
      <c r="AC152" s="31">
        <f t="shared" si="35"/>
        <v>7</v>
      </c>
      <c r="AD152" s="31" t="str">
        <f t="shared" si="36"/>
        <v/>
      </c>
      <c r="AE152" s="31" t="str">
        <f t="shared" si="37"/>
        <v/>
      </c>
      <c r="AF152" s="31" t="str">
        <f t="shared" si="38"/>
        <v/>
      </c>
      <c r="AG152" s="25">
        <v>10</v>
      </c>
      <c r="AH152" s="25">
        <v>7</v>
      </c>
      <c r="AI152" s="25">
        <v>0</v>
      </c>
      <c r="AJ152" s="23" t="s">
        <v>208</v>
      </c>
      <c r="AK152" s="23" t="s">
        <v>92</v>
      </c>
      <c r="AL152" s="25" t="s">
        <v>116</v>
      </c>
      <c r="AO152" s="32" t="str">
        <f t="shared" si="39"/>
        <v>3 doors</v>
      </c>
      <c r="AQ152" s="23" t="s">
        <v>33</v>
      </c>
      <c r="AR152" s="23" t="str">
        <f t="shared" si="41"/>
        <v>Hungary</v>
      </c>
      <c r="AS152" s="34">
        <f t="shared" si="40"/>
        <v>7180.01</v>
      </c>
      <c r="AT152" s="23">
        <v>71</v>
      </c>
      <c r="AU152" s="23">
        <v>80</v>
      </c>
      <c r="AV152" s="23">
        <v>1</v>
      </c>
    </row>
    <row r="153" spans="1:48">
      <c r="A153" s="25" t="s">
        <v>113</v>
      </c>
      <c r="D153" s="23">
        <v>2</v>
      </c>
      <c r="E153" s="25" t="s">
        <v>30</v>
      </c>
      <c r="F153" s="25" t="s">
        <v>30</v>
      </c>
      <c r="G153" s="23" t="s">
        <v>27</v>
      </c>
      <c r="H153" s="23" t="s">
        <v>194</v>
      </c>
      <c r="I153" s="25">
        <v>1997</v>
      </c>
      <c r="J153" s="35">
        <v>30</v>
      </c>
      <c r="K153" s="35">
        <v>40</v>
      </c>
      <c r="L153" s="35">
        <v>20</v>
      </c>
      <c r="M153" s="25">
        <v>7</v>
      </c>
      <c r="N153" s="25">
        <v>14</v>
      </c>
      <c r="R153" s="30">
        <f t="shared" si="28"/>
        <v>21</v>
      </c>
      <c r="S153" s="30">
        <f t="shared" si="29"/>
        <v>12.752000000000001</v>
      </c>
      <c r="T153" s="30">
        <f t="shared" si="30"/>
        <v>17.944000000000003</v>
      </c>
      <c r="U153" s="25">
        <v>70</v>
      </c>
      <c r="V153" s="31">
        <f t="shared" si="31"/>
        <v>155.04000000000002</v>
      </c>
      <c r="W153" s="25">
        <v>114</v>
      </c>
      <c r="X153" s="25">
        <v>7</v>
      </c>
      <c r="Y153" s="25">
        <v>36</v>
      </c>
      <c r="Z153" s="31">
        <f t="shared" si="32"/>
        <v>185</v>
      </c>
      <c r="AA153" s="31">
        <f t="shared" si="33"/>
        <v>8</v>
      </c>
      <c r="AB153" s="31" t="str">
        <f t="shared" si="34"/>
        <v/>
      </c>
      <c r="AC153" s="31" t="str">
        <f t="shared" si="35"/>
        <v/>
      </c>
      <c r="AD153" s="31" t="str">
        <f t="shared" si="36"/>
        <v/>
      </c>
      <c r="AE153" s="31" t="str">
        <f t="shared" si="37"/>
        <v/>
      </c>
      <c r="AF153" s="31" t="str">
        <f t="shared" si="38"/>
        <v/>
      </c>
      <c r="AG153" s="25">
        <v>8</v>
      </c>
      <c r="AH153" s="25">
        <v>0</v>
      </c>
      <c r="AI153" s="25">
        <v>0</v>
      </c>
      <c r="AJ153" s="23" t="s">
        <v>208</v>
      </c>
      <c r="AK153" s="23" t="s">
        <v>92</v>
      </c>
      <c r="AL153" s="25" t="s">
        <v>113</v>
      </c>
      <c r="AO153" s="32" t="str">
        <f t="shared" si="39"/>
        <v>2 doors</v>
      </c>
      <c r="AQ153" s="23" t="s">
        <v>33</v>
      </c>
      <c r="AR153" s="23" t="str">
        <f t="shared" si="41"/>
        <v>CC</v>
      </c>
      <c r="AS153" s="34">
        <f t="shared" si="40"/>
        <v>7200</v>
      </c>
      <c r="AT153" s="23">
        <v>72</v>
      </c>
      <c r="AU153" s="23">
        <v>0</v>
      </c>
      <c r="AV153" s="23">
        <v>0</v>
      </c>
    </row>
    <row r="154" spans="1:48">
      <c r="A154" s="25" t="s">
        <v>113</v>
      </c>
      <c r="C154" s="23" t="s">
        <v>129</v>
      </c>
      <c r="D154" s="23">
        <v>2</v>
      </c>
      <c r="E154" s="25" t="s">
        <v>30</v>
      </c>
      <c r="F154" s="25" t="s">
        <v>30</v>
      </c>
      <c r="G154" s="23" t="s">
        <v>27</v>
      </c>
      <c r="H154" s="23" t="s">
        <v>195</v>
      </c>
      <c r="I154" s="25">
        <v>2000</v>
      </c>
      <c r="J154" s="35">
        <v>30</v>
      </c>
      <c r="K154" s="35">
        <v>40</v>
      </c>
      <c r="L154" s="35">
        <v>20</v>
      </c>
      <c r="M154" s="25">
        <v>7</v>
      </c>
      <c r="N154" s="25">
        <v>14</v>
      </c>
      <c r="R154" s="30">
        <f t="shared" si="28"/>
        <v>21</v>
      </c>
      <c r="S154" s="30">
        <f t="shared" si="29"/>
        <v>13.5</v>
      </c>
      <c r="T154" s="30">
        <f t="shared" si="30"/>
        <v>19.440000000000001</v>
      </c>
      <c r="U154" s="25">
        <v>70</v>
      </c>
      <c r="V154" s="31">
        <f t="shared" si="31"/>
        <v>170</v>
      </c>
      <c r="W154" s="25">
        <v>125</v>
      </c>
      <c r="X154" s="25">
        <v>7</v>
      </c>
      <c r="Y154" s="25">
        <v>36</v>
      </c>
      <c r="Z154" s="31">
        <f t="shared" si="32"/>
        <v>185</v>
      </c>
      <c r="AA154" s="31">
        <f t="shared" si="33"/>
        <v>8</v>
      </c>
      <c r="AB154" s="31" t="str">
        <f t="shared" si="34"/>
        <v/>
      </c>
      <c r="AC154" s="31" t="str">
        <f t="shared" si="35"/>
        <v/>
      </c>
      <c r="AD154" s="31" t="str">
        <f t="shared" si="36"/>
        <v/>
      </c>
      <c r="AE154" s="31" t="str">
        <f t="shared" si="37"/>
        <v/>
      </c>
      <c r="AF154" s="31" t="str">
        <f t="shared" si="38"/>
        <v/>
      </c>
      <c r="AG154" s="25">
        <v>8</v>
      </c>
      <c r="AH154" s="25">
        <v>0</v>
      </c>
      <c r="AI154" s="25">
        <v>0</v>
      </c>
      <c r="AJ154" s="23" t="s">
        <v>208</v>
      </c>
      <c r="AK154" s="23" t="s">
        <v>92</v>
      </c>
      <c r="AL154" s="25" t="s">
        <v>113</v>
      </c>
      <c r="AM154" s="28" t="s">
        <v>209</v>
      </c>
      <c r="AO154" s="32" t="str">
        <f t="shared" si="39"/>
        <v>2 doors</v>
      </c>
      <c r="AQ154" s="23" t="s">
        <v>33</v>
      </c>
      <c r="AR154" s="23" t="str">
        <f t="shared" si="41"/>
        <v>CC</v>
      </c>
      <c r="AS154" s="34">
        <f t="shared" si="40"/>
        <v>7220</v>
      </c>
      <c r="AT154" s="23">
        <v>72</v>
      </c>
      <c r="AU154" s="23">
        <v>20</v>
      </c>
      <c r="AV154" s="23">
        <v>0</v>
      </c>
    </row>
    <row r="155" spans="1:48">
      <c r="A155" s="25" t="s">
        <v>113</v>
      </c>
      <c r="C155" s="23" t="s">
        <v>129</v>
      </c>
      <c r="D155" s="23">
        <v>2</v>
      </c>
      <c r="E155" s="25" t="s">
        <v>46</v>
      </c>
      <c r="F155" s="25" t="s">
        <v>46</v>
      </c>
      <c r="G155" s="23" t="s">
        <v>27</v>
      </c>
      <c r="H155" s="23" t="s">
        <v>195</v>
      </c>
      <c r="I155" s="25">
        <v>2000</v>
      </c>
      <c r="J155" s="35">
        <v>30</v>
      </c>
      <c r="K155" s="35">
        <v>40</v>
      </c>
      <c r="L155" s="35">
        <v>20</v>
      </c>
      <c r="M155" s="25">
        <v>7</v>
      </c>
      <c r="N155" s="25">
        <v>14</v>
      </c>
      <c r="R155" s="30">
        <f t="shared" si="28"/>
        <v>21</v>
      </c>
      <c r="S155" s="30">
        <f t="shared" si="29"/>
        <v>13.5</v>
      </c>
      <c r="T155" s="30">
        <f t="shared" si="30"/>
        <v>19.440000000000001</v>
      </c>
      <c r="U155" s="25">
        <v>70</v>
      </c>
      <c r="V155" s="31">
        <f t="shared" si="31"/>
        <v>170</v>
      </c>
      <c r="W155" s="25">
        <v>125</v>
      </c>
      <c r="X155" s="25">
        <v>7</v>
      </c>
      <c r="Y155" s="25">
        <v>36</v>
      </c>
      <c r="Z155" s="31">
        <f t="shared" si="32"/>
        <v>185</v>
      </c>
      <c r="AA155" s="31">
        <f t="shared" si="33"/>
        <v>8</v>
      </c>
      <c r="AB155" s="31" t="str">
        <f t="shared" si="34"/>
        <v/>
      </c>
      <c r="AC155" s="31" t="str">
        <f t="shared" si="35"/>
        <v/>
      </c>
      <c r="AD155" s="31" t="str">
        <f t="shared" si="36"/>
        <v/>
      </c>
      <c r="AE155" s="31" t="str">
        <f t="shared" si="37"/>
        <v/>
      </c>
      <c r="AF155" s="31" t="str">
        <f t="shared" si="38"/>
        <v/>
      </c>
      <c r="AG155" s="25">
        <v>8</v>
      </c>
      <c r="AH155" s="25">
        <v>0</v>
      </c>
      <c r="AI155" s="25">
        <v>0</v>
      </c>
      <c r="AJ155" s="23" t="s">
        <v>208</v>
      </c>
      <c r="AK155" s="23" t="s">
        <v>92</v>
      </c>
      <c r="AL155" s="25" t="s">
        <v>113</v>
      </c>
      <c r="AM155" s="28" t="s">
        <v>209</v>
      </c>
      <c r="AO155" s="32" t="str">
        <f t="shared" si="39"/>
        <v>2 doors</v>
      </c>
      <c r="AQ155" s="23" t="s">
        <v>33</v>
      </c>
      <c r="AR155" s="23" t="str">
        <f t="shared" si="41"/>
        <v>Hungary</v>
      </c>
      <c r="AS155" s="34">
        <f t="shared" si="40"/>
        <v>7220.01</v>
      </c>
      <c r="AT155" s="23">
        <v>72</v>
      </c>
      <c r="AU155" s="23">
        <v>20</v>
      </c>
      <c r="AV155" s="23">
        <v>1</v>
      </c>
    </row>
    <row r="156" spans="1:48">
      <c r="A156" s="25" t="s">
        <v>114</v>
      </c>
      <c r="D156" s="23">
        <v>3</v>
      </c>
      <c r="E156" s="25" t="s">
        <v>30</v>
      </c>
      <c r="F156" s="25" t="s">
        <v>30</v>
      </c>
      <c r="G156" s="23" t="s">
        <v>27</v>
      </c>
      <c r="H156" s="23" t="s">
        <v>196</v>
      </c>
      <c r="I156" s="25">
        <v>1999</v>
      </c>
      <c r="J156" s="35">
        <v>30</v>
      </c>
      <c r="K156" s="35">
        <v>40</v>
      </c>
      <c r="L156" s="35">
        <v>20</v>
      </c>
      <c r="M156" s="25">
        <v>6</v>
      </c>
      <c r="N156" s="25">
        <v>12</v>
      </c>
      <c r="O156" s="25">
        <v>6</v>
      </c>
      <c r="R156" s="30">
        <f t="shared" si="28"/>
        <v>24</v>
      </c>
      <c r="S156" s="30">
        <f t="shared" si="29"/>
        <v>14.826285714285714</v>
      </c>
      <c r="T156" s="30">
        <f t="shared" si="30"/>
        <v>21.144952380952382</v>
      </c>
      <c r="U156" s="25">
        <v>76</v>
      </c>
      <c r="V156" s="31">
        <f t="shared" si="31"/>
        <v>182.24</v>
      </c>
      <c r="W156" s="25">
        <v>134</v>
      </c>
      <c r="X156" s="25">
        <v>8</v>
      </c>
      <c r="Y156" s="25">
        <v>61</v>
      </c>
      <c r="Z156" s="31">
        <f t="shared" si="32"/>
        <v>185</v>
      </c>
      <c r="AA156" s="31">
        <f t="shared" si="33"/>
        <v>8</v>
      </c>
      <c r="AB156" s="31" t="str">
        <f t="shared" si="34"/>
        <v/>
      </c>
      <c r="AC156" s="31" t="str">
        <f t="shared" si="35"/>
        <v/>
      </c>
      <c r="AD156" s="31" t="str">
        <f t="shared" si="36"/>
        <v/>
      </c>
      <c r="AE156" s="31" t="str">
        <f t="shared" si="37"/>
        <v/>
      </c>
      <c r="AF156" s="31" t="str">
        <f t="shared" si="38"/>
        <v/>
      </c>
      <c r="AG156" s="25">
        <v>8</v>
      </c>
      <c r="AH156" s="25">
        <v>0</v>
      </c>
      <c r="AI156" s="25">
        <v>0</v>
      </c>
      <c r="AJ156" s="23" t="s">
        <v>208</v>
      </c>
      <c r="AK156" s="23" t="s">
        <v>92</v>
      </c>
      <c r="AL156" s="25" t="s">
        <v>114</v>
      </c>
      <c r="AO156" s="32" t="str">
        <f t="shared" si="39"/>
        <v>3 doors</v>
      </c>
      <c r="AP156" s="23" t="s">
        <v>247</v>
      </c>
      <c r="AQ156" s="23" t="s">
        <v>33</v>
      </c>
      <c r="AR156" s="23" t="str">
        <f t="shared" si="41"/>
        <v>CC</v>
      </c>
      <c r="AS156" s="34">
        <f t="shared" si="40"/>
        <v>7240</v>
      </c>
      <c r="AT156" s="23">
        <v>72</v>
      </c>
      <c r="AU156" s="23">
        <v>40</v>
      </c>
      <c r="AV156" s="23">
        <v>0</v>
      </c>
    </row>
    <row r="157" spans="1:48">
      <c r="A157" s="25" t="s">
        <v>114</v>
      </c>
      <c r="D157" s="23">
        <v>3</v>
      </c>
      <c r="E157" s="25" t="s">
        <v>213</v>
      </c>
      <c r="F157" s="25" t="s">
        <v>213</v>
      </c>
      <c r="G157" s="23" t="s">
        <v>27</v>
      </c>
      <c r="H157" s="23" t="s">
        <v>196</v>
      </c>
      <c r="I157" s="25">
        <v>1999</v>
      </c>
      <c r="J157" s="35">
        <v>30</v>
      </c>
      <c r="K157" s="35">
        <v>40</v>
      </c>
      <c r="L157" s="35">
        <v>20</v>
      </c>
      <c r="M157" s="25">
        <v>6</v>
      </c>
      <c r="N157" s="25">
        <v>12</v>
      </c>
      <c r="O157" s="25">
        <v>6</v>
      </c>
      <c r="R157" s="30">
        <f t="shared" si="28"/>
        <v>24</v>
      </c>
      <c r="S157" s="30">
        <f t="shared" si="29"/>
        <v>14.826285714285714</v>
      </c>
      <c r="T157" s="30">
        <f t="shared" si="30"/>
        <v>21.144952380952382</v>
      </c>
      <c r="U157" s="25">
        <v>76</v>
      </c>
      <c r="V157" s="31">
        <f t="shared" si="31"/>
        <v>182.24</v>
      </c>
      <c r="W157" s="25">
        <v>134</v>
      </c>
      <c r="X157" s="25">
        <v>8</v>
      </c>
      <c r="Y157" s="25">
        <v>61</v>
      </c>
      <c r="Z157" s="31">
        <f t="shared" si="32"/>
        <v>185</v>
      </c>
      <c r="AA157" s="31">
        <f t="shared" si="33"/>
        <v>8</v>
      </c>
      <c r="AB157" s="31" t="str">
        <f t="shared" si="34"/>
        <v/>
      </c>
      <c r="AC157" s="31" t="str">
        <f t="shared" si="35"/>
        <v/>
      </c>
      <c r="AD157" s="31" t="str">
        <f t="shared" si="36"/>
        <v/>
      </c>
      <c r="AE157" s="31" t="str">
        <f t="shared" si="37"/>
        <v/>
      </c>
      <c r="AF157" s="31" t="str">
        <f t="shared" si="38"/>
        <v/>
      </c>
      <c r="AG157" s="25">
        <v>8</v>
      </c>
      <c r="AH157" s="25">
        <v>0</v>
      </c>
      <c r="AI157" s="25">
        <v>0</v>
      </c>
      <c r="AJ157" s="23" t="s">
        <v>208</v>
      </c>
      <c r="AK157" s="23" t="s">
        <v>92</v>
      </c>
      <c r="AL157" s="25" t="s">
        <v>114</v>
      </c>
      <c r="AO157" s="32" t="str">
        <f t="shared" si="39"/>
        <v>3 doors</v>
      </c>
      <c r="AP157" s="23" t="s">
        <v>247</v>
      </c>
      <c r="AQ157" s="23" t="s">
        <v>33</v>
      </c>
      <c r="AR157" s="23" t="str">
        <f t="shared" si="41"/>
        <v>Hungary</v>
      </c>
      <c r="AS157" s="34">
        <f t="shared" si="40"/>
        <v>7240.01</v>
      </c>
      <c r="AT157" s="23">
        <v>72</v>
      </c>
      <c r="AU157" s="23">
        <v>40</v>
      </c>
      <c r="AV157" s="23">
        <v>1</v>
      </c>
    </row>
    <row r="158" spans="1:48">
      <c r="A158" s="25" t="s">
        <v>93</v>
      </c>
      <c r="D158" s="23">
        <v>2</v>
      </c>
      <c r="E158" s="25" t="s">
        <v>30</v>
      </c>
      <c r="F158" s="25" t="s">
        <v>30</v>
      </c>
      <c r="G158" s="23" t="s">
        <v>27</v>
      </c>
      <c r="H158" s="23" t="s">
        <v>203</v>
      </c>
      <c r="I158" s="25">
        <v>1993</v>
      </c>
      <c r="J158" s="35">
        <v>30</v>
      </c>
      <c r="K158" s="35">
        <v>40</v>
      </c>
      <c r="L158" s="35">
        <v>20</v>
      </c>
      <c r="M158" s="25">
        <v>4</v>
      </c>
      <c r="N158" s="25">
        <v>4</v>
      </c>
      <c r="R158" s="30">
        <f t="shared" si="28"/>
        <v>8</v>
      </c>
      <c r="S158" s="30">
        <f t="shared" si="29"/>
        <v>27.063428571428574</v>
      </c>
      <c r="T158" s="30">
        <f t="shared" si="30"/>
        <v>42.175428571428569</v>
      </c>
      <c r="U158" s="25">
        <v>145</v>
      </c>
      <c r="V158" s="31">
        <f t="shared" si="31"/>
        <v>399.84000000000003</v>
      </c>
      <c r="W158" s="25">
        <v>294</v>
      </c>
      <c r="X158" s="25">
        <v>13</v>
      </c>
      <c r="Y158" s="25">
        <v>48</v>
      </c>
      <c r="Z158" s="31">
        <f t="shared" si="32"/>
        <v>150</v>
      </c>
      <c r="AA158" s="31">
        <f t="shared" si="33"/>
        <v>3</v>
      </c>
      <c r="AB158" s="31">
        <f t="shared" si="34"/>
        <v>8</v>
      </c>
      <c r="AC158" s="31" t="str">
        <f t="shared" si="35"/>
        <v/>
      </c>
      <c r="AD158" s="31" t="str">
        <f t="shared" si="36"/>
        <v/>
      </c>
      <c r="AE158" s="31" t="str">
        <f t="shared" si="37"/>
        <v/>
      </c>
      <c r="AF158" s="31" t="str">
        <f t="shared" si="38"/>
        <v/>
      </c>
      <c r="AG158" s="25">
        <v>11</v>
      </c>
      <c r="AH158" s="25">
        <v>0</v>
      </c>
      <c r="AI158" s="25">
        <v>0</v>
      </c>
      <c r="AJ158" s="23" t="s">
        <v>208</v>
      </c>
      <c r="AK158" s="23" t="s">
        <v>92</v>
      </c>
      <c r="AL158" s="25" t="s">
        <v>93</v>
      </c>
      <c r="AO158" s="32" t="str">
        <f t="shared" si="39"/>
        <v>2 doors</v>
      </c>
      <c r="AQ158" s="23" t="s">
        <v>47</v>
      </c>
      <c r="AR158" s="23" t="str">
        <f t="shared" si="41"/>
        <v>CC</v>
      </c>
      <c r="AS158" s="34">
        <f t="shared" si="40"/>
        <v>7300</v>
      </c>
      <c r="AT158" s="23">
        <v>73</v>
      </c>
      <c r="AU158" s="23">
        <v>0</v>
      </c>
      <c r="AV158" s="23">
        <v>0</v>
      </c>
    </row>
    <row r="159" spans="1:48">
      <c r="A159" s="25" t="s">
        <v>93</v>
      </c>
      <c r="D159" s="23">
        <v>2</v>
      </c>
      <c r="E159" s="25" t="s">
        <v>46</v>
      </c>
      <c r="F159" s="25" t="s">
        <v>46</v>
      </c>
      <c r="G159" s="23" t="s">
        <v>27</v>
      </c>
      <c r="H159" s="23" t="s">
        <v>203</v>
      </c>
      <c r="I159" s="25">
        <v>1993</v>
      </c>
      <c r="J159" s="35">
        <v>30</v>
      </c>
      <c r="K159" s="35">
        <v>40</v>
      </c>
      <c r="L159" s="35">
        <v>20</v>
      </c>
      <c r="M159" s="25">
        <v>4</v>
      </c>
      <c r="N159" s="25">
        <v>4</v>
      </c>
      <c r="R159" s="30">
        <f t="shared" si="28"/>
        <v>8</v>
      </c>
      <c r="S159" s="30">
        <f t="shared" si="29"/>
        <v>27.063428571428574</v>
      </c>
      <c r="T159" s="30">
        <f t="shared" si="30"/>
        <v>42.175428571428569</v>
      </c>
      <c r="U159" s="25">
        <v>145</v>
      </c>
      <c r="V159" s="31">
        <f t="shared" si="31"/>
        <v>399.84000000000003</v>
      </c>
      <c r="W159" s="25">
        <v>294</v>
      </c>
      <c r="X159" s="25">
        <v>13</v>
      </c>
      <c r="Y159" s="25">
        <v>48</v>
      </c>
      <c r="Z159" s="31">
        <f t="shared" si="32"/>
        <v>150</v>
      </c>
      <c r="AA159" s="31">
        <f t="shared" si="33"/>
        <v>3</v>
      </c>
      <c r="AB159" s="31">
        <f t="shared" si="34"/>
        <v>8</v>
      </c>
      <c r="AC159" s="31" t="str">
        <f t="shared" si="35"/>
        <v/>
      </c>
      <c r="AD159" s="31" t="str">
        <f t="shared" si="36"/>
        <v/>
      </c>
      <c r="AE159" s="31" t="str">
        <f t="shared" si="37"/>
        <v/>
      </c>
      <c r="AF159" s="31" t="str">
        <f t="shared" si="38"/>
        <v/>
      </c>
      <c r="AG159" s="25">
        <v>11</v>
      </c>
      <c r="AH159" s="25">
        <v>0</v>
      </c>
      <c r="AI159" s="25">
        <v>0</v>
      </c>
      <c r="AJ159" s="23" t="s">
        <v>208</v>
      </c>
      <c r="AK159" s="23" t="s">
        <v>92</v>
      </c>
      <c r="AL159" s="25" t="s">
        <v>93</v>
      </c>
      <c r="AO159" s="32" t="str">
        <f t="shared" si="39"/>
        <v>2 doors</v>
      </c>
      <c r="AQ159" s="23" t="s">
        <v>47</v>
      </c>
      <c r="AR159" s="23" t="str">
        <f t="shared" si="41"/>
        <v>Hungary</v>
      </c>
      <c r="AS159" s="34">
        <f t="shared" si="40"/>
        <v>7300.01</v>
      </c>
      <c r="AT159" s="23">
        <v>73</v>
      </c>
      <c r="AU159" s="23">
        <v>0</v>
      </c>
      <c r="AV159" s="23">
        <v>1</v>
      </c>
    </row>
    <row r="160" spans="1:48">
      <c r="A160" s="25" t="s">
        <v>93</v>
      </c>
      <c r="D160" s="23">
        <v>2</v>
      </c>
      <c r="E160" s="25" t="s">
        <v>211</v>
      </c>
      <c r="F160" s="25" t="s">
        <v>211</v>
      </c>
      <c r="G160" s="23" t="s">
        <v>27</v>
      </c>
      <c r="H160" s="23" t="s">
        <v>203</v>
      </c>
      <c r="I160" s="25">
        <v>1993</v>
      </c>
      <c r="J160" s="35">
        <v>30</v>
      </c>
      <c r="K160" s="35">
        <v>40</v>
      </c>
      <c r="L160" s="35">
        <v>20</v>
      </c>
      <c r="M160" s="25">
        <v>4</v>
      </c>
      <c r="N160" s="25">
        <v>4</v>
      </c>
      <c r="R160" s="30">
        <f t="shared" si="28"/>
        <v>8</v>
      </c>
      <c r="S160" s="30">
        <f t="shared" si="29"/>
        <v>27.063428571428574</v>
      </c>
      <c r="T160" s="30">
        <f t="shared" si="30"/>
        <v>42.175428571428569</v>
      </c>
      <c r="U160" s="25">
        <v>145</v>
      </c>
      <c r="V160" s="31">
        <f t="shared" si="31"/>
        <v>399.84000000000003</v>
      </c>
      <c r="W160" s="25">
        <v>294</v>
      </c>
      <c r="X160" s="25">
        <v>13</v>
      </c>
      <c r="Y160" s="25">
        <v>48</v>
      </c>
      <c r="Z160" s="31">
        <f t="shared" si="32"/>
        <v>150</v>
      </c>
      <c r="AA160" s="31">
        <f t="shared" si="33"/>
        <v>3</v>
      </c>
      <c r="AB160" s="31">
        <f t="shared" si="34"/>
        <v>8</v>
      </c>
      <c r="AC160" s="31" t="str">
        <f t="shared" si="35"/>
        <v/>
      </c>
      <c r="AD160" s="31" t="str">
        <f t="shared" si="36"/>
        <v/>
      </c>
      <c r="AE160" s="31" t="str">
        <f t="shared" si="37"/>
        <v/>
      </c>
      <c r="AF160" s="31" t="str">
        <f t="shared" si="38"/>
        <v/>
      </c>
      <c r="AG160" s="25">
        <v>11</v>
      </c>
      <c r="AH160" s="25">
        <v>0</v>
      </c>
      <c r="AI160" s="25">
        <v>0</v>
      </c>
      <c r="AJ160" s="23" t="s">
        <v>208</v>
      </c>
      <c r="AK160" s="23" t="s">
        <v>92</v>
      </c>
      <c r="AL160" s="25" t="s">
        <v>93</v>
      </c>
      <c r="AO160" s="32" t="str">
        <f t="shared" si="39"/>
        <v>2 doors</v>
      </c>
      <c r="AQ160" s="23" t="s">
        <v>47</v>
      </c>
      <c r="AR160" s="23" t="str">
        <f t="shared" si="41"/>
        <v>Hungary</v>
      </c>
      <c r="AS160" s="34">
        <f t="shared" si="40"/>
        <v>7300.02</v>
      </c>
      <c r="AT160" s="23">
        <v>73</v>
      </c>
      <c r="AU160" s="23">
        <v>0</v>
      </c>
      <c r="AV160" s="23">
        <v>2</v>
      </c>
    </row>
    <row r="161" spans="1:48">
      <c r="A161" s="25" t="s">
        <v>120</v>
      </c>
      <c r="D161" s="23">
        <v>3</v>
      </c>
      <c r="E161" s="25" t="s">
        <v>30</v>
      </c>
      <c r="F161" s="25" t="s">
        <v>30</v>
      </c>
      <c r="G161" s="23" t="s">
        <v>27</v>
      </c>
      <c r="H161" s="23" t="s">
        <v>204</v>
      </c>
      <c r="I161" s="25">
        <v>1995</v>
      </c>
      <c r="J161" s="35">
        <v>30</v>
      </c>
      <c r="K161" s="35">
        <v>40</v>
      </c>
      <c r="L161" s="35">
        <v>20</v>
      </c>
      <c r="M161" s="25">
        <v>4</v>
      </c>
      <c r="N161" s="25">
        <v>6</v>
      </c>
      <c r="R161" s="30">
        <f t="shared" si="28"/>
        <v>10</v>
      </c>
      <c r="S161" s="30">
        <f t="shared" si="29"/>
        <v>31.042285714285718</v>
      </c>
      <c r="T161" s="30">
        <f t="shared" si="30"/>
        <v>46.536952380952393</v>
      </c>
      <c r="U161" s="25">
        <v>145</v>
      </c>
      <c r="V161" s="31">
        <f t="shared" si="31"/>
        <v>436.56000000000006</v>
      </c>
      <c r="W161" s="25">
        <v>321</v>
      </c>
      <c r="X161" s="25">
        <v>17</v>
      </c>
      <c r="Y161" s="25">
        <v>70</v>
      </c>
      <c r="Z161" s="31">
        <f t="shared" si="32"/>
        <v>100</v>
      </c>
      <c r="AA161" s="31">
        <f t="shared" si="33"/>
        <v>3</v>
      </c>
      <c r="AB161" s="31">
        <f t="shared" si="34"/>
        <v>8</v>
      </c>
      <c r="AC161" s="31" t="str">
        <f t="shared" si="35"/>
        <v/>
      </c>
      <c r="AD161" s="31" t="str">
        <f t="shared" si="36"/>
        <v/>
      </c>
      <c r="AE161" s="31" t="str">
        <f t="shared" si="37"/>
        <v/>
      </c>
      <c r="AF161" s="31" t="str">
        <f t="shared" si="38"/>
        <v/>
      </c>
      <c r="AG161" s="25">
        <v>11</v>
      </c>
      <c r="AH161" s="25">
        <v>0</v>
      </c>
      <c r="AI161" s="25">
        <v>0</v>
      </c>
      <c r="AJ161" s="23" t="s">
        <v>208</v>
      </c>
      <c r="AK161" s="23" t="s">
        <v>92</v>
      </c>
      <c r="AL161" s="25" t="s">
        <v>120</v>
      </c>
      <c r="AO161" s="32" t="str">
        <f t="shared" si="39"/>
        <v>2 doors</v>
      </c>
      <c r="AQ161" s="23" t="s">
        <v>48</v>
      </c>
      <c r="AR161" s="23" t="str">
        <f t="shared" si="41"/>
        <v>CC</v>
      </c>
      <c r="AS161" s="34">
        <f t="shared" si="40"/>
        <v>7400</v>
      </c>
      <c r="AT161" s="23">
        <v>74</v>
      </c>
      <c r="AU161" s="23">
        <v>0</v>
      </c>
      <c r="AV161" s="23">
        <v>0</v>
      </c>
    </row>
    <row r="162" spans="1:48">
      <c r="A162" s="25" t="s">
        <v>120</v>
      </c>
      <c r="D162" s="23">
        <v>3</v>
      </c>
      <c r="E162" s="25" t="s">
        <v>211</v>
      </c>
      <c r="F162" s="25" t="s">
        <v>211</v>
      </c>
      <c r="G162" s="23" t="s">
        <v>27</v>
      </c>
      <c r="H162" s="23" t="s">
        <v>204</v>
      </c>
      <c r="I162" s="25">
        <v>1995</v>
      </c>
      <c r="J162" s="35">
        <v>30</v>
      </c>
      <c r="K162" s="35">
        <v>40</v>
      </c>
      <c r="L162" s="35">
        <v>20</v>
      </c>
      <c r="M162" s="25">
        <v>4</v>
      </c>
      <c r="N162" s="25">
        <v>6</v>
      </c>
      <c r="R162" s="30">
        <f t="shared" si="28"/>
        <v>10</v>
      </c>
      <c r="S162" s="30">
        <f t="shared" si="29"/>
        <v>31.042285714285718</v>
      </c>
      <c r="T162" s="30">
        <f t="shared" si="30"/>
        <v>46.536952380952393</v>
      </c>
      <c r="U162" s="25">
        <v>145</v>
      </c>
      <c r="V162" s="31">
        <f t="shared" si="31"/>
        <v>436.56000000000006</v>
      </c>
      <c r="W162" s="25">
        <v>321</v>
      </c>
      <c r="X162" s="25">
        <v>17</v>
      </c>
      <c r="Y162" s="25">
        <v>70</v>
      </c>
      <c r="Z162" s="31">
        <f t="shared" si="32"/>
        <v>100</v>
      </c>
      <c r="AA162" s="31">
        <f t="shared" si="33"/>
        <v>3</v>
      </c>
      <c r="AB162" s="31">
        <f t="shared" si="34"/>
        <v>8</v>
      </c>
      <c r="AC162" s="31" t="str">
        <f t="shared" si="35"/>
        <v/>
      </c>
      <c r="AD162" s="31" t="str">
        <f t="shared" si="36"/>
        <v/>
      </c>
      <c r="AE162" s="31" t="str">
        <f t="shared" si="37"/>
        <v/>
      </c>
      <c r="AF162" s="31" t="str">
        <f t="shared" si="38"/>
        <v/>
      </c>
      <c r="AG162" s="25">
        <v>11</v>
      </c>
      <c r="AH162" s="25">
        <v>0</v>
      </c>
      <c r="AI162" s="25">
        <v>0</v>
      </c>
      <c r="AJ162" s="23" t="s">
        <v>208</v>
      </c>
      <c r="AK162" s="23" t="s">
        <v>92</v>
      </c>
      <c r="AL162" s="25" t="s">
        <v>120</v>
      </c>
      <c r="AO162" s="32" t="str">
        <f t="shared" si="39"/>
        <v>2 doors</v>
      </c>
      <c r="AQ162" s="23" t="s">
        <v>48</v>
      </c>
      <c r="AR162" s="23" t="str">
        <f t="shared" si="41"/>
        <v>Hungary</v>
      </c>
      <c r="AS162" s="34">
        <f t="shared" si="40"/>
        <v>7400.01</v>
      </c>
      <c r="AT162" s="23">
        <v>74</v>
      </c>
      <c r="AU162" s="23">
        <v>0</v>
      </c>
      <c r="AV162" s="23">
        <v>1</v>
      </c>
    </row>
    <row r="163" spans="1:48">
      <c r="A163" s="25">
        <v>955</v>
      </c>
      <c r="D163" s="23">
        <v>2</v>
      </c>
      <c r="E163" s="25" t="s">
        <v>30</v>
      </c>
      <c r="F163" s="25" t="s">
        <v>30</v>
      </c>
      <c r="G163" s="23" t="s">
        <v>27</v>
      </c>
      <c r="H163" s="23" t="s">
        <v>192</v>
      </c>
      <c r="I163" s="25">
        <v>1999</v>
      </c>
      <c r="J163" s="35">
        <v>30</v>
      </c>
      <c r="K163" s="35">
        <v>40</v>
      </c>
      <c r="L163" s="35">
        <v>20</v>
      </c>
      <c r="M163" s="25">
        <v>4</v>
      </c>
      <c r="N163" s="25">
        <v>4</v>
      </c>
      <c r="R163" s="30">
        <f t="shared" si="28"/>
        <v>8</v>
      </c>
      <c r="S163" s="30">
        <f t="shared" si="29"/>
        <v>20.851428571428574</v>
      </c>
      <c r="T163" s="30">
        <f t="shared" si="30"/>
        <v>30.658095238095239</v>
      </c>
      <c r="U163" s="25">
        <v>113</v>
      </c>
      <c r="V163" s="31">
        <f t="shared" si="31"/>
        <v>285.60000000000002</v>
      </c>
      <c r="W163" s="25">
        <v>210</v>
      </c>
      <c r="X163" s="25">
        <v>12</v>
      </c>
      <c r="Y163" s="25">
        <v>49</v>
      </c>
      <c r="Z163" s="31">
        <f t="shared" si="32"/>
        <v>150</v>
      </c>
      <c r="AA163" s="31">
        <f t="shared" si="33"/>
        <v>3</v>
      </c>
      <c r="AB163" s="31">
        <f t="shared" si="34"/>
        <v>8</v>
      </c>
      <c r="AC163" s="31" t="str">
        <f t="shared" si="35"/>
        <v/>
      </c>
      <c r="AD163" s="31" t="str">
        <f t="shared" si="36"/>
        <v/>
      </c>
      <c r="AE163" s="31" t="str">
        <f t="shared" si="37"/>
        <v/>
      </c>
      <c r="AF163" s="31" t="str">
        <f t="shared" si="38"/>
        <v/>
      </c>
      <c r="AG163" s="25">
        <v>11</v>
      </c>
      <c r="AH163" s="25">
        <v>0</v>
      </c>
      <c r="AI163" s="25">
        <v>0</v>
      </c>
      <c r="AJ163" s="23" t="s">
        <v>208</v>
      </c>
      <c r="AK163" s="23" t="s">
        <v>92</v>
      </c>
      <c r="AL163" s="25">
        <v>955</v>
      </c>
      <c r="AO163" s="32" t="str">
        <f t="shared" si="39"/>
        <v>2 doors</v>
      </c>
      <c r="AQ163" s="23" t="s">
        <v>47</v>
      </c>
      <c r="AR163" s="23" t="str">
        <f t="shared" si="41"/>
        <v>CC</v>
      </c>
      <c r="AS163" s="34">
        <f t="shared" si="40"/>
        <v>7900</v>
      </c>
      <c r="AT163" s="23">
        <v>79</v>
      </c>
      <c r="AU163" s="23">
        <v>0</v>
      </c>
      <c r="AV163" s="23">
        <v>0</v>
      </c>
    </row>
    <row r="164" spans="1:48">
      <c r="A164" s="25" t="s">
        <v>249</v>
      </c>
      <c r="D164" s="23">
        <v>2</v>
      </c>
      <c r="E164" s="25" t="s">
        <v>30</v>
      </c>
      <c r="F164" s="25" t="s">
        <v>30</v>
      </c>
      <c r="G164" s="23" t="s">
        <v>27</v>
      </c>
      <c r="H164" s="23" t="s">
        <v>251</v>
      </c>
      <c r="I164" s="25">
        <v>1998</v>
      </c>
      <c r="J164" s="35">
        <v>30</v>
      </c>
      <c r="K164" s="35">
        <v>40</v>
      </c>
      <c r="L164" s="35">
        <v>20</v>
      </c>
      <c r="M164" s="25">
        <v>10</v>
      </c>
      <c r="N164" s="25">
        <v>10</v>
      </c>
      <c r="R164" s="30">
        <f t="shared" si="28"/>
        <v>20</v>
      </c>
      <c r="S164" s="30">
        <f t="shared" si="29"/>
        <v>19.848571428571429</v>
      </c>
      <c r="T164" s="30">
        <f t="shared" si="30"/>
        <v>28.888571428571428</v>
      </c>
      <c r="U164" s="25">
        <v>90</v>
      </c>
      <c r="V164" s="31">
        <f t="shared" si="31"/>
        <v>258.40000000000003</v>
      </c>
      <c r="W164" s="25">
        <v>190</v>
      </c>
      <c r="X164" s="25">
        <v>11</v>
      </c>
      <c r="Y164" s="25">
        <v>78</v>
      </c>
      <c r="Z164" s="31">
        <f t="shared" si="32"/>
        <v>200</v>
      </c>
      <c r="AA164" s="31">
        <f t="shared" si="33"/>
        <v>2</v>
      </c>
      <c r="AB164" s="31">
        <f t="shared" si="34"/>
        <v>8</v>
      </c>
      <c r="AC164" s="31" t="str">
        <f t="shared" si="35"/>
        <v/>
      </c>
      <c r="AD164" s="31" t="str">
        <f t="shared" si="36"/>
        <v/>
      </c>
      <c r="AE164" s="31" t="str">
        <f t="shared" si="37"/>
        <v/>
      </c>
      <c r="AF164" s="31" t="str">
        <f t="shared" si="38"/>
        <v/>
      </c>
      <c r="AG164" s="25">
        <v>10</v>
      </c>
      <c r="AH164" s="25">
        <v>0</v>
      </c>
      <c r="AI164" s="25">
        <v>0</v>
      </c>
      <c r="AJ164" s="23" t="s">
        <v>206</v>
      </c>
      <c r="AK164" s="23" t="s">
        <v>92</v>
      </c>
      <c r="AL164" s="26" t="s">
        <v>249</v>
      </c>
      <c r="AO164" s="32" t="str">
        <f t="shared" si="39"/>
        <v>2 doors</v>
      </c>
      <c r="AP164" s="23" t="s">
        <v>250</v>
      </c>
      <c r="AQ164" s="23" t="s">
        <v>270</v>
      </c>
      <c r="AR164" s="23" t="str">
        <f t="shared" si="41"/>
        <v>CC</v>
      </c>
      <c r="AS164" s="34">
        <f t="shared" si="40"/>
        <v>8000</v>
      </c>
      <c r="AT164" s="23">
        <v>80</v>
      </c>
      <c r="AU164" s="23">
        <v>0</v>
      </c>
      <c r="AV164" s="23">
        <v>0</v>
      </c>
    </row>
    <row r="165" spans="1:48">
      <c r="A165" s="25" t="s">
        <v>249</v>
      </c>
      <c r="D165" s="23">
        <v>2</v>
      </c>
      <c r="E165" s="25" t="s">
        <v>46</v>
      </c>
      <c r="F165" s="25" t="s">
        <v>46</v>
      </c>
      <c r="G165" s="23" t="s">
        <v>27</v>
      </c>
      <c r="H165" s="23" t="s">
        <v>251</v>
      </c>
      <c r="I165" s="25">
        <v>1998</v>
      </c>
      <c r="J165" s="35">
        <v>30</v>
      </c>
      <c r="K165" s="35">
        <v>40</v>
      </c>
      <c r="L165" s="35">
        <v>20</v>
      </c>
      <c r="M165" s="25">
        <v>10</v>
      </c>
      <c r="N165" s="25">
        <v>10</v>
      </c>
      <c r="R165" s="30">
        <f t="shared" si="28"/>
        <v>20</v>
      </c>
      <c r="S165" s="30">
        <f t="shared" si="29"/>
        <v>19.848571428571429</v>
      </c>
      <c r="T165" s="30">
        <f t="shared" si="30"/>
        <v>28.888571428571428</v>
      </c>
      <c r="U165" s="25">
        <v>90</v>
      </c>
      <c r="V165" s="31">
        <f t="shared" si="31"/>
        <v>258.40000000000003</v>
      </c>
      <c r="W165" s="25">
        <v>190</v>
      </c>
      <c r="X165" s="25">
        <v>11</v>
      </c>
      <c r="Y165" s="25">
        <v>78</v>
      </c>
      <c r="Z165" s="31">
        <f t="shared" si="32"/>
        <v>200</v>
      </c>
      <c r="AA165" s="31">
        <f t="shared" si="33"/>
        <v>2</v>
      </c>
      <c r="AB165" s="31">
        <f t="shared" si="34"/>
        <v>8</v>
      </c>
      <c r="AC165" s="31" t="str">
        <f t="shared" si="35"/>
        <v/>
      </c>
      <c r="AD165" s="31" t="str">
        <f t="shared" si="36"/>
        <v/>
      </c>
      <c r="AE165" s="31" t="str">
        <f t="shared" si="37"/>
        <v/>
      </c>
      <c r="AF165" s="31" t="str">
        <f t="shared" si="38"/>
        <v/>
      </c>
      <c r="AG165" s="25">
        <v>10</v>
      </c>
      <c r="AH165" s="25">
        <v>0</v>
      </c>
      <c r="AI165" s="25">
        <v>0</v>
      </c>
      <c r="AJ165" s="23" t="s">
        <v>206</v>
      </c>
      <c r="AK165" s="23" t="s">
        <v>92</v>
      </c>
      <c r="AL165" s="26" t="s">
        <v>249</v>
      </c>
      <c r="AO165" s="32" t="str">
        <f t="shared" si="39"/>
        <v>2 doors</v>
      </c>
      <c r="AP165" s="23" t="s">
        <v>250</v>
      </c>
      <c r="AQ165" s="23" t="s">
        <v>270</v>
      </c>
      <c r="AR165" s="23" t="str">
        <f t="shared" si="41"/>
        <v>Hungary</v>
      </c>
      <c r="AS165" s="34">
        <f t="shared" si="40"/>
        <v>8000.01</v>
      </c>
      <c r="AT165" s="23">
        <v>80</v>
      </c>
      <c r="AU165" s="23">
        <v>0</v>
      </c>
      <c r="AV165" s="23">
        <v>1</v>
      </c>
    </row>
    <row r="166" spans="1:48">
      <c r="A166" s="25" t="s">
        <v>249</v>
      </c>
      <c r="D166" s="23">
        <v>2</v>
      </c>
      <c r="E166" s="25" t="s">
        <v>30</v>
      </c>
      <c r="F166" s="25" t="s">
        <v>30</v>
      </c>
      <c r="G166" s="23" t="s">
        <v>27</v>
      </c>
      <c r="H166" s="23" t="s">
        <v>252</v>
      </c>
      <c r="I166" s="25">
        <v>2000</v>
      </c>
      <c r="J166" s="35">
        <v>30</v>
      </c>
      <c r="K166" s="35">
        <v>40</v>
      </c>
      <c r="L166" s="35">
        <v>20</v>
      </c>
      <c r="M166" s="25">
        <v>5</v>
      </c>
      <c r="N166" s="25">
        <v>5</v>
      </c>
      <c r="R166" s="30">
        <f t="shared" si="28"/>
        <v>10</v>
      </c>
      <c r="S166" s="30">
        <f t="shared" si="29"/>
        <v>20.154285714285717</v>
      </c>
      <c r="T166" s="30">
        <f t="shared" si="30"/>
        <v>30.007619047619048</v>
      </c>
      <c r="U166" s="25">
        <v>90</v>
      </c>
      <c r="V166" s="31">
        <f t="shared" si="31"/>
        <v>278.8</v>
      </c>
      <c r="W166" s="25">
        <v>205</v>
      </c>
      <c r="X166" s="25">
        <v>11</v>
      </c>
      <c r="Y166" s="25">
        <v>47</v>
      </c>
      <c r="Z166" s="31">
        <f t="shared" si="32"/>
        <v>185</v>
      </c>
      <c r="AA166" s="31">
        <f t="shared" si="33"/>
        <v>2</v>
      </c>
      <c r="AB166" s="31">
        <f t="shared" si="34"/>
        <v>8</v>
      </c>
      <c r="AC166" s="31" t="str">
        <f t="shared" si="35"/>
        <v/>
      </c>
      <c r="AD166" s="31" t="str">
        <f t="shared" si="36"/>
        <v/>
      </c>
      <c r="AE166" s="31" t="str">
        <f t="shared" si="37"/>
        <v/>
      </c>
      <c r="AF166" s="31" t="str">
        <f t="shared" si="38"/>
        <v/>
      </c>
      <c r="AG166" s="25">
        <v>10</v>
      </c>
      <c r="AH166" s="25">
        <v>0</v>
      </c>
      <c r="AI166" s="25">
        <v>0</v>
      </c>
      <c r="AJ166" s="23" t="s">
        <v>206</v>
      </c>
      <c r="AK166" s="23" t="s">
        <v>92</v>
      </c>
      <c r="AL166" s="26" t="s">
        <v>249</v>
      </c>
      <c r="AO166" s="32" t="str">
        <f t="shared" si="39"/>
        <v>2 doors</v>
      </c>
      <c r="AP166" s="23" t="s">
        <v>253</v>
      </c>
      <c r="AQ166" s="23" t="s">
        <v>33</v>
      </c>
      <c r="AR166" s="23" t="str">
        <f t="shared" si="41"/>
        <v>CC</v>
      </c>
      <c r="AS166" s="34">
        <f t="shared" si="40"/>
        <v>8010</v>
      </c>
      <c r="AT166" s="23">
        <v>80</v>
      </c>
      <c r="AU166" s="23">
        <v>10</v>
      </c>
      <c r="AV166" s="23">
        <v>0</v>
      </c>
    </row>
    <row r="167" spans="1:48">
      <c r="A167" s="25" t="s">
        <v>267</v>
      </c>
      <c r="D167" s="23">
        <v>2</v>
      </c>
      <c r="E167" s="25" t="s">
        <v>30</v>
      </c>
      <c r="F167" s="25" t="s">
        <v>30</v>
      </c>
      <c r="G167" s="23" t="s">
        <v>27</v>
      </c>
      <c r="H167" s="23" t="s">
        <v>268</v>
      </c>
      <c r="I167" s="25">
        <v>1998</v>
      </c>
      <c r="J167" s="35">
        <v>30</v>
      </c>
      <c r="K167" s="35">
        <v>40</v>
      </c>
      <c r="L167" s="35">
        <v>20</v>
      </c>
      <c r="M167" s="25">
        <v>10</v>
      </c>
      <c r="N167" s="25">
        <v>10</v>
      </c>
      <c r="O167" s="25">
        <v>10</v>
      </c>
      <c r="R167" s="30">
        <f t="shared" si="28"/>
        <v>30</v>
      </c>
      <c r="S167" s="30">
        <f t="shared" si="29"/>
        <v>18.522857142857145</v>
      </c>
      <c r="T167" s="30">
        <f t="shared" si="30"/>
        <v>25.656190476190478</v>
      </c>
      <c r="U167" s="25">
        <v>90</v>
      </c>
      <c r="V167" s="31">
        <f t="shared" si="31"/>
        <v>217.60000000000002</v>
      </c>
      <c r="W167" s="25">
        <v>160</v>
      </c>
      <c r="X167" s="25">
        <v>11</v>
      </c>
      <c r="Y167" s="25">
        <v>98</v>
      </c>
      <c r="Z167" s="31">
        <f t="shared" si="32"/>
        <v>200</v>
      </c>
      <c r="AA167" s="31">
        <f t="shared" si="33"/>
        <v>1</v>
      </c>
      <c r="AB167" s="31">
        <f t="shared" si="34"/>
        <v>8</v>
      </c>
      <c r="AC167" s="31" t="str">
        <f t="shared" si="35"/>
        <v/>
      </c>
      <c r="AD167" s="31" t="str">
        <f t="shared" si="36"/>
        <v/>
      </c>
      <c r="AE167" s="31" t="str">
        <f t="shared" si="37"/>
        <v/>
      </c>
      <c r="AF167" s="31" t="str">
        <f t="shared" si="38"/>
        <v/>
      </c>
      <c r="AG167" s="25">
        <v>9</v>
      </c>
      <c r="AH167" s="25">
        <v>0</v>
      </c>
      <c r="AI167" s="25">
        <v>0</v>
      </c>
      <c r="AJ167" s="23" t="s">
        <v>206</v>
      </c>
      <c r="AK167" s="23" t="s">
        <v>92</v>
      </c>
      <c r="AL167" s="26" t="s">
        <v>267</v>
      </c>
      <c r="AO167" s="32" t="str">
        <f t="shared" si="39"/>
        <v>3 doors</v>
      </c>
      <c r="AP167" s="23" t="s">
        <v>269</v>
      </c>
      <c r="AQ167" s="23" t="s">
        <v>32</v>
      </c>
      <c r="AR167" s="23" t="str">
        <f t="shared" si="41"/>
        <v>CC</v>
      </c>
      <c r="AS167" s="34">
        <f t="shared" si="40"/>
        <v>8020</v>
      </c>
      <c r="AT167" s="23">
        <v>80</v>
      </c>
      <c r="AU167" s="23">
        <v>20</v>
      </c>
      <c r="AV167" s="23">
        <v>0</v>
      </c>
    </row>
    <row r="168" spans="1:48">
      <c r="A168" s="25" t="s">
        <v>257</v>
      </c>
      <c r="D168" s="23">
        <v>2</v>
      </c>
      <c r="E168" s="25" t="s">
        <v>30</v>
      </c>
      <c r="F168" s="25" t="s">
        <v>30</v>
      </c>
      <c r="G168" s="23" t="s">
        <v>27</v>
      </c>
      <c r="H168" s="23" t="s">
        <v>258</v>
      </c>
      <c r="I168" s="25">
        <v>1998</v>
      </c>
      <c r="J168" s="35">
        <v>30</v>
      </c>
      <c r="K168" s="35">
        <v>40</v>
      </c>
      <c r="L168" s="35">
        <v>20</v>
      </c>
      <c r="M168" s="25">
        <v>10</v>
      </c>
      <c r="N168" s="25">
        <v>10</v>
      </c>
      <c r="O168" s="25">
        <v>10</v>
      </c>
      <c r="P168" s="25">
        <v>10</v>
      </c>
      <c r="R168" s="30">
        <f t="shared" si="28"/>
        <v>40</v>
      </c>
      <c r="S168" s="30">
        <f t="shared" si="29"/>
        <v>23.797142857142859</v>
      </c>
      <c r="T168" s="30">
        <f t="shared" si="30"/>
        <v>32.923809523809524</v>
      </c>
      <c r="U168" s="25">
        <v>90</v>
      </c>
      <c r="V168" s="31">
        <f t="shared" si="31"/>
        <v>278.8</v>
      </c>
      <c r="W168" s="25">
        <v>205</v>
      </c>
      <c r="X168" s="25">
        <v>14</v>
      </c>
      <c r="Y168" s="25">
        <v>118</v>
      </c>
      <c r="Z168" s="31">
        <f t="shared" si="32"/>
        <v>200</v>
      </c>
      <c r="AA168" s="31">
        <f t="shared" si="33"/>
        <v>1</v>
      </c>
      <c r="AB168" s="31">
        <f t="shared" si="34"/>
        <v>8</v>
      </c>
      <c r="AC168" s="31">
        <f t="shared" si="35"/>
        <v>6</v>
      </c>
      <c r="AD168" s="31" t="str">
        <f t="shared" si="36"/>
        <v/>
      </c>
      <c r="AE168" s="31" t="str">
        <f t="shared" si="37"/>
        <v/>
      </c>
      <c r="AF168" s="31" t="str">
        <f t="shared" si="38"/>
        <v/>
      </c>
      <c r="AG168" s="25">
        <v>9</v>
      </c>
      <c r="AH168" s="25">
        <v>6</v>
      </c>
      <c r="AI168" s="25">
        <v>0</v>
      </c>
      <c r="AJ168" s="23" t="s">
        <v>206</v>
      </c>
      <c r="AK168" s="23" t="s">
        <v>92</v>
      </c>
      <c r="AL168" s="26" t="s">
        <v>257</v>
      </c>
      <c r="AO168" s="32" t="str">
        <f t="shared" si="39"/>
        <v>4 doors</v>
      </c>
      <c r="AP168" s="23" t="s">
        <v>260</v>
      </c>
      <c r="AQ168" s="23" t="s">
        <v>32</v>
      </c>
      <c r="AR168" s="23" t="str">
        <f t="shared" si="41"/>
        <v>CC</v>
      </c>
      <c r="AS168" s="34">
        <f t="shared" si="40"/>
        <v>8030</v>
      </c>
      <c r="AT168" s="23">
        <v>80</v>
      </c>
      <c r="AU168" s="23">
        <v>30</v>
      </c>
      <c r="AV168" s="23">
        <v>0</v>
      </c>
    </row>
    <row r="169" spans="1:48">
      <c r="A169" s="25" t="s">
        <v>257</v>
      </c>
      <c r="D169" s="23">
        <v>2</v>
      </c>
      <c r="E169" s="25" t="s">
        <v>30</v>
      </c>
      <c r="F169" s="25" t="s">
        <v>30</v>
      </c>
      <c r="G169" s="23" t="s">
        <v>27</v>
      </c>
      <c r="H169" s="23" t="s">
        <v>259</v>
      </c>
      <c r="I169" s="25">
        <v>1998</v>
      </c>
      <c r="J169" s="35">
        <v>30</v>
      </c>
      <c r="K169" s="35">
        <v>40</v>
      </c>
      <c r="L169" s="35">
        <v>20</v>
      </c>
      <c r="M169" s="25">
        <v>10</v>
      </c>
      <c r="N169" s="25">
        <v>10</v>
      </c>
      <c r="O169" s="25">
        <v>10</v>
      </c>
      <c r="R169" s="30">
        <f t="shared" si="28"/>
        <v>30</v>
      </c>
      <c r="S169" s="30">
        <f t="shared" si="29"/>
        <v>23.082857142857144</v>
      </c>
      <c r="T169" s="30">
        <f t="shared" si="30"/>
        <v>32.19619047619048</v>
      </c>
      <c r="U169" s="25">
        <v>90</v>
      </c>
      <c r="V169" s="31">
        <f t="shared" si="31"/>
        <v>278.8</v>
      </c>
      <c r="W169" s="25">
        <v>205</v>
      </c>
      <c r="X169" s="25">
        <v>14</v>
      </c>
      <c r="Y169" s="25">
        <v>116</v>
      </c>
      <c r="Z169" s="31">
        <f t="shared" si="32"/>
        <v>200</v>
      </c>
      <c r="AA169" s="31">
        <f t="shared" si="33"/>
        <v>1</v>
      </c>
      <c r="AB169" s="31">
        <f t="shared" si="34"/>
        <v>8</v>
      </c>
      <c r="AC169" s="31">
        <f t="shared" si="35"/>
        <v>6</v>
      </c>
      <c r="AD169" s="31" t="str">
        <f t="shared" si="36"/>
        <v/>
      </c>
      <c r="AE169" s="31" t="str">
        <f t="shared" si="37"/>
        <v/>
      </c>
      <c r="AF169" s="31" t="str">
        <f t="shared" si="38"/>
        <v/>
      </c>
      <c r="AG169" s="25">
        <v>9</v>
      </c>
      <c r="AH169" s="25">
        <v>6</v>
      </c>
      <c r="AI169" s="25">
        <v>0</v>
      </c>
      <c r="AJ169" s="23" t="s">
        <v>206</v>
      </c>
      <c r="AK169" s="23" t="s">
        <v>92</v>
      </c>
      <c r="AL169" s="26" t="s">
        <v>257</v>
      </c>
      <c r="AO169" s="32" t="str">
        <f t="shared" si="39"/>
        <v>3 doors</v>
      </c>
      <c r="AP169" s="23" t="s">
        <v>261</v>
      </c>
      <c r="AQ169" s="23" t="s">
        <v>270</v>
      </c>
      <c r="AR169" s="23" t="str">
        <f t="shared" si="41"/>
        <v>CC</v>
      </c>
      <c r="AS169" s="34">
        <f t="shared" si="40"/>
        <v>8040</v>
      </c>
      <c r="AT169" s="23">
        <v>80</v>
      </c>
      <c r="AU169" s="23">
        <v>40</v>
      </c>
      <c r="AV169" s="23">
        <v>0</v>
      </c>
    </row>
    <row r="170" spans="1:48">
      <c r="A170" s="25" t="s">
        <v>264</v>
      </c>
      <c r="D170" s="23">
        <v>2</v>
      </c>
      <c r="E170" s="25" t="s">
        <v>30</v>
      </c>
      <c r="F170" s="25" t="s">
        <v>30</v>
      </c>
      <c r="G170" s="23" t="s">
        <v>28</v>
      </c>
      <c r="H170" s="23" t="s">
        <v>262</v>
      </c>
      <c r="I170" s="25">
        <v>2000</v>
      </c>
      <c r="J170" s="35">
        <v>30</v>
      </c>
      <c r="K170" s="35">
        <v>40</v>
      </c>
      <c r="L170" s="35">
        <v>20</v>
      </c>
      <c r="M170" s="25">
        <v>14</v>
      </c>
      <c r="N170" s="25">
        <v>14</v>
      </c>
      <c r="O170" s="25">
        <v>14</v>
      </c>
      <c r="P170" s="25">
        <v>14</v>
      </c>
      <c r="R170" s="30">
        <f t="shared" si="28"/>
        <v>56</v>
      </c>
      <c r="S170" s="30">
        <f t="shared" si="29"/>
        <v>32.012799999999999</v>
      </c>
      <c r="T170" s="30">
        <f t="shared" si="30"/>
        <v>31.42506666666667</v>
      </c>
      <c r="U170" s="25">
        <v>90</v>
      </c>
      <c r="V170" s="31">
        <f t="shared" si="31"/>
        <v>316.88</v>
      </c>
      <c r="W170" s="25">
        <v>233</v>
      </c>
      <c r="X170" s="25">
        <v>15</v>
      </c>
      <c r="Y170" s="25">
        <v>164</v>
      </c>
      <c r="Z170" s="31">
        <f t="shared" si="32"/>
        <v>200</v>
      </c>
      <c r="AA170" s="31">
        <f t="shared" si="33"/>
        <v>2</v>
      </c>
      <c r="AB170" s="31">
        <f t="shared" si="34"/>
        <v>8</v>
      </c>
      <c r="AC170" s="31">
        <f t="shared" si="35"/>
        <v>7</v>
      </c>
      <c r="AD170" s="31" t="str">
        <f t="shared" si="36"/>
        <v/>
      </c>
      <c r="AE170" s="31" t="str">
        <f t="shared" si="37"/>
        <v/>
      </c>
      <c r="AF170" s="31" t="str">
        <f t="shared" si="38"/>
        <v/>
      </c>
      <c r="AG170" s="25">
        <v>10</v>
      </c>
      <c r="AH170" s="25">
        <v>7</v>
      </c>
      <c r="AI170" s="25">
        <v>0</v>
      </c>
      <c r="AJ170" s="23" t="s">
        <v>206</v>
      </c>
      <c r="AK170" s="23" t="s">
        <v>92</v>
      </c>
      <c r="AL170" s="26" t="s">
        <v>264</v>
      </c>
      <c r="AO170" s="32" t="str">
        <f t="shared" si="39"/>
        <v>4 doors</v>
      </c>
      <c r="AP170" s="23" t="s">
        <v>265</v>
      </c>
      <c r="AQ170" s="23" t="s">
        <v>32</v>
      </c>
      <c r="AR170" s="23" t="str">
        <f t="shared" si="41"/>
        <v>CC</v>
      </c>
      <c r="AS170" s="34">
        <f t="shared" si="40"/>
        <v>8050</v>
      </c>
      <c r="AT170" s="23">
        <v>80</v>
      </c>
      <c r="AU170" s="23">
        <v>50</v>
      </c>
      <c r="AV170" s="23">
        <v>0</v>
      </c>
    </row>
    <row r="171" spans="1:48">
      <c r="A171" s="25" t="s">
        <v>264</v>
      </c>
      <c r="D171" s="23">
        <v>2</v>
      </c>
      <c r="E171" s="25" t="s">
        <v>30</v>
      </c>
      <c r="F171" s="25" t="s">
        <v>30</v>
      </c>
      <c r="G171" s="23" t="s">
        <v>27</v>
      </c>
      <c r="H171" s="23" t="s">
        <v>263</v>
      </c>
      <c r="I171" s="25">
        <v>2001</v>
      </c>
      <c r="J171" s="35">
        <v>30</v>
      </c>
      <c r="K171" s="35">
        <v>40</v>
      </c>
      <c r="L171" s="35">
        <v>20</v>
      </c>
      <c r="M171" s="25">
        <v>10</v>
      </c>
      <c r="N171" s="25">
        <v>10</v>
      </c>
      <c r="O171" s="25">
        <v>10</v>
      </c>
      <c r="P171" s="25">
        <v>10</v>
      </c>
      <c r="R171" s="30">
        <f t="shared" si="28"/>
        <v>40</v>
      </c>
      <c r="S171" s="30">
        <f t="shared" si="29"/>
        <v>28.513142857142856</v>
      </c>
      <c r="T171" s="30">
        <f t="shared" si="30"/>
        <v>41.855809523809519</v>
      </c>
      <c r="U171" s="25">
        <v>90</v>
      </c>
      <c r="V171" s="31">
        <f t="shared" si="31"/>
        <v>363.12</v>
      </c>
      <c r="W171" s="25">
        <v>267</v>
      </c>
      <c r="X171" s="25">
        <v>15</v>
      </c>
      <c r="Y171" s="25">
        <v>178</v>
      </c>
      <c r="Z171" s="31">
        <f t="shared" si="32"/>
        <v>200</v>
      </c>
      <c r="AA171" s="31">
        <f t="shared" si="33"/>
        <v>2</v>
      </c>
      <c r="AB171" s="31">
        <f t="shared" si="34"/>
        <v>8</v>
      </c>
      <c r="AC171" s="31">
        <f t="shared" si="35"/>
        <v>7</v>
      </c>
      <c r="AD171" s="31" t="str">
        <f t="shared" si="36"/>
        <v/>
      </c>
      <c r="AE171" s="31" t="str">
        <f t="shared" si="37"/>
        <v/>
      </c>
      <c r="AF171" s="31" t="str">
        <f t="shared" si="38"/>
        <v/>
      </c>
      <c r="AG171" s="25">
        <v>10</v>
      </c>
      <c r="AH171" s="25">
        <v>7</v>
      </c>
      <c r="AI171" s="25">
        <v>0</v>
      </c>
      <c r="AJ171" s="23" t="s">
        <v>206</v>
      </c>
      <c r="AK171" s="23" t="s">
        <v>92</v>
      </c>
      <c r="AL171" s="26" t="s">
        <v>264</v>
      </c>
      <c r="AO171" s="32" t="str">
        <f t="shared" si="39"/>
        <v>4 doors</v>
      </c>
      <c r="AP171" s="23" t="s">
        <v>266</v>
      </c>
      <c r="AQ171" s="23" t="s">
        <v>32</v>
      </c>
      <c r="AR171" s="23" t="str">
        <f t="shared" si="41"/>
        <v>CC</v>
      </c>
      <c r="AS171" s="34">
        <f t="shared" si="40"/>
        <v>8060</v>
      </c>
      <c r="AT171" s="23">
        <v>80</v>
      </c>
      <c r="AU171" s="23">
        <v>60</v>
      </c>
      <c r="AV171" s="23">
        <v>0</v>
      </c>
    </row>
  </sheetData>
  <conditionalFormatting sqref="I1:I1048576">
    <cfRule type="cellIs" dxfId="3" priority="4" operator="equal">
      <formula>2029</formula>
    </cfRule>
  </conditionalFormatting>
  <conditionalFormatting sqref="J1:M1048576 X1:Y1048576">
    <cfRule type="cellIs" dxfId="2" priority="3" operator="equal">
      <formula>1</formula>
    </cfRule>
  </conditionalFormatting>
  <conditionalFormatting sqref="U1:U1048576">
    <cfRule type="cellIs" dxfId="1" priority="2" operator="equal">
      <formula>260</formula>
    </cfRule>
  </conditionalFormatting>
  <conditionalFormatting sqref="W1:W1048576">
    <cfRule type="cellIs" dxfId="0" priority="1" operator="equal">
      <formula>30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V171"/>
  <sheetViews>
    <sheetView zoomScale="80" zoomScaleNormal="80" workbookViewId="0">
      <pane xSplit="1" topLeftCell="B1" activePane="topRight" state="frozen"/>
      <selection pane="topRight" sqref="A1:XFD1048576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66">
      <c r="A1" s="24" t="s">
        <v>90</v>
      </c>
      <c r="B1" s="24" t="s">
        <v>84</v>
      </c>
      <c r="D1" s="24" t="s">
        <v>22</v>
      </c>
      <c r="E1" s="24" t="s">
        <v>26</v>
      </c>
      <c r="F1" s="24" t="s">
        <v>86</v>
      </c>
      <c r="G1" s="24" t="s">
        <v>53</v>
      </c>
      <c r="H1" s="24" t="s">
        <v>50</v>
      </c>
      <c r="I1" s="24" t="s">
        <v>51</v>
      </c>
      <c r="J1" s="24" t="s">
        <v>52</v>
      </c>
      <c r="K1" s="24" t="s">
        <v>54</v>
      </c>
      <c r="L1" s="24" t="s">
        <v>55</v>
      </c>
      <c r="M1" s="24" t="s">
        <v>75</v>
      </c>
      <c r="N1" s="24" t="s">
        <v>76</v>
      </c>
      <c r="O1" s="24" t="s">
        <v>77</v>
      </c>
      <c r="P1" s="24" t="s">
        <v>78</v>
      </c>
      <c r="Q1" s="24" t="s">
        <v>79</v>
      </c>
      <c r="R1" s="29" t="s">
        <v>80</v>
      </c>
      <c r="S1" s="29" t="s">
        <v>56</v>
      </c>
      <c r="T1" s="29" t="s">
        <v>57</v>
      </c>
      <c r="U1" s="24" t="s">
        <v>63</v>
      </c>
      <c r="V1" s="29" t="s">
        <v>62</v>
      </c>
      <c r="W1" s="24" t="s">
        <v>58</v>
      </c>
      <c r="X1" s="24" t="s">
        <v>61</v>
      </c>
      <c r="Y1" s="24" t="s">
        <v>60</v>
      </c>
      <c r="Z1" s="29" t="s">
        <v>59</v>
      </c>
      <c r="AA1" s="29" t="s">
        <v>64</v>
      </c>
      <c r="AB1" s="29" t="s">
        <v>65</v>
      </c>
      <c r="AC1" s="29" t="s">
        <v>66</v>
      </c>
      <c r="AD1" s="29" t="s">
        <v>67</v>
      </c>
      <c r="AE1" s="29" t="s">
        <v>68</v>
      </c>
      <c r="AF1" s="29" t="s">
        <v>69</v>
      </c>
      <c r="AG1" s="24" t="s">
        <v>81</v>
      </c>
      <c r="AH1" s="24" t="s">
        <v>82</v>
      </c>
      <c r="AI1" s="24" t="s">
        <v>83</v>
      </c>
      <c r="AJ1" s="24" t="s">
        <v>70</v>
      </c>
      <c r="AK1" s="24" t="s">
        <v>91</v>
      </c>
      <c r="AL1" s="24" t="s">
        <v>29</v>
      </c>
      <c r="AM1" s="27" t="s">
        <v>71</v>
      </c>
      <c r="AN1" s="24" t="s">
        <v>72</v>
      </c>
      <c r="AO1" s="29" t="s">
        <v>74</v>
      </c>
      <c r="AP1" s="24" t="s">
        <v>73</v>
      </c>
      <c r="AQ1" s="24" t="s">
        <v>31</v>
      </c>
      <c r="AR1" s="24" t="s">
        <v>45</v>
      </c>
      <c r="AS1" s="33" t="s">
        <v>34</v>
      </c>
      <c r="AT1" s="24" t="s">
        <v>243</v>
      </c>
      <c r="AU1" s="24" t="s">
        <v>244</v>
      </c>
      <c r="AV1" s="24" t="s">
        <v>245</v>
      </c>
    </row>
    <row r="2" spans="1:48">
      <c r="A2" s="25">
        <v>5</v>
      </c>
      <c r="D2" s="23">
        <v>2</v>
      </c>
      <c r="E2" s="25" t="s">
        <v>30</v>
      </c>
      <c r="F2" s="25" t="s">
        <v>30</v>
      </c>
      <c r="G2" s="23" t="s">
        <v>27</v>
      </c>
      <c r="H2" s="23" t="s">
        <v>142</v>
      </c>
      <c r="I2" s="25">
        <v>1947</v>
      </c>
      <c r="J2" s="35">
        <v>30</v>
      </c>
      <c r="K2" s="35">
        <v>40</v>
      </c>
      <c r="L2" s="35">
        <v>20</v>
      </c>
      <c r="M2" s="25">
        <v>8</v>
      </c>
      <c r="N2" s="25">
        <v>12</v>
      </c>
      <c r="R2" s="30">
        <f t="shared" ref="R2:R33" si="0">SUM(M2:Q2)</f>
        <v>20</v>
      </c>
      <c r="S2" s="30">
        <f t="shared" ref="S2:S33" si="1">IF(OR(G2="diesel", G2="petrol"), ((X2+(V2/10))/2)+(R2/14), IF(OR(G2="cng", G2="hybrid"), ((X2+(V2/10))/2*1.2)+(R2/14), IF(OR(G2="hydrogen", G2="electric"), ((X2+(V2/10))/2*1.5)+(R2/14), 0)))</f>
        <v>9.1645714285714295</v>
      </c>
      <c r="T2" s="30">
        <f t="shared" ref="T2:T33" si="2">IF(G2="petrol", ((X2+(Y2/15)+V2)/10*1.5)+(R2/14), IF(G2="diesel", ((X2+(Y2/15)+V2)/10)+(R2/14), IF(OR(G2="cng", G2="hybrid"), ((X2+(Y2/15)+V2)/10*0.8)+(R2/14), IF(OR(G2="hydrogen", G2="electric"), ((X2+(Y2/15)+V2)/10*0.5)+(R2/14), 0))))</f>
        <v>12.767238095238097</v>
      </c>
      <c r="U2" s="25">
        <v>58</v>
      </c>
      <c r="V2" s="31">
        <f t="shared" ref="V2:V33" si="3">W2*1.36</f>
        <v>104.72000000000001</v>
      </c>
      <c r="W2" s="25">
        <v>77</v>
      </c>
      <c r="X2" s="25">
        <v>5</v>
      </c>
      <c r="Y2" s="25">
        <v>55</v>
      </c>
      <c r="Z2" s="31">
        <f t="shared" ref="Z2:Z33" si="4">IF(AQ2="Regional", 185, IF(AQ2="Intercity", 150, IF(AQ2="Tourist", 100, 200)))</f>
        <v>200</v>
      </c>
      <c r="AA2" s="31">
        <f t="shared" ref="AA2:AA33" si="5">IF(AG2&gt;8, AG2-8, AG2)</f>
        <v>1</v>
      </c>
      <c r="AB2" s="31">
        <f t="shared" ref="AB2:AB33" si="6">IF(AG2&gt;8, 8, "")</f>
        <v>8</v>
      </c>
      <c r="AC2" s="31" t="str">
        <f t="shared" ref="AC2:AC33" si="7">IF(AH2&gt;8, AH2-8, IF(AH2=0, "", AH2))</f>
        <v/>
      </c>
      <c r="AD2" s="31" t="str">
        <f t="shared" ref="AD2:AD33" si="8">IF(AH2&gt;8, 8, "")</f>
        <v/>
      </c>
      <c r="AE2" s="31" t="str">
        <f t="shared" ref="AE2:AE33" si="9">IF(AI2&gt;8, AI2-8, IF(AI2=0, "", AI2))</f>
        <v/>
      </c>
      <c r="AF2" s="31" t="str">
        <f t="shared" ref="AF2:AF33" si="10">IF(AI2&gt;8, 8, "")</f>
        <v/>
      </c>
      <c r="AG2" s="25">
        <v>9</v>
      </c>
      <c r="AH2" s="25">
        <v>0</v>
      </c>
      <c r="AI2" s="25">
        <v>0</v>
      </c>
      <c r="AJ2" s="23" t="s">
        <v>110</v>
      </c>
      <c r="AK2" s="23" t="s">
        <v>92</v>
      </c>
      <c r="AL2" s="25" t="s">
        <v>219</v>
      </c>
      <c r="AO2" s="32" t="str">
        <f t="shared" ref="AO2:AO33" si="11">IF(Q2&gt;0, "5 doors", IF(P2&gt;0, "4 doors", IF(O2&gt;0, "3 doors", IF(N2&gt;0, "2 doors", "1 door"))))</f>
        <v>2 doors</v>
      </c>
      <c r="AQ2" s="23" t="s">
        <v>32</v>
      </c>
      <c r="AR2" s="23" t="str">
        <f>IF(E2="CC1", "CC", IF(E2="CC2", "CC", IF(E2="CC3", "CC", "Hungary")))</f>
        <v>CC</v>
      </c>
      <c r="AS2" s="34">
        <f t="shared" ref="AS2:AS33" si="12">(AT2*100)+AU2+(AV2/100)</f>
        <v>300</v>
      </c>
      <c r="AT2" s="23">
        <v>3</v>
      </c>
      <c r="AU2" s="23">
        <v>0</v>
      </c>
      <c r="AV2" s="23">
        <v>0</v>
      </c>
    </row>
    <row r="3" spans="1:48">
      <c r="A3" s="25">
        <v>5</v>
      </c>
      <c r="D3" s="23">
        <v>2</v>
      </c>
      <c r="E3" s="25" t="s">
        <v>85</v>
      </c>
      <c r="F3" s="25" t="s">
        <v>85</v>
      </c>
      <c r="G3" s="23" t="s">
        <v>27</v>
      </c>
      <c r="H3" s="23" t="s">
        <v>142</v>
      </c>
      <c r="I3" s="25">
        <v>1947</v>
      </c>
      <c r="J3" s="35">
        <v>30</v>
      </c>
      <c r="K3" s="35">
        <v>40</v>
      </c>
      <c r="L3" s="35">
        <v>20</v>
      </c>
      <c r="M3" s="25">
        <v>8</v>
      </c>
      <c r="N3" s="25">
        <v>12</v>
      </c>
      <c r="R3" s="30">
        <f t="shared" si="0"/>
        <v>20</v>
      </c>
      <c r="S3" s="30">
        <f t="shared" si="1"/>
        <v>9.1645714285714295</v>
      </c>
      <c r="T3" s="30">
        <f t="shared" si="2"/>
        <v>12.767238095238097</v>
      </c>
      <c r="U3" s="25">
        <v>58</v>
      </c>
      <c r="V3" s="31">
        <f t="shared" si="3"/>
        <v>104.72000000000001</v>
      </c>
      <c r="W3" s="25">
        <v>77</v>
      </c>
      <c r="X3" s="25">
        <v>5</v>
      </c>
      <c r="Y3" s="25">
        <v>55</v>
      </c>
      <c r="Z3" s="31">
        <f t="shared" si="4"/>
        <v>200</v>
      </c>
      <c r="AA3" s="31">
        <f t="shared" si="5"/>
        <v>1</v>
      </c>
      <c r="AB3" s="31">
        <f t="shared" si="6"/>
        <v>8</v>
      </c>
      <c r="AC3" s="31" t="str">
        <f t="shared" si="7"/>
        <v/>
      </c>
      <c r="AD3" s="31" t="str">
        <f t="shared" si="8"/>
        <v/>
      </c>
      <c r="AE3" s="31" t="str">
        <f t="shared" si="9"/>
        <v/>
      </c>
      <c r="AF3" s="31" t="str">
        <f t="shared" si="10"/>
        <v/>
      </c>
      <c r="AG3" s="25">
        <v>9</v>
      </c>
      <c r="AH3" s="25">
        <v>0</v>
      </c>
      <c r="AI3" s="25">
        <v>0</v>
      </c>
      <c r="AJ3" s="23" t="s">
        <v>110</v>
      </c>
      <c r="AK3" s="23" t="s">
        <v>92</v>
      </c>
      <c r="AL3" s="25" t="s">
        <v>219</v>
      </c>
      <c r="AO3" s="32" t="str">
        <f t="shared" si="11"/>
        <v>2 doors</v>
      </c>
      <c r="AQ3" s="23" t="s">
        <v>32</v>
      </c>
      <c r="AR3" s="23" t="str">
        <f t="shared" ref="AR3:AR33" si="13">IF(E3="CC1", "CC", IF(E3="CC2", "CC", IF(E3="CC3", "CC", "Hungary")))</f>
        <v>Hungary</v>
      </c>
      <c r="AS3" s="34">
        <f t="shared" si="12"/>
        <v>300.01</v>
      </c>
      <c r="AT3" s="23">
        <v>3</v>
      </c>
      <c r="AU3" s="23">
        <v>0</v>
      </c>
      <c r="AV3" s="23">
        <v>1</v>
      </c>
    </row>
    <row r="4" spans="1:48">
      <c r="A4" s="25">
        <v>35</v>
      </c>
      <c r="D4" s="23">
        <v>2</v>
      </c>
      <c r="E4" s="25" t="s">
        <v>30</v>
      </c>
      <c r="F4" s="25" t="s">
        <v>30</v>
      </c>
      <c r="G4" s="23" t="s">
        <v>27</v>
      </c>
      <c r="H4" s="23" t="s">
        <v>141</v>
      </c>
      <c r="I4" s="25">
        <v>1948</v>
      </c>
      <c r="J4" s="35">
        <v>30</v>
      </c>
      <c r="K4" s="35">
        <v>40</v>
      </c>
      <c r="L4" s="35">
        <v>20</v>
      </c>
      <c r="M4" s="25">
        <v>8</v>
      </c>
      <c r="N4" s="25">
        <v>8</v>
      </c>
      <c r="R4" s="30">
        <f t="shared" si="0"/>
        <v>16</v>
      </c>
      <c r="S4" s="30">
        <f t="shared" si="1"/>
        <v>6.4068571428571435</v>
      </c>
      <c r="T4" s="30">
        <f t="shared" si="2"/>
        <v>8.3508571428571425</v>
      </c>
      <c r="U4" s="25">
        <v>53</v>
      </c>
      <c r="V4" s="31">
        <f t="shared" si="3"/>
        <v>65.28</v>
      </c>
      <c r="W4" s="25">
        <v>48</v>
      </c>
      <c r="X4" s="25">
        <v>4</v>
      </c>
      <c r="Y4" s="25">
        <v>42</v>
      </c>
      <c r="Z4" s="31">
        <f t="shared" si="4"/>
        <v>200</v>
      </c>
      <c r="AA4" s="31">
        <f t="shared" si="5"/>
        <v>8</v>
      </c>
      <c r="AB4" s="31" t="str">
        <f t="shared" si="6"/>
        <v/>
      </c>
      <c r="AC4" s="31" t="str">
        <f t="shared" si="7"/>
        <v/>
      </c>
      <c r="AD4" s="31" t="str">
        <f t="shared" si="8"/>
        <v/>
      </c>
      <c r="AE4" s="31" t="str">
        <f t="shared" si="9"/>
        <v/>
      </c>
      <c r="AF4" s="31" t="str">
        <f t="shared" si="10"/>
        <v/>
      </c>
      <c r="AG4" s="25">
        <v>8</v>
      </c>
      <c r="AH4" s="25">
        <v>0</v>
      </c>
      <c r="AI4" s="25">
        <v>0</v>
      </c>
      <c r="AJ4" s="23" t="s">
        <v>110</v>
      </c>
      <c r="AK4" s="23" t="s">
        <v>92</v>
      </c>
      <c r="AL4" s="25" t="s">
        <v>220</v>
      </c>
      <c r="AO4" s="32" t="str">
        <f t="shared" si="11"/>
        <v>2 doors</v>
      </c>
      <c r="AQ4" s="23" t="s">
        <v>32</v>
      </c>
      <c r="AR4" s="23" t="str">
        <f t="shared" si="13"/>
        <v>CC</v>
      </c>
      <c r="AS4" s="34">
        <f t="shared" si="12"/>
        <v>320</v>
      </c>
      <c r="AT4" s="23">
        <v>3</v>
      </c>
      <c r="AU4" s="23">
        <v>20</v>
      </c>
      <c r="AV4" s="23">
        <v>0</v>
      </c>
    </row>
    <row r="5" spans="1:48">
      <c r="A5" s="25">
        <v>35</v>
      </c>
      <c r="D5" s="23">
        <v>2</v>
      </c>
      <c r="E5" s="25" t="s">
        <v>85</v>
      </c>
      <c r="F5" s="25" t="s">
        <v>85</v>
      </c>
      <c r="G5" s="23" t="s">
        <v>27</v>
      </c>
      <c r="H5" s="23" t="s">
        <v>141</v>
      </c>
      <c r="I5" s="25">
        <v>1948</v>
      </c>
      <c r="J5" s="35">
        <v>30</v>
      </c>
      <c r="K5" s="35">
        <v>40</v>
      </c>
      <c r="L5" s="35">
        <v>20</v>
      </c>
      <c r="M5" s="25">
        <v>8</v>
      </c>
      <c r="N5" s="25">
        <v>8</v>
      </c>
      <c r="R5" s="30">
        <f t="shared" si="0"/>
        <v>16</v>
      </c>
      <c r="S5" s="30">
        <f t="shared" si="1"/>
        <v>6.4068571428571435</v>
      </c>
      <c r="T5" s="30">
        <f t="shared" si="2"/>
        <v>8.3508571428571425</v>
      </c>
      <c r="U5" s="25">
        <v>53</v>
      </c>
      <c r="V5" s="31">
        <f t="shared" si="3"/>
        <v>65.28</v>
      </c>
      <c r="W5" s="25">
        <v>48</v>
      </c>
      <c r="X5" s="25">
        <v>4</v>
      </c>
      <c r="Y5" s="25">
        <v>42</v>
      </c>
      <c r="Z5" s="31">
        <f t="shared" si="4"/>
        <v>200</v>
      </c>
      <c r="AA5" s="31">
        <f t="shared" si="5"/>
        <v>8</v>
      </c>
      <c r="AB5" s="31" t="str">
        <f t="shared" si="6"/>
        <v/>
      </c>
      <c r="AC5" s="31" t="str">
        <f t="shared" si="7"/>
        <v/>
      </c>
      <c r="AD5" s="31" t="str">
        <f t="shared" si="8"/>
        <v/>
      </c>
      <c r="AE5" s="31" t="str">
        <f t="shared" si="9"/>
        <v/>
      </c>
      <c r="AF5" s="31" t="str">
        <f t="shared" si="10"/>
        <v/>
      </c>
      <c r="AG5" s="25">
        <v>8</v>
      </c>
      <c r="AH5" s="25">
        <v>0</v>
      </c>
      <c r="AI5" s="25">
        <v>0</v>
      </c>
      <c r="AJ5" s="23" t="s">
        <v>110</v>
      </c>
      <c r="AK5" s="23" t="s">
        <v>92</v>
      </c>
      <c r="AL5" s="25" t="s">
        <v>220</v>
      </c>
      <c r="AO5" s="32" t="str">
        <f t="shared" si="11"/>
        <v>2 doors</v>
      </c>
      <c r="AQ5" s="23" t="s">
        <v>32</v>
      </c>
      <c r="AR5" s="23" t="str">
        <f t="shared" si="13"/>
        <v>Hungary</v>
      </c>
      <c r="AS5" s="34">
        <f t="shared" si="12"/>
        <v>320.01</v>
      </c>
      <c r="AT5" s="23">
        <v>3</v>
      </c>
      <c r="AU5" s="23">
        <v>20</v>
      </c>
      <c r="AV5" s="23">
        <v>1</v>
      </c>
    </row>
    <row r="6" spans="1:48">
      <c r="A6" s="25">
        <v>30</v>
      </c>
      <c r="D6" s="23">
        <v>2</v>
      </c>
      <c r="E6" s="25" t="s">
        <v>30</v>
      </c>
      <c r="F6" s="25" t="s">
        <v>30</v>
      </c>
      <c r="G6" s="23" t="s">
        <v>27</v>
      </c>
      <c r="H6" s="23" t="s">
        <v>94</v>
      </c>
      <c r="I6" s="25">
        <v>1951</v>
      </c>
      <c r="J6" s="35">
        <v>30</v>
      </c>
      <c r="K6" s="35">
        <v>40</v>
      </c>
      <c r="L6" s="35">
        <v>20</v>
      </c>
      <c r="M6" s="25">
        <v>5</v>
      </c>
      <c r="N6" s="25">
        <v>5</v>
      </c>
      <c r="R6" s="30">
        <f t="shared" si="0"/>
        <v>10</v>
      </c>
      <c r="S6" s="30">
        <f t="shared" si="1"/>
        <v>6.9302857142857146</v>
      </c>
      <c r="T6" s="30">
        <f t="shared" si="2"/>
        <v>9.8129523809523818</v>
      </c>
      <c r="U6" s="25">
        <v>55</v>
      </c>
      <c r="V6" s="31">
        <f t="shared" si="3"/>
        <v>84.320000000000007</v>
      </c>
      <c r="W6" s="25">
        <v>62</v>
      </c>
      <c r="X6" s="25">
        <v>4</v>
      </c>
      <c r="Y6" s="25">
        <v>40</v>
      </c>
      <c r="Z6" s="31">
        <f t="shared" si="4"/>
        <v>200</v>
      </c>
      <c r="AA6" s="31">
        <f t="shared" si="5"/>
        <v>1</v>
      </c>
      <c r="AB6" s="31">
        <f t="shared" si="6"/>
        <v>8</v>
      </c>
      <c r="AC6" s="31" t="str">
        <f t="shared" si="7"/>
        <v/>
      </c>
      <c r="AD6" s="31" t="str">
        <f t="shared" si="8"/>
        <v/>
      </c>
      <c r="AE6" s="31" t="str">
        <f t="shared" si="9"/>
        <v/>
      </c>
      <c r="AF6" s="31" t="str">
        <f t="shared" si="10"/>
        <v/>
      </c>
      <c r="AG6" s="25">
        <v>9</v>
      </c>
      <c r="AH6" s="25">
        <v>0</v>
      </c>
      <c r="AI6" s="25">
        <v>0</v>
      </c>
      <c r="AJ6" s="23" t="s">
        <v>110</v>
      </c>
      <c r="AK6" s="23" t="s">
        <v>92</v>
      </c>
      <c r="AL6" s="25">
        <v>30</v>
      </c>
      <c r="AO6" s="32" t="str">
        <f t="shared" si="11"/>
        <v>2 doors</v>
      </c>
      <c r="AQ6" s="23" t="s">
        <v>32</v>
      </c>
      <c r="AR6" s="23" t="str">
        <f t="shared" si="13"/>
        <v>CC</v>
      </c>
      <c r="AS6" s="34">
        <f t="shared" si="12"/>
        <v>360</v>
      </c>
      <c r="AT6" s="23">
        <v>3</v>
      </c>
      <c r="AU6" s="23">
        <v>60</v>
      </c>
      <c r="AV6" s="23">
        <v>0</v>
      </c>
    </row>
    <row r="7" spans="1:48">
      <c r="A7" s="25">
        <v>30</v>
      </c>
      <c r="D7" s="23">
        <v>2</v>
      </c>
      <c r="E7" s="25" t="s">
        <v>42</v>
      </c>
      <c r="F7" s="25" t="s">
        <v>42</v>
      </c>
      <c r="G7" s="23" t="s">
        <v>27</v>
      </c>
      <c r="H7" s="23" t="s">
        <v>94</v>
      </c>
      <c r="I7" s="25">
        <v>1951</v>
      </c>
      <c r="J7" s="35">
        <v>30</v>
      </c>
      <c r="K7" s="35">
        <v>40</v>
      </c>
      <c r="L7" s="35">
        <v>20</v>
      </c>
      <c r="M7" s="25">
        <v>5</v>
      </c>
      <c r="N7" s="25">
        <v>5</v>
      </c>
      <c r="R7" s="30">
        <f t="shared" si="0"/>
        <v>10</v>
      </c>
      <c r="S7" s="30">
        <f t="shared" si="1"/>
        <v>6.9302857142857146</v>
      </c>
      <c r="T7" s="30">
        <f t="shared" si="2"/>
        <v>9.8129523809523818</v>
      </c>
      <c r="U7" s="25">
        <v>55</v>
      </c>
      <c r="V7" s="31">
        <f t="shared" si="3"/>
        <v>84.320000000000007</v>
      </c>
      <c r="W7" s="25">
        <v>62</v>
      </c>
      <c r="X7" s="25">
        <v>4</v>
      </c>
      <c r="Y7" s="25">
        <v>40</v>
      </c>
      <c r="Z7" s="31">
        <f t="shared" si="4"/>
        <v>200</v>
      </c>
      <c r="AA7" s="31">
        <f t="shared" si="5"/>
        <v>1</v>
      </c>
      <c r="AB7" s="31">
        <f t="shared" si="6"/>
        <v>8</v>
      </c>
      <c r="AC7" s="31" t="str">
        <f t="shared" si="7"/>
        <v/>
      </c>
      <c r="AD7" s="31" t="str">
        <f t="shared" si="8"/>
        <v/>
      </c>
      <c r="AE7" s="31" t="str">
        <f t="shared" si="9"/>
        <v/>
      </c>
      <c r="AF7" s="31" t="str">
        <f t="shared" si="10"/>
        <v/>
      </c>
      <c r="AG7" s="25">
        <v>9</v>
      </c>
      <c r="AH7" s="25">
        <v>0</v>
      </c>
      <c r="AI7" s="25">
        <v>0</v>
      </c>
      <c r="AJ7" s="23" t="s">
        <v>110</v>
      </c>
      <c r="AK7" s="23" t="s">
        <v>92</v>
      </c>
      <c r="AL7" s="25">
        <v>30</v>
      </c>
      <c r="AO7" s="32" t="str">
        <f t="shared" si="11"/>
        <v>2 doors</v>
      </c>
      <c r="AQ7" s="23" t="s">
        <v>32</v>
      </c>
      <c r="AR7" s="23" t="str">
        <f t="shared" si="13"/>
        <v>CC</v>
      </c>
      <c r="AS7" s="34">
        <f t="shared" si="12"/>
        <v>360.01</v>
      </c>
      <c r="AT7" s="23">
        <v>3</v>
      </c>
      <c r="AU7" s="23">
        <v>60</v>
      </c>
      <c r="AV7" s="23">
        <v>1</v>
      </c>
    </row>
    <row r="8" spans="1:48">
      <c r="A8" s="25">
        <v>30</v>
      </c>
      <c r="D8" s="23">
        <v>2</v>
      </c>
      <c r="E8" s="25" t="s">
        <v>85</v>
      </c>
      <c r="F8" s="25" t="s">
        <v>85</v>
      </c>
      <c r="G8" s="23" t="s">
        <v>27</v>
      </c>
      <c r="H8" s="23" t="s">
        <v>94</v>
      </c>
      <c r="I8" s="25">
        <v>1951</v>
      </c>
      <c r="J8" s="35">
        <v>30</v>
      </c>
      <c r="K8" s="35">
        <v>40</v>
      </c>
      <c r="L8" s="35">
        <v>20</v>
      </c>
      <c r="M8" s="25">
        <v>5</v>
      </c>
      <c r="N8" s="25">
        <v>5</v>
      </c>
      <c r="R8" s="30">
        <f t="shared" si="0"/>
        <v>10</v>
      </c>
      <c r="S8" s="30">
        <f t="shared" si="1"/>
        <v>6.9302857142857146</v>
      </c>
      <c r="T8" s="30">
        <f t="shared" si="2"/>
        <v>9.8129523809523818</v>
      </c>
      <c r="U8" s="25">
        <v>55</v>
      </c>
      <c r="V8" s="31">
        <f t="shared" si="3"/>
        <v>84.320000000000007</v>
      </c>
      <c r="W8" s="25">
        <v>62</v>
      </c>
      <c r="X8" s="25">
        <v>4</v>
      </c>
      <c r="Y8" s="25">
        <v>40</v>
      </c>
      <c r="Z8" s="31">
        <f t="shared" si="4"/>
        <v>200</v>
      </c>
      <c r="AA8" s="31">
        <f t="shared" si="5"/>
        <v>1</v>
      </c>
      <c r="AB8" s="31">
        <f t="shared" si="6"/>
        <v>8</v>
      </c>
      <c r="AC8" s="31" t="str">
        <f t="shared" si="7"/>
        <v/>
      </c>
      <c r="AD8" s="31" t="str">
        <f t="shared" si="8"/>
        <v/>
      </c>
      <c r="AE8" s="31" t="str">
        <f t="shared" si="9"/>
        <v/>
      </c>
      <c r="AF8" s="31" t="str">
        <f t="shared" si="10"/>
        <v/>
      </c>
      <c r="AG8" s="25">
        <v>9</v>
      </c>
      <c r="AH8" s="25">
        <v>0</v>
      </c>
      <c r="AI8" s="25">
        <v>0</v>
      </c>
      <c r="AJ8" s="23" t="s">
        <v>110</v>
      </c>
      <c r="AK8" s="23" t="s">
        <v>92</v>
      </c>
      <c r="AL8" s="25">
        <v>30</v>
      </c>
      <c r="AO8" s="32" t="str">
        <f t="shared" si="11"/>
        <v>2 doors</v>
      </c>
      <c r="AQ8" s="23" t="s">
        <v>32</v>
      </c>
      <c r="AR8" s="23" t="str">
        <f t="shared" si="13"/>
        <v>Hungary</v>
      </c>
      <c r="AS8" s="34">
        <f t="shared" si="12"/>
        <v>360.02</v>
      </c>
      <c r="AT8" s="23">
        <v>3</v>
      </c>
      <c r="AU8" s="23">
        <v>60</v>
      </c>
      <c r="AV8" s="23">
        <v>2</v>
      </c>
    </row>
    <row r="9" spans="1:48">
      <c r="A9" s="25">
        <v>31</v>
      </c>
      <c r="D9" s="23">
        <v>1</v>
      </c>
      <c r="E9" s="25" t="s">
        <v>30</v>
      </c>
      <c r="F9" s="25" t="s">
        <v>30</v>
      </c>
      <c r="G9" s="23" t="s">
        <v>27</v>
      </c>
      <c r="H9" s="23" t="s">
        <v>99</v>
      </c>
      <c r="I9" s="25">
        <v>1959</v>
      </c>
      <c r="J9" s="35">
        <v>30</v>
      </c>
      <c r="K9" s="35">
        <v>40</v>
      </c>
      <c r="L9" s="35">
        <v>20</v>
      </c>
      <c r="M9" s="25">
        <v>5</v>
      </c>
      <c r="R9" s="30">
        <f t="shared" si="0"/>
        <v>5</v>
      </c>
      <c r="S9" s="30">
        <f t="shared" si="1"/>
        <v>7.073142857142857</v>
      </c>
      <c r="T9" s="30">
        <f t="shared" si="2"/>
        <v>9.5024761904761927</v>
      </c>
      <c r="U9" s="25">
        <v>76</v>
      </c>
      <c r="V9" s="31">
        <f t="shared" si="3"/>
        <v>84.320000000000007</v>
      </c>
      <c r="W9" s="25">
        <v>62</v>
      </c>
      <c r="X9" s="25">
        <v>5</v>
      </c>
      <c r="Y9" s="25">
        <v>32</v>
      </c>
      <c r="Z9" s="31">
        <f t="shared" si="4"/>
        <v>150</v>
      </c>
      <c r="AA9" s="31">
        <f t="shared" si="5"/>
        <v>8</v>
      </c>
      <c r="AB9" s="31" t="str">
        <f t="shared" si="6"/>
        <v/>
      </c>
      <c r="AC9" s="31" t="str">
        <f t="shared" si="7"/>
        <v/>
      </c>
      <c r="AD9" s="31" t="str">
        <f t="shared" si="8"/>
        <v/>
      </c>
      <c r="AE9" s="31" t="str">
        <f t="shared" si="9"/>
        <v/>
      </c>
      <c r="AF9" s="31" t="str">
        <f t="shared" si="10"/>
        <v/>
      </c>
      <c r="AG9" s="25">
        <v>8</v>
      </c>
      <c r="AH9" s="25">
        <v>0</v>
      </c>
      <c r="AI9" s="25">
        <v>0</v>
      </c>
      <c r="AJ9" s="23" t="s">
        <v>110</v>
      </c>
      <c r="AK9" s="23" t="s">
        <v>92</v>
      </c>
      <c r="AL9" s="25">
        <v>31</v>
      </c>
      <c r="AO9" s="32" t="str">
        <f t="shared" si="11"/>
        <v>1 door</v>
      </c>
      <c r="AQ9" s="23" t="s">
        <v>47</v>
      </c>
      <c r="AR9" s="23" t="str">
        <f t="shared" si="13"/>
        <v>CC</v>
      </c>
      <c r="AS9" s="34">
        <f t="shared" si="12"/>
        <v>370</v>
      </c>
      <c r="AT9" s="23">
        <v>3</v>
      </c>
      <c r="AU9" s="23">
        <v>70</v>
      </c>
      <c r="AV9" s="23">
        <v>0</v>
      </c>
    </row>
    <row r="10" spans="1:48">
      <c r="A10" s="25">
        <v>31</v>
      </c>
      <c r="D10" s="23">
        <v>1</v>
      </c>
      <c r="E10" s="25" t="s">
        <v>95</v>
      </c>
      <c r="F10" s="25" t="s">
        <v>95</v>
      </c>
      <c r="G10" s="23" t="s">
        <v>27</v>
      </c>
      <c r="H10" s="23" t="s">
        <v>99</v>
      </c>
      <c r="I10" s="25">
        <v>1959</v>
      </c>
      <c r="J10" s="35">
        <v>30</v>
      </c>
      <c r="K10" s="35">
        <v>40</v>
      </c>
      <c r="L10" s="35">
        <v>20</v>
      </c>
      <c r="M10" s="25">
        <v>5</v>
      </c>
      <c r="R10" s="30">
        <f t="shared" si="0"/>
        <v>5</v>
      </c>
      <c r="S10" s="30">
        <f t="shared" si="1"/>
        <v>7.073142857142857</v>
      </c>
      <c r="T10" s="30">
        <f t="shared" si="2"/>
        <v>9.5024761904761927</v>
      </c>
      <c r="U10" s="25">
        <v>76</v>
      </c>
      <c r="V10" s="31">
        <f t="shared" si="3"/>
        <v>84.320000000000007</v>
      </c>
      <c r="W10" s="25">
        <v>62</v>
      </c>
      <c r="X10" s="25">
        <v>5</v>
      </c>
      <c r="Y10" s="25">
        <v>32</v>
      </c>
      <c r="Z10" s="31">
        <f t="shared" si="4"/>
        <v>150</v>
      </c>
      <c r="AA10" s="31">
        <f t="shared" si="5"/>
        <v>8</v>
      </c>
      <c r="AB10" s="31" t="str">
        <f t="shared" si="6"/>
        <v/>
      </c>
      <c r="AC10" s="31" t="str">
        <f t="shared" si="7"/>
        <v/>
      </c>
      <c r="AD10" s="31" t="str">
        <f t="shared" si="8"/>
        <v/>
      </c>
      <c r="AE10" s="31" t="str">
        <f t="shared" si="9"/>
        <v/>
      </c>
      <c r="AF10" s="31" t="str">
        <f t="shared" si="10"/>
        <v/>
      </c>
      <c r="AG10" s="25">
        <v>8</v>
      </c>
      <c r="AH10" s="25">
        <v>0</v>
      </c>
      <c r="AI10" s="25">
        <v>0</v>
      </c>
      <c r="AJ10" s="23" t="s">
        <v>110</v>
      </c>
      <c r="AK10" s="23" t="s">
        <v>92</v>
      </c>
      <c r="AL10" s="25">
        <v>31</v>
      </c>
      <c r="AO10" s="32" t="str">
        <f t="shared" si="11"/>
        <v>1 door</v>
      </c>
      <c r="AQ10" s="23" t="s">
        <v>47</v>
      </c>
      <c r="AR10" s="23" t="str">
        <f t="shared" si="13"/>
        <v>Hungary</v>
      </c>
      <c r="AS10" s="34">
        <f t="shared" si="12"/>
        <v>370.01</v>
      </c>
      <c r="AT10" s="23">
        <v>3</v>
      </c>
      <c r="AU10" s="23">
        <v>70</v>
      </c>
      <c r="AV10" s="23">
        <v>1</v>
      </c>
    </row>
    <row r="11" spans="1:48">
      <c r="A11" s="25">
        <v>60</v>
      </c>
      <c r="D11" s="23">
        <v>2</v>
      </c>
      <c r="E11" s="25" t="s">
        <v>30</v>
      </c>
      <c r="F11" s="25" t="s">
        <v>30</v>
      </c>
      <c r="G11" s="23" t="s">
        <v>27</v>
      </c>
      <c r="H11" s="23" t="s">
        <v>106</v>
      </c>
      <c r="I11" s="25">
        <v>1952</v>
      </c>
      <c r="J11" s="35">
        <v>30</v>
      </c>
      <c r="K11" s="35">
        <v>40</v>
      </c>
      <c r="L11" s="35">
        <v>20</v>
      </c>
      <c r="M11" s="25">
        <v>8</v>
      </c>
      <c r="N11" s="25">
        <v>10</v>
      </c>
      <c r="R11" s="30">
        <f t="shared" si="0"/>
        <v>18</v>
      </c>
      <c r="S11" s="30">
        <f t="shared" si="1"/>
        <v>10.973714285714287</v>
      </c>
      <c r="T11" s="30">
        <f t="shared" si="2"/>
        <v>14.761714285714286</v>
      </c>
      <c r="U11" s="25">
        <v>58</v>
      </c>
      <c r="V11" s="31">
        <f t="shared" si="3"/>
        <v>123.76</v>
      </c>
      <c r="W11" s="25">
        <v>91</v>
      </c>
      <c r="X11" s="25">
        <v>7</v>
      </c>
      <c r="Y11" s="25">
        <v>60</v>
      </c>
      <c r="Z11" s="31">
        <f t="shared" si="4"/>
        <v>200</v>
      </c>
      <c r="AA11" s="31">
        <f t="shared" si="5"/>
        <v>2</v>
      </c>
      <c r="AB11" s="31">
        <f t="shared" si="6"/>
        <v>8</v>
      </c>
      <c r="AC11" s="31" t="str">
        <f t="shared" si="7"/>
        <v/>
      </c>
      <c r="AD11" s="31" t="str">
        <f t="shared" si="8"/>
        <v/>
      </c>
      <c r="AE11" s="31" t="str">
        <f t="shared" si="9"/>
        <v/>
      </c>
      <c r="AF11" s="31" t="str">
        <f t="shared" si="10"/>
        <v/>
      </c>
      <c r="AG11" s="25">
        <v>10</v>
      </c>
      <c r="AH11" s="25">
        <v>0</v>
      </c>
      <c r="AI11" s="25">
        <v>0</v>
      </c>
      <c r="AJ11" s="23" t="s">
        <v>110</v>
      </c>
      <c r="AK11" s="23" t="s">
        <v>92</v>
      </c>
      <c r="AL11" s="25">
        <v>60</v>
      </c>
      <c r="AO11" s="32" t="str">
        <f t="shared" si="11"/>
        <v>2 doors</v>
      </c>
      <c r="AQ11" s="23" t="s">
        <v>32</v>
      </c>
      <c r="AR11" s="23" t="str">
        <f t="shared" si="13"/>
        <v>CC</v>
      </c>
      <c r="AS11" s="34">
        <f t="shared" si="12"/>
        <v>400</v>
      </c>
      <c r="AT11" s="23">
        <v>4</v>
      </c>
      <c r="AU11" s="23">
        <v>0</v>
      </c>
      <c r="AV11" s="23">
        <v>0</v>
      </c>
    </row>
    <row r="12" spans="1:48">
      <c r="A12" s="25">
        <v>60</v>
      </c>
      <c r="D12" s="23">
        <v>2</v>
      </c>
      <c r="E12" s="25" t="s">
        <v>42</v>
      </c>
      <c r="F12" s="25" t="s">
        <v>42</v>
      </c>
      <c r="G12" s="23" t="s">
        <v>27</v>
      </c>
      <c r="H12" s="23" t="s">
        <v>106</v>
      </c>
      <c r="I12" s="25">
        <v>1952</v>
      </c>
      <c r="J12" s="35">
        <v>30</v>
      </c>
      <c r="K12" s="35">
        <v>40</v>
      </c>
      <c r="L12" s="35">
        <v>20</v>
      </c>
      <c r="M12" s="25">
        <v>8</v>
      </c>
      <c r="N12" s="25">
        <v>10</v>
      </c>
      <c r="R12" s="30">
        <f t="shared" si="0"/>
        <v>18</v>
      </c>
      <c r="S12" s="30">
        <f t="shared" si="1"/>
        <v>10.973714285714287</v>
      </c>
      <c r="T12" s="30">
        <f t="shared" si="2"/>
        <v>14.761714285714286</v>
      </c>
      <c r="U12" s="25">
        <v>58</v>
      </c>
      <c r="V12" s="31">
        <f t="shared" si="3"/>
        <v>123.76</v>
      </c>
      <c r="W12" s="25">
        <v>91</v>
      </c>
      <c r="X12" s="25">
        <v>7</v>
      </c>
      <c r="Y12" s="25">
        <v>60</v>
      </c>
      <c r="Z12" s="31">
        <f t="shared" si="4"/>
        <v>200</v>
      </c>
      <c r="AA12" s="31">
        <f t="shared" si="5"/>
        <v>2</v>
      </c>
      <c r="AB12" s="31">
        <f t="shared" si="6"/>
        <v>8</v>
      </c>
      <c r="AC12" s="31" t="str">
        <f t="shared" si="7"/>
        <v/>
      </c>
      <c r="AD12" s="31" t="str">
        <f t="shared" si="8"/>
        <v/>
      </c>
      <c r="AE12" s="31" t="str">
        <f t="shared" si="9"/>
        <v/>
      </c>
      <c r="AF12" s="31" t="str">
        <f t="shared" si="10"/>
        <v/>
      </c>
      <c r="AG12" s="25">
        <v>10</v>
      </c>
      <c r="AH12" s="25">
        <v>0</v>
      </c>
      <c r="AI12" s="25">
        <v>0</v>
      </c>
      <c r="AJ12" s="23" t="s">
        <v>110</v>
      </c>
      <c r="AK12" s="23" t="s">
        <v>92</v>
      </c>
      <c r="AL12" s="25">
        <v>60</v>
      </c>
      <c r="AO12" s="32" t="str">
        <f t="shared" si="11"/>
        <v>2 doors</v>
      </c>
      <c r="AQ12" s="23" t="s">
        <v>32</v>
      </c>
      <c r="AR12" s="23" t="str">
        <f t="shared" si="13"/>
        <v>CC</v>
      </c>
      <c r="AS12" s="34">
        <f t="shared" si="12"/>
        <v>400.01</v>
      </c>
      <c r="AT12" s="23">
        <v>4</v>
      </c>
      <c r="AU12" s="23">
        <v>0</v>
      </c>
      <c r="AV12" s="23">
        <v>1</v>
      </c>
    </row>
    <row r="13" spans="1:48">
      <c r="A13" s="25">
        <v>60</v>
      </c>
      <c r="D13" s="23">
        <v>2</v>
      </c>
      <c r="E13" s="25" t="s">
        <v>96</v>
      </c>
      <c r="F13" s="25" t="s">
        <v>85</v>
      </c>
      <c r="G13" s="23" t="s">
        <v>27</v>
      </c>
      <c r="H13" s="23" t="s">
        <v>106</v>
      </c>
      <c r="I13" s="25">
        <v>1952</v>
      </c>
      <c r="J13" s="35">
        <v>30</v>
      </c>
      <c r="K13" s="35">
        <v>40</v>
      </c>
      <c r="L13" s="35">
        <v>20</v>
      </c>
      <c r="M13" s="25">
        <v>8</v>
      </c>
      <c r="N13" s="25">
        <v>10</v>
      </c>
      <c r="R13" s="30">
        <f t="shared" si="0"/>
        <v>18</v>
      </c>
      <c r="S13" s="30">
        <f t="shared" si="1"/>
        <v>10.973714285714287</v>
      </c>
      <c r="T13" s="30">
        <f t="shared" si="2"/>
        <v>14.761714285714286</v>
      </c>
      <c r="U13" s="25">
        <v>58</v>
      </c>
      <c r="V13" s="31">
        <f t="shared" si="3"/>
        <v>123.76</v>
      </c>
      <c r="W13" s="25">
        <v>91</v>
      </c>
      <c r="X13" s="25">
        <v>7</v>
      </c>
      <c r="Y13" s="25">
        <v>60</v>
      </c>
      <c r="Z13" s="31">
        <f t="shared" si="4"/>
        <v>200</v>
      </c>
      <c r="AA13" s="31">
        <f t="shared" si="5"/>
        <v>2</v>
      </c>
      <c r="AB13" s="31">
        <f t="shared" si="6"/>
        <v>8</v>
      </c>
      <c r="AC13" s="31" t="str">
        <f t="shared" si="7"/>
        <v/>
      </c>
      <c r="AD13" s="31" t="str">
        <f t="shared" si="8"/>
        <v/>
      </c>
      <c r="AE13" s="31" t="str">
        <f t="shared" si="9"/>
        <v/>
      </c>
      <c r="AF13" s="31" t="str">
        <f t="shared" si="10"/>
        <v/>
      </c>
      <c r="AG13" s="25">
        <v>10</v>
      </c>
      <c r="AH13" s="25">
        <v>0</v>
      </c>
      <c r="AI13" s="25">
        <v>0</v>
      </c>
      <c r="AJ13" s="23" t="s">
        <v>110</v>
      </c>
      <c r="AK13" s="23" t="s">
        <v>92</v>
      </c>
      <c r="AL13" s="25">
        <v>60</v>
      </c>
      <c r="AO13" s="32" t="str">
        <f t="shared" si="11"/>
        <v>2 doors</v>
      </c>
      <c r="AQ13" s="23" t="s">
        <v>32</v>
      </c>
      <c r="AR13" s="23" t="str">
        <f t="shared" si="13"/>
        <v>Hungary</v>
      </c>
      <c r="AS13" s="34">
        <f t="shared" si="12"/>
        <v>400.02</v>
      </c>
      <c r="AT13" s="23">
        <v>4</v>
      </c>
      <c r="AU13" s="23">
        <v>0</v>
      </c>
      <c r="AV13" s="23">
        <v>2</v>
      </c>
    </row>
    <row r="14" spans="1:48">
      <c r="A14" s="25">
        <v>60</v>
      </c>
      <c r="D14" s="23">
        <v>2</v>
      </c>
      <c r="E14" s="25" t="s">
        <v>97</v>
      </c>
      <c r="F14" s="25" t="s">
        <v>85</v>
      </c>
      <c r="G14" s="23" t="s">
        <v>27</v>
      </c>
      <c r="H14" s="23" t="s">
        <v>106</v>
      </c>
      <c r="I14" s="25">
        <v>1952</v>
      </c>
      <c r="J14" s="35">
        <v>30</v>
      </c>
      <c r="K14" s="35">
        <v>40</v>
      </c>
      <c r="L14" s="35">
        <v>20</v>
      </c>
      <c r="M14" s="25">
        <v>8</v>
      </c>
      <c r="N14" s="25">
        <v>10</v>
      </c>
      <c r="R14" s="30">
        <f t="shared" si="0"/>
        <v>18</v>
      </c>
      <c r="S14" s="30">
        <f t="shared" si="1"/>
        <v>10.973714285714287</v>
      </c>
      <c r="T14" s="30">
        <f t="shared" si="2"/>
        <v>14.761714285714286</v>
      </c>
      <c r="U14" s="25">
        <v>58</v>
      </c>
      <c r="V14" s="31">
        <f t="shared" si="3"/>
        <v>123.76</v>
      </c>
      <c r="W14" s="25">
        <v>91</v>
      </c>
      <c r="X14" s="25">
        <v>7</v>
      </c>
      <c r="Y14" s="25">
        <v>60</v>
      </c>
      <c r="Z14" s="31">
        <f t="shared" si="4"/>
        <v>200</v>
      </c>
      <c r="AA14" s="31">
        <f t="shared" si="5"/>
        <v>2</v>
      </c>
      <c r="AB14" s="31">
        <f t="shared" si="6"/>
        <v>8</v>
      </c>
      <c r="AC14" s="31" t="str">
        <f t="shared" si="7"/>
        <v/>
      </c>
      <c r="AD14" s="31" t="str">
        <f t="shared" si="8"/>
        <v/>
      </c>
      <c r="AE14" s="31" t="str">
        <f t="shared" si="9"/>
        <v/>
      </c>
      <c r="AF14" s="31" t="str">
        <f t="shared" si="10"/>
        <v/>
      </c>
      <c r="AG14" s="25">
        <v>10</v>
      </c>
      <c r="AH14" s="25">
        <v>0</v>
      </c>
      <c r="AI14" s="25">
        <v>0</v>
      </c>
      <c r="AJ14" s="23" t="s">
        <v>110</v>
      </c>
      <c r="AK14" s="23" t="s">
        <v>92</v>
      </c>
      <c r="AL14" s="25">
        <v>60</v>
      </c>
      <c r="AO14" s="32" t="str">
        <f t="shared" si="11"/>
        <v>2 doors</v>
      </c>
      <c r="AQ14" s="23" t="s">
        <v>32</v>
      </c>
      <c r="AR14" s="23" t="str">
        <f t="shared" si="13"/>
        <v>Hungary</v>
      </c>
      <c r="AS14" s="34">
        <f t="shared" si="12"/>
        <v>400.03</v>
      </c>
      <c r="AT14" s="23">
        <v>4</v>
      </c>
      <c r="AU14" s="23">
        <v>0</v>
      </c>
      <c r="AV14" s="23">
        <v>3</v>
      </c>
    </row>
    <row r="15" spans="1:48">
      <c r="A15" s="25" t="s">
        <v>109</v>
      </c>
      <c r="B15" s="23" t="s">
        <v>121</v>
      </c>
      <c r="D15" s="23">
        <v>3</v>
      </c>
      <c r="E15" s="25" t="s">
        <v>30</v>
      </c>
      <c r="F15" s="25" t="s">
        <v>30</v>
      </c>
      <c r="G15" s="23" t="s">
        <v>27</v>
      </c>
      <c r="H15" s="23" t="s">
        <v>98</v>
      </c>
      <c r="I15" s="25">
        <v>1955</v>
      </c>
      <c r="J15" s="35">
        <v>30</v>
      </c>
      <c r="K15" s="35">
        <v>40</v>
      </c>
      <c r="L15" s="35">
        <v>20</v>
      </c>
      <c r="M15" s="25">
        <v>8</v>
      </c>
      <c r="N15" s="25">
        <v>10</v>
      </c>
      <c r="O15" s="25">
        <v>8</v>
      </c>
      <c r="R15" s="30">
        <f t="shared" si="0"/>
        <v>26</v>
      </c>
      <c r="S15" s="30">
        <f t="shared" si="1"/>
        <v>13.545142857142858</v>
      </c>
      <c r="T15" s="30">
        <f t="shared" si="2"/>
        <v>16.033142857142856</v>
      </c>
      <c r="U15" s="25">
        <v>52</v>
      </c>
      <c r="V15" s="31">
        <f t="shared" si="3"/>
        <v>123.76</v>
      </c>
      <c r="W15" s="25">
        <v>91</v>
      </c>
      <c r="X15" s="25">
        <v>11</v>
      </c>
      <c r="Y15" s="25">
        <v>105</v>
      </c>
      <c r="Z15" s="31">
        <f t="shared" si="4"/>
        <v>200</v>
      </c>
      <c r="AA15" s="31">
        <f t="shared" si="5"/>
        <v>2</v>
      </c>
      <c r="AB15" s="31">
        <f t="shared" si="6"/>
        <v>8</v>
      </c>
      <c r="AC15" s="31">
        <f t="shared" si="7"/>
        <v>7</v>
      </c>
      <c r="AD15" s="31" t="str">
        <f t="shared" si="8"/>
        <v/>
      </c>
      <c r="AE15" s="31" t="str">
        <f t="shared" si="9"/>
        <v/>
      </c>
      <c r="AF15" s="31" t="str">
        <f t="shared" si="10"/>
        <v/>
      </c>
      <c r="AG15" s="25">
        <v>10</v>
      </c>
      <c r="AH15" s="25">
        <v>7</v>
      </c>
      <c r="AI15" s="25">
        <v>0</v>
      </c>
      <c r="AJ15" s="23" t="s">
        <v>110</v>
      </c>
      <c r="AK15" s="23" t="s">
        <v>92</v>
      </c>
      <c r="AL15" s="25">
        <v>60</v>
      </c>
      <c r="AM15" s="28" t="s">
        <v>205</v>
      </c>
      <c r="AO15" s="32" t="str">
        <f t="shared" si="11"/>
        <v>3 doors</v>
      </c>
      <c r="AQ15" s="23" t="s">
        <v>32</v>
      </c>
      <c r="AR15" s="23" t="str">
        <f t="shared" si="13"/>
        <v>CC</v>
      </c>
      <c r="AS15" s="34">
        <f t="shared" si="12"/>
        <v>410</v>
      </c>
      <c r="AT15" s="23">
        <v>4</v>
      </c>
      <c r="AU15" s="23">
        <v>10</v>
      </c>
      <c r="AV15" s="23">
        <v>0</v>
      </c>
    </row>
    <row r="16" spans="1:48">
      <c r="A16" s="25" t="s">
        <v>109</v>
      </c>
      <c r="B16" s="23" t="s">
        <v>121</v>
      </c>
      <c r="D16" s="23">
        <v>3</v>
      </c>
      <c r="E16" s="25" t="s">
        <v>42</v>
      </c>
      <c r="F16" s="25" t="s">
        <v>42</v>
      </c>
      <c r="G16" s="23" t="s">
        <v>27</v>
      </c>
      <c r="H16" s="23" t="s">
        <v>98</v>
      </c>
      <c r="I16" s="25">
        <v>1955</v>
      </c>
      <c r="J16" s="35">
        <v>30</v>
      </c>
      <c r="K16" s="35">
        <v>40</v>
      </c>
      <c r="L16" s="35">
        <v>20</v>
      </c>
      <c r="M16" s="25">
        <v>8</v>
      </c>
      <c r="N16" s="25">
        <v>10</v>
      </c>
      <c r="O16" s="25">
        <v>8</v>
      </c>
      <c r="R16" s="30">
        <f t="shared" si="0"/>
        <v>26</v>
      </c>
      <c r="S16" s="30">
        <f t="shared" si="1"/>
        <v>13.545142857142858</v>
      </c>
      <c r="T16" s="30">
        <f t="shared" si="2"/>
        <v>16.033142857142856</v>
      </c>
      <c r="U16" s="25">
        <v>52</v>
      </c>
      <c r="V16" s="31">
        <f t="shared" si="3"/>
        <v>123.76</v>
      </c>
      <c r="W16" s="25">
        <v>91</v>
      </c>
      <c r="X16" s="25">
        <v>11</v>
      </c>
      <c r="Y16" s="25">
        <v>105</v>
      </c>
      <c r="Z16" s="31">
        <f t="shared" si="4"/>
        <v>200</v>
      </c>
      <c r="AA16" s="31">
        <f t="shared" si="5"/>
        <v>2</v>
      </c>
      <c r="AB16" s="31">
        <f t="shared" si="6"/>
        <v>8</v>
      </c>
      <c r="AC16" s="31">
        <f t="shared" si="7"/>
        <v>7</v>
      </c>
      <c r="AD16" s="31" t="str">
        <f t="shared" si="8"/>
        <v/>
      </c>
      <c r="AE16" s="31" t="str">
        <f t="shared" si="9"/>
        <v/>
      </c>
      <c r="AF16" s="31" t="str">
        <f t="shared" si="10"/>
        <v/>
      </c>
      <c r="AG16" s="25">
        <v>10</v>
      </c>
      <c r="AH16" s="25">
        <v>7</v>
      </c>
      <c r="AI16" s="25">
        <v>0</v>
      </c>
      <c r="AJ16" s="23" t="s">
        <v>110</v>
      </c>
      <c r="AK16" s="23" t="s">
        <v>92</v>
      </c>
      <c r="AL16" s="25">
        <v>60</v>
      </c>
      <c r="AM16" s="28" t="s">
        <v>205</v>
      </c>
      <c r="AO16" s="32" t="str">
        <f t="shared" si="11"/>
        <v>3 doors</v>
      </c>
      <c r="AQ16" s="23" t="s">
        <v>32</v>
      </c>
      <c r="AR16" s="23" t="str">
        <f t="shared" si="13"/>
        <v>CC</v>
      </c>
      <c r="AS16" s="34">
        <f t="shared" si="12"/>
        <v>410.01</v>
      </c>
      <c r="AT16" s="23">
        <v>4</v>
      </c>
      <c r="AU16" s="23">
        <v>10</v>
      </c>
      <c r="AV16" s="23">
        <v>1</v>
      </c>
    </row>
    <row r="17" spans="1:48">
      <c r="A17" s="25" t="s">
        <v>109</v>
      </c>
      <c r="B17" s="23" t="s">
        <v>121</v>
      </c>
      <c r="D17" s="23">
        <v>3</v>
      </c>
      <c r="E17" s="25" t="s">
        <v>96</v>
      </c>
      <c r="F17" s="25" t="s">
        <v>85</v>
      </c>
      <c r="G17" s="23" t="s">
        <v>27</v>
      </c>
      <c r="H17" s="23" t="s">
        <v>98</v>
      </c>
      <c r="I17" s="25">
        <v>1955</v>
      </c>
      <c r="J17" s="35">
        <v>30</v>
      </c>
      <c r="K17" s="35">
        <v>40</v>
      </c>
      <c r="L17" s="35">
        <v>20</v>
      </c>
      <c r="M17" s="25">
        <v>8</v>
      </c>
      <c r="N17" s="25">
        <v>10</v>
      </c>
      <c r="O17" s="25">
        <v>8</v>
      </c>
      <c r="R17" s="30">
        <f t="shared" si="0"/>
        <v>26</v>
      </c>
      <c r="S17" s="30">
        <f t="shared" si="1"/>
        <v>13.545142857142858</v>
      </c>
      <c r="T17" s="30">
        <f t="shared" si="2"/>
        <v>16.033142857142856</v>
      </c>
      <c r="U17" s="25">
        <v>52</v>
      </c>
      <c r="V17" s="31">
        <f t="shared" si="3"/>
        <v>123.76</v>
      </c>
      <c r="W17" s="25">
        <v>91</v>
      </c>
      <c r="X17" s="25">
        <v>11</v>
      </c>
      <c r="Y17" s="25">
        <v>105</v>
      </c>
      <c r="Z17" s="31">
        <f t="shared" si="4"/>
        <v>200</v>
      </c>
      <c r="AA17" s="31">
        <f t="shared" si="5"/>
        <v>2</v>
      </c>
      <c r="AB17" s="31">
        <f t="shared" si="6"/>
        <v>8</v>
      </c>
      <c r="AC17" s="31">
        <f t="shared" si="7"/>
        <v>7</v>
      </c>
      <c r="AD17" s="31" t="str">
        <f t="shared" si="8"/>
        <v/>
      </c>
      <c r="AE17" s="31" t="str">
        <f t="shared" si="9"/>
        <v/>
      </c>
      <c r="AF17" s="31" t="str">
        <f t="shared" si="10"/>
        <v/>
      </c>
      <c r="AG17" s="25">
        <v>10</v>
      </c>
      <c r="AH17" s="25">
        <v>7</v>
      </c>
      <c r="AI17" s="25">
        <v>0</v>
      </c>
      <c r="AJ17" s="23" t="s">
        <v>110</v>
      </c>
      <c r="AK17" s="23" t="s">
        <v>92</v>
      </c>
      <c r="AL17" s="25">
        <v>60</v>
      </c>
      <c r="AM17" s="28" t="s">
        <v>205</v>
      </c>
      <c r="AO17" s="32" t="str">
        <f t="shared" si="11"/>
        <v>3 doors</v>
      </c>
      <c r="AQ17" s="23" t="s">
        <v>32</v>
      </c>
      <c r="AR17" s="23" t="str">
        <f t="shared" si="13"/>
        <v>Hungary</v>
      </c>
      <c r="AS17" s="34">
        <f t="shared" si="12"/>
        <v>410.02</v>
      </c>
      <c r="AT17" s="23">
        <v>4</v>
      </c>
      <c r="AU17" s="23">
        <v>10</v>
      </c>
      <c r="AV17" s="23">
        <v>2</v>
      </c>
    </row>
    <row r="18" spans="1:48">
      <c r="A18" s="25" t="s">
        <v>109</v>
      </c>
      <c r="B18" s="23" t="s">
        <v>121</v>
      </c>
      <c r="D18" s="23">
        <v>3</v>
      </c>
      <c r="E18" s="25" t="s">
        <v>97</v>
      </c>
      <c r="F18" s="25" t="s">
        <v>85</v>
      </c>
      <c r="G18" s="23" t="s">
        <v>27</v>
      </c>
      <c r="H18" s="23" t="s">
        <v>98</v>
      </c>
      <c r="I18" s="25">
        <v>1955</v>
      </c>
      <c r="J18" s="35">
        <v>30</v>
      </c>
      <c r="K18" s="35">
        <v>40</v>
      </c>
      <c r="L18" s="35">
        <v>20</v>
      </c>
      <c r="M18" s="25">
        <v>8</v>
      </c>
      <c r="N18" s="25">
        <v>10</v>
      </c>
      <c r="O18" s="25">
        <v>8</v>
      </c>
      <c r="R18" s="30">
        <f t="shared" si="0"/>
        <v>26</v>
      </c>
      <c r="S18" s="30">
        <f t="shared" si="1"/>
        <v>13.545142857142858</v>
      </c>
      <c r="T18" s="30">
        <f t="shared" si="2"/>
        <v>16.033142857142856</v>
      </c>
      <c r="U18" s="25">
        <v>52</v>
      </c>
      <c r="V18" s="31">
        <f t="shared" si="3"/>
        <v>123.76</v>
      </c>
      <c r="W18" s="25">
        <v>91</v>
      </c>
      <c r="X18" s="25">
        <v>11</v>
      </c>
      <c r="Y18" s="25">
        <v>105</v>
      </c>
      <c r="Z18" s="31">
        <f t="shared" si="4"/>
        <v>200</v>
      </c>
      <c r="AA18" s="31">
        <f t="shared" si="5"/>
        <v>2</v>
      </c>
      <c r="AB18" s="31">
        <f t="shared" si="6"/>
        <v>8</v>
      </c>
      <c r="AC18" s="31">
        <f t="shared" si="7"/>
        <v>7</v>
      </c>
      <c r="AD18" s="31" t="str">
        <f t="shared" si="8"/>
        <v/>
      </c>
      <c r="AE18" s="31" t="str">
        <f t="shared" si="9"/>
        <v/>
      </c>
      <c r="AF18" s="31" t="str">
        <f t="shared" si="10"/>
        <v/>
      </c>
      <c r="AG18" s="25">
        <v>10</v>
      </c>
      <c r="AH18" s="25">
        <v>7</v>
      </c>
      <c r="AI18" s="25">
        <v>0</v>
      </c>
      <c r="AJ18" s="23" t="s">
        <v>110</v>
      </c>
      <c r="AK18" s="23" t="s">
        <v>92</v>
      </c>
      <c r="AL18" s="25">
        <v>60</v>
      </c>
      <c r="AM18" s="28" t="s">
        <v>205</v>
      </c>
      <c r="AO18" s="32" t="str">
        <f t="shared" si="11"/>
        <v>3 doors</v>
      </c>
      <c r="AQ18" s="23" t="s">
        <v>32</v>
      </c>
      <c r="AR18" s="23" t="str">
        <f t="shared" si="13"/>
        <v>Hungary</v>
      </c>
      <c r="AS18" s="34">
        <f t="shared" si="12"/>
        <v>410.03</v>
      </c>
      <c r="AT18" s="23">
        <v>4</v>
      </c>
      <c r="AU18" s="23">
        <v>10</v>
      </c>
      <c r="AV18" s="23">
        <v>3</v>
      </c>
    </row>
    <row r="19" spans="1:48">
      <c r="A19" s="25">
        <v>601</v>
      </c>
      <c r="D19" s="23">
        <v>1</v>
      </c>
      <c r="E19" s="25" t="s">
        <v>30</v>
      </c>
      <c r="F19" s="25" t="s">
        <v>30</v>
      </c>
      <c r="G19" s="23" t="s">
        <v>27</v>
      </c>
      <c r="H19" s="23" t="s">
        <v>104</v>
      </c>
      <c r="I19" s="25">
        <v>1952</v>
      </c>
      <c r="J19" s="35">
        <v>30</v>
      </c>
      <c r="K19" s="35">
        <v>40</v>
      </c>
      <c r="L19" s="35">
        <v>20</v>
      </c>
      <c r="M19" s="25">
        <v>5</v>
      </c>
      <c r="R19" s="30">
        <f t="shared" si="0"/>
        <v>5</v>
      </c>
      <c r="S19" s="30">
        <f t="shared" si="1"/>
        <v>10.045142857142858</v>
      </c>
      <c r="T19" s="30">
        <f t="shared" si="2"/>
        <v>13.686476190476192</v>
      </c>
      <c r="U19" s="25">
        <v>76</v>
      </c>
      <c r="V19" s="31">
        <f t="shared" si="3"/>
        <v>123.76</v>
      </c>
      <c r="W19" s="25">
        <v>91</v>
      </c>
      <c r="X19" s="25">
        <v>7</v>
      </c>
      <c r="Y19" s="25">
        <v>38</v>
      </c>
      <c r="Z19" s="31">
        <f t="shared" si="4"/>
        <v>185</v>
      </c>
      <c r="AA19" s="31">
        <f t="shared" si="5"/>
        <v>2</v>
      </c>
      <c r="AB19" s="31">
        <f t="shared" si="6"/>
        <v>8</v>
      </c>
      <c r="AC19" s="31" t="str">
        <f t="shared" si="7"/>
        <v/>
      </c>
      <c r="AD19" s="31" t="str">
        <f t="shared" si="8"/>
        <v/>
      </c>
      <c r="AE19" s="31" t="str">
        <f t="shared" si="9"/>
        <v/>
      </c>
      <c r="AF19" s="31" t="str">
        <f t="shared" si="10"/>
        <v/>
      </c>
      <c r="AG19" s="25">
        <v>10</v>
      </c>
      <c r="AH19" s="25">
        <v>0</v>
      </c>
      <c r="AI19" s="25">
        <v>0</v>
      </c>
      <c r="AJ19" s="23" t="s">
        <v>110</v>
      </c>
      <c r="AK19" s="23" t="s">
        <v>92</v>
      </c>
      <c r="AL19" s="25">
        <v>601</v>
      </c>
      <c r="AO19" s="32" t="str">
        <f t="shared" si="11"/>
        <v>1 door</v>
      </c>
      <c r="AQ19" s="23" t="s">
        <v>33</v>
      </c>
      <c r="AR19" s="23" t="str">
        <f t="shared" si="13"/>
        <v>CC</v>
      </c>
      <c r="AS19" s="34">
        <f t="shared" si="12"/>
        <v>430</v>
      </c>
      <c r="AT19" s="23">
        <v>4</v>
      </c>
      <c r="AU19" s="23">
        <v>30</v>
      </c>
      <c r="AV19" s="23">
        <v>0</v>
      </c>
    </row>
    <row r="20" spans="1:48">
      <c r="A20" s="25">
        <v>601</v>
      </c>
      <c r="D20" s="23">
        <v>1</v>
      </c>
      <c r="E20" s="25" t="s">
        <v>46</v>
      </c>
      <c r="F20" s="25" t="s">
        <v>46</v>
      </c>
      <c r="G20" s="23" t="s">
        <v>27</v>
      </c>
      <c r="H20" s="23" t="s">
        <v>104</v>
      </c>
      <c r="I20" s="25">
        <v>1952</v>
      </c>
      <c r="J20" s="35">
        <v>30</v>
      </c>
      <c r="K20" s="35">
        <v>40</v>
      </c>
      <c r="L20" s="35">
        <v>20</v>
      </c>
      <c r="M20" s="25">
        <v>5</v>
      </c>
      <c r="R20" s="30">
        <f t="shared" si="0"/>
        <v>5</v>
      </c>
      <c r="S20" s="30">
        <f t="shared" si="1"/>
        <v>10.045142857142858</v>
      </c>
      <c r="T20" s="30">
        <f t="shared" si="2"/>
        <v>13.686476190476192</v>
      </c>
      <c r="U20" s="25">
        <v>76</v>
      </c>
      <c r="V20" s="31">
        <f t="shared" si="3"/>
        <v>123.76</v>
      </c>
      <c r="W20" s="25">
        <v>91</v>
      </c>
      <c r="X20" s="25">
        <v>7</v>
      </c>
      <c r="Y20" s="25">
        <v>38</v>
      </c>
      <c r="Z20" s="31">
        <f t="shared" si="4"/>
        <v>185</v>
      </c>
      <c r="AA20" s="31">
        <f t="shared" si="5"/>
        <v>2</v>
      </c>
      <c r="AB20" s="31">
        <f t="shared" si="6"/>
        <v>8</v>
      </c>
      <c r="AC20" s="31" t="str">
        <f t="shared" si="7"/>
        <v/>
      </c>
      <c r="AD20" s="31" t="str">
        <f t="shared" si="8"/>
        <v/>
      </c>
      <c r="AE20" s="31" t="str">
        <f t="shared" si="9"/>
        <v/>
      </c>
      <c r="AF20" s="31" t="str">
        <f t="shared" si="10"/>
        <v/>
      </c>
      <c r="AG20" s="25">
        <v>10</v>
      </c>
      <c r="AH20" s="25">
        <v>0</v>
      </c>
      <c r="AI20" s="25">
        <v>0</v>
      </c>
      <c r="AJ20" s="23" t="s">
        <v>110</v>
      </c>
      <c r="AK20" s="23" t="s">
        <v>92</v>
      </c>
      <c r="AL20" s="25">
        <v>601</v>
      </c>
      <c r="AO20" s="32" t="str">
        <f t="shared" si="11"/>
        <v>1 door</v>
      </c>
      <c r="AQ20" s="23" t="s">
        <v>33</v>
      </c>
      <c r="AR20" s="23" t="str">
        <f t="shared" si="13"/>
        <v>Hungary</v>
      </c>
      <c r="AS20" s="34">
        <f t="shared" si="12"/>
        <v>430.01</v>
      </c>
      <c r="AT20" s="23">
        <v>4</v>
      </c>
      <c r="AU20" s="23">
        <v>30</v>
      </c>
      <c r="AV20" s="23">
        <v>1</v>
      </c>
    </row>
    <row r="21" spans="1:48">
      <c r="A21" s="25">
        <v>602</v>
      </c>
      <c r="D21" s="23">
        <v>1</v>
      </c>
      <c r="E21" s="25" t="s">
        <v>30</v>
      </c>
      <c r="F21" s="25" t="s">
        <v>30</v>
      </c>
      <c r="G21" s="23" t="s">
        <v>27</v>
      </c>
      <c r="H21" s="23" t="s">
        <v>105</v>
      </c>
      <c r="I21" s="25">
        <v>1953</v>
      </c>
      <c r="J21" s="35">
        <v>30</v>
      </c>
      <c r="K21" s="35">
        <v>40</v>
      </c>
      <c r="L21" s="35">
        <v>20</v>
      </c>
      <c r="M21" s="25">
        <v>5</v>
      </c>
      <c r="R21" s="30">
        <f t="shared" si="0"/>
        <v>5</v>
      </c>
      <c r="S21" s="30">
        <f t="shared" si="1"/>
        <v>10.045142857142858</v>
      </c>
      <c r="T21" s="30">
        <f t="shared" si="2"/>
        <v>13.666476190476191</v>
      </c>
      <c r="U21" s="25">
        <v>87</v>
      </c>
      <c r="V21" s="31">
        <f t="shared" si="3"/>
        <v>123.76</v>
      </c>
      <c r="W21" s="25">
        <v>91</v>
      </c>
      <c r="X21" s="25">
        <v>7</v>
      </c>
      <c r="Y21" s="25">
        <v>35</v>
      </c>
      <c r="Z21" s="31">
        <f t="shared" si="4"/>
        <v>150</v>
      </c>
      <c r="AA21" s="31">
        <f t="shared" si="5"/>
        <v>2</v>
      </c>
      <c r="AB21" s="31">
        <f t="shared" si="6"/>
        <v>8</v>
      </c>
      <c r="AC21" s="31" t="str">
        <f t="shared" si="7"/>
        <v/>
      </c>
      <c r="AD21" s="31" t="str">
        <f t="shared" si="8"/>
        <v/>
      </c>
      <c r="AE21" s="31" t="str">
        <f t="shared" si="9"/>
        <v/>
      </c>
      <c r="AF21" s="31" t="str">
        <f t="shared" si="10"/>
        <v/>
      </c>
      <c r="AG21" s="25">
        <v>10</v>
      </c>
      <c r="AH21" s="25">
        <v>0</v>
      </c>
      <c r="AI21" s="25">
        <v>0</v>
      </c>
      <c r="AJ21" s="23" t="s">
        <v>110</v>
      </c>
      <c r="AK21" s="23" t="s">
        <v>92</v>
      </c>
      <c r="AL21" s="25">
        <v>602</v>
      </c>
      <c r="AO21" s="32" t="str">
        <f t="shared" si="11"/>
        <v>1 door</v>
      </c>
      <c r="AQ21" s="23" t="s">
        <v>47</v>
      </c>
      <c r="AR21" s="23" t="str">
        <f t="shared" si="13"/>
        <v>CC</v>
      </c>
      <c r="AS21" s="34">
        <f t="shared" si="12"/>
        <v>440</v>
      </c>
      <c r="AT21" s="23">
        <v>4</v>
      </c>
      <c r="AU21" s="23">
        <v>40</v>
      </c>
      <c r="AV21" s="23">
        <v>0</v>
      </c>
    </row>
    <row r="22" spans="1:48">
      <c r="A22" s="25">
        <v>602</v>
      </c>
      <c r="D22" s="23">
        <v>1</v>
      </c>
      <c r="E22" s="25" t="s">
        <v>48</v>
      </c>
      <c r="F22" s="25" t="s">
        <v>48</v>
      </c>
      <c r="G22" s="23" t="s">
        <v>27</v>
      </c>
      <c r="H22" s="23" t="s">
        <v>105</v>
      </c>
      <c r="I22" s="25">
        <v>1953</v>
      </c>
      <c r="J22" s="35">
        <v>30</v>
      </c>
      <c r="K22" s="35">
        <v>40</v>
      </c>
      <c r="L22" s="35">
        <v>20</v>
      </c>
      <c r="M22" s="25">
        <v>5</v>
      </c>
      <c r="R22" s="30">
        <f t="shared" si="0"/>
        <v>5</v>
      </c>
      <c r="S22" s="30">
        <f t="shared" si="1"/>
        <v>10.045142857142858</v>
      </c>
      <c r="T22" s="30">
        <f t="shared" si="2"/>
        <v>13.666476190476191</v>
      </c>
      <c r="U22" s="25">
        <v>87</v>
      </c>
      <c r="V22" s="31">
        <f t="shared" si="3"/>
        <v>123.76</v>
      </c>
      <c r="W22" s="25">
        <v>91</v>
      </c>
      <c r="X22" s="25">
        <v>7</v>
      </c>
      <c r="Y22" s="25">
        <v>35</v>
      </c>
      <c r="Z22" s="31">
        <f t="shared" si="4"/>
        <v>150</v>
      </c>
      <c r="AA22" s="31">
        <f t="shared" si="5"/>
        <v>2</v>
      </c>
      <c r="AB22" s="31">
        <f t="shared" si="6"/>
        <v>8</v>
      </c>
      <c r="AC22" s="31" t="str">
        <f t="shared" si="7"/>
        <v/>
      </c>
      <c r="AD22" s="31" t="str">
        <f t="shared" si="8"/>
        <v/>
      </c>
      <c r="AE22" s="31" t="str">
        <f t="shared" si="9"/>
        <v/>
      </c>
      <c r="AF22" s="31" t="str">
        <f t="shared" si="10"/>
        <v/>
      </c>
      <c r="AG22" s="25">
        <v>10</v>
      </c>
      <c r="AH22" s="25">
        <v>0</v>
      </c>
      <c r="AI22" s="25">
        <v>0</v>
      </c>
      <c r="AJ22" s="23" t="s">
        <v>110</v>
      </c>
      <c r="AK22" s="23" t="s">
        <v>92</v>
      </c>
      <c r="AL22" s="25">
        <v>602</v>
      </c>
      <c r="AO22" s="32" t="str">
        <f t="shared" si="11"/>
        <v>1 door</v>
      </c>
      <c r="AQ22" s="23" t="s">
        <v>47</v>
      </c>
      <c r="AR22" s="23" t="str">
        <f t="shared" si="13"/>
        <v>Hungary</v>
      </c>
      <c r="AS22" s="34">
        <f t="shared" si="12"/>
        <v>440.01</v>
      </c>
      <c r="AT22" s="23">
        <v>4</v>
      </c>
      <c r="AU22" s="23">
        <v>40</v>
      </c>
      <c r="AV22" s="23">
        <v>1</v>
      </c>
    </row>
    <row r="23" spans="1:48">
      <c r="A23" s="25" t="s">
        <v>223</v>
      </c>
      <c r="B23" s="23" t="s">
        <v>135</v>
      </c>
      <c r="D23" s="23">
        <v>3</v>
      </c>
      <c r="E23" s="25" t="s">
        <v>30</v>
      </c>
      <c r="F23" s="25" t="s">
        <v>30</v>
      </c>
      <c r="G23" s="23" t="s">
        <v>27</v>
      </c>
      <c r="H23" s="23" t="s">
        <v>222</v>
      </c>
      <c r="I23" s="25">
        <v>1961</v>
      </c>
      <c r="J23" s="35">
        <v>30</v>
      </c>
      <c r="K23" s="35">
        <v>40</v>
      </c>
      <c r="L23" s="35">
        <v>20</v>
      </c>
      <c r="M23" s="25">
        <v>8</v>
      </c>
      <c r="N23" s="25">
        <v>8</v>
      </c>
      <c r="O23" s="25">
        <v>10</v>
      </c>
      <c r="R23" s="30">
        <f t="shared" si="0"/>
        <v>26</v>
      </c>
      <c r="S23" s="30">
        <f t="shared" si="1"/>
        <v>15.065142857142858</v>
      </c>
      <c r="T23" s="30">
        <f t="shared" si="2"/>
        <v>18.35314285714286</v>
      </c>
      <c r="U23" s="25">
        <v>55</v>
      </c>
      <c r="V23" s="31">
        <f t="shared" si="3"/>
        <v>144.16</v>
      </c>
      <c r="W23" s="25">
        <v>106</v>
      </c>
      <c r="X23" s="25">
        <v>12</v>
      </c>
      <c r="Y23" s="25">
        <v>132</v>
      </c>
      <c r="Z23" s="31">
        <f t="shared" si="4"/>
        <v>200</v>
      </c>
      <c r="AA23" s="31">
        <f t="shared" si="5"/>
        <v>8</v>
      </c>
      <c r="AB23" s="31" t="str">
        <f t="shared" si="6"/>
        <v/>
      </c>
      <c r="AC23" s="31">
        <f t="shared" si="7"/>
        <v>6</v>
      </c>
      <c r="AD23" s="31" t="str">
        <f t="shared" si="8"/>
        <v/>
      </c>
      <c r="AE23" s="31" t="str">
        <f t="shared" si="9"/>
        <v/>
      </c>
      <c r="AF23" s="31" t="str">
        <f t="shared" si="10"/>
        <v/>
      </c>
      <c r="AG23" s="25">
        <v>8</v>
      </c>
      <c r="AH23" s="25">
        <v>6</v>
      </c>
      <c r="AI23" s="25">
        <v>0</v>
      </c>
      <c r="AJ23" s="23" t="s">
        <v>110</v>
      </c>
      <c r="AK23" s="23" t="s">
        <v>92</v>
      </c>
      <c r="AL23" s="25" t="s">
        <v>223</v>
      </c>
      <c r="AO23" s="32" t="str">
        <f t="shared" si="11"/>
        <v>3 doors</v>
      </c>
      <c r="AQ23" s="23" t="s">
        <v>32</v>
      </c>
      <c r="AR23" s="23" t="str">
        <f t="shared" si="13"/>
        <v>CC</v>
      </c>
      <c r="AS23" s="34">
        <f t="shared" si="12"/>
        <v>460</v>
      </c>
      <c r="AT23" s="23">
        <v>4</v>
      </c>
      <c r="AU23" s="23">
        <v>60</v>
      </c>
      <c r="AV23" s="23">
        <v>0</v>
      </c>
    </row>
    <row r="24" spans="1:48">
      <c r="A24" s="25" t="s">
        <v>223</v>
      </c>
      <c r="B24" s="23" t="s">
        <v>135</v>
      </c>
      <c r="D24" s="23">
        <v>3</v>
      </c>
      <c r="E24" s="25" t="s">
        <v>85</v>
      </c>
      <c r="F24" s="25" t="s">
        <v>85</v>
      </c>
      <c r="G24" s="23" t="s">
        <v>27</v>
      </c>
      <c r="H24" s="23" t="s">
        <v>222</v>
      </c>
      <c r="I24" s="25">
        <v>1961</v>
      </c>
      <c r="J24" s="35">
        <v>30</v>
      </c>
      <c r="K24" s="35">
        <v>40</v>
      </c>
      <c r="L24" s="35">
        <v>20</v>
      </c>
      <c r="M24" s="25">
        <v>8</v>
      </c>
      <c r="N24" s="25">
        <v>8</v>
      </c>
      <c r="O24" s="25">
        <v>10</v>
      </c>
      <c r="R24" s="30">
        <f t="shared" si="0"/>
        <v>26</v>
      </c>
      <c r="S24" s="30">
        <f t="shared" si="1"/>
        <v>15.065142857142858</v>
      </c>
      <c r="T24" s="30">
        <f t="shared" si="2"/>
        <v>18.35314285714286</v>
      </c>
      <c r="U24" s="25">
        <v>55</v>
      </c>
      <c r="V24" s="31">
        <f t="shared" si="3"/>
        <v>144.16</v>
      </c>
      <c r="W24" s="25">
        <v>106</v>
      </c>
      <c r="X24" s="25">
        <v>12</v>
      </c>
      <c r="Y24" s="25">
        <v>132</v>
      </c>
      <c r="Z24" s="31">
        <f t="shared" si="4"/>
        <v>200</v>
      </c>
      <c r="AA24" s="31">
        <f t="shared" si="5"/>
        <v>8</v>
      </c>
      <c r="AB24" s="31" t="str">
        <f t="shared" si="6"/>
        <v/>
      </c>
      <c r="AC24" s="31">
        <f t="shared" si="7"/>
        <v>6</v>
      </c>
      <c r="AD24" s="31" t="str">
        <f t="shared" si="8"/>
        <v/>
      </c>
      <c r="AE24" s="31" t="str">
        <f t="shared" si="9"/>
        <v/>
      </c>
      <c r="AF24" s="31" t="str">
        <f t="shared" si="10"/>
        <v/>
      </c>
      <c r="AG24" s="25">
        <v>8</v>
      </c>
      <c r="AH24" s="25">
        <v>6</v>
      </c>
      <c r="AI24" s="25">
        <v>0</v>
      </c>
      <c r="AJ24" s="23" t="s">
        <v>110</v>
      </c>
      <c r="AK24" s="23" t="s">
        <v>92</v>
      </c>
      <c r="AL24" s="25" t="s">
        <v>223</v>
      </c>
      <c r="AO24" s="32" t="str">
        <f t="shared" si="11"/>
        <v>3 doors</v>
      </c>
      <c r="AQ24" s="23" t="s">
        <v>32</v>
      </c>
      <c r="AR24" s="23" t="str">
        <f t="shared" si="13"/>
        <v>Hungary</v>
      </c>
      <c r="AS24" s="34">
        <f t="shared" si="12"/>
        <v>460.01</v>
      </c>
      <c r="AT24" s="23">
        <v>4</v>
      </c>
      <c r="AU24" s="23">
        <v>60</v>
      </c>
      <c r="AV24" s="23">
        <v>1</v>
      </c>
    </row>
    <row r="25" spans="1:48">
      <c r="A25" s="25" t="s">
        <v>224</v>
      </c>
      <c r="B25" s="23" t="s">
        <v>225</v>
      </c>
      <c r="D25" s="23">
        <v>2</v>
      </c>
      <c r="E25" s="25" t="s">
        <v>30</v>
      </c>
      <c r="F25" s="25" t="s">
        <v>30</v>
      </c>
      <c r="G25" s="23" t="s">
        <v>27</v>
      </c>
      <c r="H25" s="23" t="s">
        <v>221</v>
      </c>
      <c r="I25" s="25">
        <v>1960</v>
      </c>
      <c r="J25" s="35">
        <v>30</v>
      </c>
      <c r="K25" s="35">
        <v>40</v>
      </c>
      <c r="L25" s="35">
        <v>20</v>
      </c>
      <c r="M25" s="25">
        <v>8</v>
      </c>
      <c r="N25" s="25">
        <v>8</v>
      </c>
      <c r="R25" s="30">
        <f t="shared" si="0"/>
        <v>16</v>
      </c>
      <c r="S25" s="30">
        <f t="shared" si="1"/>
        <v>12.830857142857143</v>
      </c>
      <c r="T25" s="30">
        <f t="shared" si="2"/>
        <v>15.472190476190477</v>
      </c>
      <c r="U25" s="25">
        <v>55</v>
      </c>
      <c r="V25" s="31">
        <f t="shared" si="3"/>
        <v>123.76</v>
      </c>
      <c r="W25" s="25">
        <v>91</v>
      </c>
      <c r="X25" s="25">
        <v>11</v>
      </c>
      <c r="Y25" s="25">
        <v>128</v>
      </c>
      <c r="Z25" s="31">
        <f t="shared" si="4"/>
        <v>185</v>
      </c>
      <c r="AA25" s="31">
        <f t="shared" si="5"/>
        <v>8</v>
      </c>
      <c r="AB25" s="31" t="str">
        <f t="shared" si="6"/>
        <v/>
      </c>
      <c r="AC25" s="31">
        <f t="shared" si="7"/>
        <v>6</v>
      </c>
      <c r="AD25" s="31" t="str">
        <f t="shared" si="8"/>
        <v/>
      </c>
      <c r="AE25" s="31" t="str">
        <f t="shared" si="9"/>
        <v/>
      </c>
      <c r="AF25" s="31" t="str">
        <f t="shared" si="10"/>
        <v/>
      </c>
      <c r="AG25" s="25">
        <v>8</v>
      </c>
      <c r="AH25" s="25">
        <v>6</v>
      </c>
      <c r="AI25" s="25">
        <v>0</v>
      </c>
      <c r="AJ25" s="23" t="s">
        <v>110</v>
      </c>
      <c r="AK25" s="23" t="s">
        <v>92</v>
      </c>
      <c r="AL25" s="25" t="s">
        <v>224</v>
      </c>
      <c r="AO25" s="32" t="str">
        <f t="shared" si="11"/>
        <v>2 doors</v>
      </c>
      <c r="AQ25" s="23" t="s">
        <v>33</v>
      </c>
      <c r="AR25" s="23" t="str">
        <f t="shared" si="13"/>
        <v>CC</v>
      </c>
      <c r="AS25" s="34">
        <f t="shared" si="12"/>
        <v>470</v>
      </c>
      <c r="AT25" s="23">
        <v>4</v>
      </c>
      <c r="AU25" s="23">
        <v>70</v>
      </c>
      <c r="AV25" s="23">
        <v>0</v>
      </c>
    </row>
    <row r="26" spans="1:48">
      <c r="A26" s="25" t="s">
        <v>224</v>
      </c>
      <c r="B26" s="23" t="s">
        <v>225</v>
      </c>
      <c r="D26" s="23">
        <v>2</v>
      </c>
      <c r="E26" s="25" t="s">
        <v>95</v>
      </c>
      <c r="F26" s="25" t="s">
        <v>95</v>
      </c>
      <c r="G26" s="23" t="s">
        <v>27</v>
      </c>
      <c r="H26" s="23" t="s">
        <v>221</v>
      </c>
      <c r="I26" s="25">
        <v>1960</v>
      </c>
      <c r="J26" s="35">
        <v>30</v>
      </c>
      <c r="K26" s="35">
        <v>40</v>
      </c>
      <c r="L26" s="35">
        <v>20</v>
      </c>
      <c r="M26" s="25">
        <v>8</v>
      </c>
      <c r="N26" s="25">
        <v>8</v>
      </c>
      <c r="R26" s="30">
        <f t="shared" si="0"/>
        <v>16</v>
      </c>
      <c r="S26" s="30">
        <f t="shared" si="1"/>
        <v>12.830857142857143</v>
      </c>
      <c r="T26" s="30">
        <f t="shared" si="2"/>
        <v>15.472190476190477</v>
      </c>
      <c r="U26" s="25">
        <v>55</v>
      </c>
      <c r="V26" s="31">
        <f t="shared" si="3"/>
        <v>123.76</v>
      </c>
      <c r="W26" s="25">
        <v>91</v>
      </c>
      <c r="X26" s="25">
        <v>11</v>
      </c>
      <c r="Y26" s="25">
        <v>128</v>
      </c>
      <c r="Z26" s="31">
        <f t="shared" si="4"/>
        <v>185</v>
      </c>
      <c r="AA26" s="31">
        <f t="shared" si="5"/>
        <v>8</v>
      </c>
      <c r="AB26" s="31" t="str">
        <f t="shared" si="6"/>
        <v/>
      </c>
      <c r="AC26" s="31">
        <f t="shared" si="7"/>
        <v>6</v>
      </c>
      <c r="AD26" s="31" t="str">
        <f t="shared" si="8"/>
        <v/>
      </c>
      <c r="AE26" s="31" t="str">
        <f t="shared" si="9"/>
        <v/>
      </c>
      <c r="AF26" s="31" t="str">
        <f t="shared" si="10"/>
        <v/>
      </c>
      <c r="AG26" s="25">
        <v>8</v>
      </c>
      <c r="AH26" s="25">
        <v>6</v>
      </c>
      <c r="AI26" s="25">
        <v>0</v>
      </c>
      <c r="AJ26" s="23" t="s">
        <v>110</v>
      </c>
      <c r="AK26" s="23" t="s">
        <v>92</v>
      </c>
      <c r="AL26" s="25" t="s">
        <v>224</v>
      </c>
      <c r="AO26" s="32" t="str">
        <f t="shared" si="11"/>
        <v>2 doors</v>
      </c>
      <c r="AQ26" s="23" t="s">
        <v>33</v>
      </c>
      <c r="AR26" s="23" t="str">
        <f t="shared" si="13"/>
        <v>Hungary</v>
      </c>
      <c r="AS26" s="34">
        <f t="shared" si="12"/>
        <v>470.01</v>
      </c>
      <c r="AT26" s="23">
        <v>4</v>
      </c>
      <c r="AU26" s="23">
        <v>70</v>
      </c>
      <c r="AV26" s="23">
        <v>1</v>
      </c>
    </row>
    <row r="27" spans="1:48">
      <c r="A27" s="25">
        <v>66</v>
      </c>
      <c r="B27" s="23" t="s">
        <v>89</v>
      </c>
      <c r="D27" s="23">
        <v>3</v>
      </c>
      <c r="E27" s="25" t="s">
        <v>30</v>
      </c>
      <c r="F27" s="25" t="s">
        <v>30</v>
      </c>
      <c r="G27" s="23" t="s">
        <v>27</v>
      </c>
      <c r="H27" s="23" t="s">
        <v>139</v>
      </c>
      <c r="I27" s="25">
        <v>1952</v>
      </c>
      <c r="J27" s="35">
        <v>30</v>
      </c>
      <c r="K27" s="35">
        <v>40</v>
      </c>
      <c r="L27" s="35">
        <v>20</v>
      </c>
      <c r="M27" s="25">
        <v>5</v>
      </c>
      <c r="N27" s="25">
        <v>10</v>
      </c>
      <c r="O27" s="25">
        <v>4</v>
      </c>
      <c r="R27" s="30">
        <f t="shared" si="0"/>
        <v>19</v>
      </c>
      <c r="S27" s="30">
        <f t="shared" si="1"/>
        <v>13.065142857142858</v>
      </c>
      <c r="T27" s="30">
        <f t="shared" si="2"/>
        <v>17.406476190476191</v>
      </c>
      <c r="U27" s="25">
        <v>61</v>
      </c>
      <c r="V27" s="31">
        <f t="shared" si="3"/>
        <v>144.16</v>
      </c>
      <c r="W27" s="25">
        <v>106</v>
      </c>
      <c r="X27" s="25">
        <v>9</v>
      </c>
      <c r="Y27" s="25">
        <v>110</v>
      </c>
      <c r="Z27" s="31">
        <f t="shared" si="4"/>
        <v>200</v>
      </c>
      <c r="AA27" s="31">
        <f t="shared" si="5"/>
        <v>6</v>
      </c>
      <c r="AB27" s="31">
        <f t="shared" si="6"/>
        <v>8</v>
      </c>
      <c r="AC27" s="31" t="str">
        <f t="shared" si="7"/>
        <v/>
      </c>
      <c r="AD27" s="31" t="str">
        <f t="shared" si="8"/>
        <v/>
      </c>
      <c r="AE27" s="31" t="str">
        <f t="shared" si="9"/>
        <v/>
      </c>
      <c r="AF27" s="31" t="str">
        <f t="shared" si="10"/>
        <v/>
      </c>
      <c r="AG27" s="25">
        <v>14</v>
      </c>
      <c r="AH27" s="25">
        <v>0</v>
      </c>
      <c r="AI27" s="25">
        <v>0</v>
      </c>
      <c r="AJ27" s="23" t="s">
        <v>110</v>
      </c>
      <c r="AK27" s="23" t="s">
        <v>92</v>
      </c>
      <c r="AL27" s="25">
        <v>66</v>
      </c>
      <c r="AO27" s="32" t="str">
        <f t="shared" si="11"/>
        <v>3 doors</v>
      </c>
      <c r="AQ27" s="23" t="s">
        <v>32</v>
      </c>
      <c r="AR27" s="23" t="str">
        <f t="shared" si="13"/>
        <v>CC</v>
      </c>
      <c r="AS27" s="34">
        <f t="shared" si="12"/>
        <v>500</v>
      </c>
      <c r="AT27" s="23">
        <v>5</v>
      </c>
      <c r="AU27" s="23">
        <v>0</v>
      </c>
      <c r="AV27" s="23">
        <v>0</v>
      </c>
    </row>
    <row r="28" spans="1:48">
      <c r="A28" s="25">
        <v>66</v>
      </c>
      <c r="B28" s="23" t="s">
        <v>89</v>
      </c>
      <c r="D28" s="23">
        <v>3</v>
      </c>
      <c r="E28" s="25" t="s">
        <v>42</v>
      </c>
      <c r="F28" s="25" t="s">
        <v>42</v>
      </c>
      <c r="G28" s="23" t="s">
        <v>27</v>
      </c>
      <c r="H28" s="23" t="s">
        <v>139</v>
      </c>
      <c r="I28" s="25">
        <v>1952</v>
      </c>
      <c r="J28" s="35">
        <v>30</v>
      </c>
      <c r="K28" s="35">
        <v>40</v>
      </c>
      <c r="L28" s="35">
        <v>20</v>
      </c>
      <c r="M28" s="25">
        <v>5</v>
      </c>
      <c r="N28" s="25">
        <v>10</v>
      </c>
      <c r="O28" s="25">
        <v>4</v>
      </c>
      <c r="R28" s="30">
        <f t="shared" si="0"/>
        <v>19</v>
      </c>
      <c r="S28" s="30">
        <f t="shared" si="1"/>
        <v>13.065142857142858</v>
      </c>
      <c r="T28" s="30">
        <f t="shared" si="2"/>
        <v>17.406476190476191</v>
      </c>
      <c r="U28" s="25">
        <v>61</v>
      </c>
      <c r="V28" s="31">
        <f t="shared" si="3"/>
        <v>144.16</v>
      </c>
      <c r="W28" s="25">
        <v>106</v>
      </c>
      <c r="X28" s="25">
        <v>9</v>
      </c>
      <c r="Y28" s="25">
        <v>110</v>
      </c>
      <c r="Z28" s="31">
        <f t="shared" si="4"/>
        <v>200</v>
      </c>
      <c r="AA28" s="31">
        <f t="shared" si="5"/>
        <v>6</v>
      </c>
      <c r="AB28" s="31">
        <f t="shared" si="6"/>
        <v>8</v>
      </c>
      <c r="AC28" s="31" t="str">
        <f t="shared" si="7"/>
        <v/>
      </c>
      <c r="AD28" s="31" t="str">
        <f t="shared" si="8"/>
        <v/>
      </c>
      <c r="AE28" s="31" t="str">
        <f t="shared" si="9"/>
        <v/>
      </c>
      <c r="AF28" s="31" t="str">
        <f t="shared" si="10"/>
        <v/>
      </c>
      <c r="AG28" s="25">
        <v>14</v>
      </c>
      <c r="AH28" s="25">
        <v>0</v>
      </c>
      <c r="AI28" s="25">
        <v>0</v>
      </c>
      <c r="AJ28" s="23" t="s">
        <v>110</v>
      </c>
      <c r="AK28" s="23" t="s">
        <v>92</v>
      </c>
      <c r="AL28" s="25">
        <v>66</v>
      </c>
      <c r="AO28" s="32" t="str">
        <f t="shared" si="11"/>
        <v>3 doors</v>
      </c>
      <c r="AQ28" s="23" t="s">
        <v>32</v>
      </c>
      <c r="AR28" s="23" t="str">
        <f t="shared" si="13"/>
        <v>CC</v>
      </c>
      <c r="AS28" s="34">
        <f t="shared" si="12"/>
        <v>500.01</v>
      </c>
      <c r="AT28" s="23">
        <v>5</v>
      </c>
      <c r="AU28" s="23">
        <v>0</v>
      </c>
      <c r="AV28" s="23">
        <v>1</v>
      </c>
    </row>
    <row r="29" spans="1:48">
      <c r="A29" s="25">
        <v>66</v>
      </c>
      <c r="B29" s="23" t="s">
        <v>89</v>
      </c>
      <c r="D29" s="23">
        <v>3</v>
      </c>
      <c r="E29" s="25" t="s">
        <v>96</v>
      </c>
      <c r="F29" s="25" t="s">
        <v>85</v>
      </c>
      <c r="G29" s="23" t="s">
        <v>27</v>
      </c>
      <c r="H29" s="23" t="s">
        <v>139</v>
      </c>
      <c r="I29" s="25">
        <v>1952</v>
      </c>
      <c r="J29" s="35">
        <v>30</v>
      </c>
      <c r="K29" s="35">
        <v>40</v>
      </c>
      <c r="L29" s="35">
        <v>20</v>
      </c>
      <c r="M29" s="25">
        <v>5</v>
      </c>
      <c r="N29" s="25">
        <v>10</v>
      </c>
      <c r="O29" s="25">
        <v>4</v>
      </c>
      <c r="R29" s="30">
        <f t="shared" si="0"/>
        <v>19</v>
      </c>
      <c r="S29" s="30">
        <f t="shared" si="1"/>
        <v>13.065142857142858</v>
      </c>
      <c r="T29" s="30">
        <f t="shared" si="2"/>
        <v>17.406476190476191</v>
      </c>
      <c r="U29" s="25">
        <v>61</v>
      </c>
      <c r="V29" s="31">
        <f t="shared" si="3"/>
        <v>144.16</v>
      </c>
      <c r="W29" s="25">
        <v>106</v>
      </c>
      <c r="X29" s="25">
        <v>9</v>
      </c>
      <c r="Y29" s="25">
        <v>110</v>
      </c>
      <c r="Z29" s="31">
        <f t="shared" si="4"/>
        <v>200</v>
      </c>
      <c r="AA29" s="31">
        <f t="shared" si="5"/>
        <v>6</v>
      </c>
      <c r="AB29" s="31">
        <f t="shared" si="6"/>
        <v>8</v>
      </c>
      <c r="AC29" s="31" t="str">
        <f t="shared" si="7"/>
        <v/>
      </c>
      <c r="AD29" s="31" t="str">
        <f t="shared" si="8"/>
        <v/>
      </c>
      <c r="AE29" s="31" t="str">
        <f t="shared" si="9"/>
        <v/>
      </c>
      <c r="AF29" s="31" t="str">
        <f t="shared" si="10"/>
        <v/>
      </c>
      <c r="AG29" s="25">
        <v>14</v>
      </c>
      <c r="AH29" s="25">
        <v>0</v>
      </c>
      <c r="AI29" s="25">
        <v>0</v>
      </c>
      <c r="AJ29" s="23" t="s">
        <v>110</v>
      </c>
      <c r="AK29" s="23" t="s">
        <v>92</v>
      </c>
      <c r="AL29" s="25">
        <v>66</v>
      </c>
      <c r="AO29" s="32" t="str">
        <f t="shared" si="11"/>
        <v>3 doors</v>
      </c>
      <c r="AQ29" s="23" t="s">
        <v>32</v>
      </c>
      <c r="AR29" s="23" t="str">
        <f t="shared" si="13"/>
        <v>Hungary</v>
      </c>
      <c r="AS29" s="34">
        <f t="shared" si="12"/>
        <v>500.02</v>
      </c>
      <c r="AT29" s="23">
        <v>5</v>
      </c>
      <c r="AU29" s="23">
        <v>0</v>
      </c>
      <c r="AV29" s="23">
        <v>2</v>
      </c>
    </row>
    <row r="30" spans="1:48">
      <c r="A30" s="25">
        <v>66</v>
      </c>
      <c r="B30" s="23" t="s">
        <v>89</v>
      </c>
      <c r="D30" s="23">
        <v>3</v>
      </c>
      <c r="E30" s="25" t="s">
        <v>97</v>
      </c>
      <c r="F30" s="25" t="s">
        <v>85</v>
      </c>
      <c r="G30" s="23" t="s">
        <v>27</v>
      </c>
      <c r="H30" s="23" t="s">
        <v>139</v>
      </c>
      <c r="I30" s="25">
        <v>1952</v>
      </c>
      <c r="J30" s="35">
        <v>30</v>
      </c>
      <c r="K30" s="35">
        <v>40</v>
      </c>
      <c r="L30" s="35">
        <v>20</v>
      </c>
      <c r="M30" s="25">
        <v>5</v>
      </c>
      <c r="N30" s="25">
        <v>10</v>
      </c>
      <c r="O30" s="25">
        <v>4</v>
      </c>
      <c r="R30" s="30">
        <f t="shared" si="0"/>
        <v>19</v>
      </c>
      <c r="S30" s="30">
        <f t="shared" si="1"/>
        <v>13.065142857142858</v>
      </c>
      <c r="T30" s="30">
        <f t="shared" si="2"/>
        <v>17.406476190476191</v>
      </c>
      <c r="U30" s="25">
        <v>61</v>
      </c>
      <c r="V30" s="31">
        <f t="shared" si="3"/>
        <v>144.16</v>
      </c>
      <c r="W30" s="25">
        <v>106</v>
      </c>
      <c r="X30" s="25">
        <v>9</v>
      </c>
      <c r="Y30" s="25">
        <v>110</v>
      </c>
      <c r="Z30" s="31">
        <f t="shared" si="4"/>
        <v>200</v>
      </c>
      <c r="AA30" s="31">
        <f t="shared" si="5"/>
        <v>6</v>
      </c>
      <c r="AB30" s="31">
        <f t="shared" si="6"/>
        <v>8</v>
      </c>
      <c r="AC30" s="31" t="str">
        <f t="shared" si="7"/>
        <v/>
      </c>
      <c r="AD30" s="31" t="str">
        <f t="shared" si="8"/>
        <v/>
      </c>
      <c r="AE30" s="31" t="str">
        <f t="shared" si="9"/>
        <v/>
      </c>
      <c r="AF30" s="31" t="str">
        <f t="shared" si="10"/>
        <v/>
      </c>
      <c r="AG30" s="25">
        <v>14</v>
      </c>
      <c r="AH30" s="25">
        <v>0</v>
      </c>
      <c r="AI30" s="25">
        <v>0</v>
      </c>
      <c r="AJ30" s="23" t="s">
        <v>110</v>
      </c>
      <c r="AK30" s="23" t="s">
        <v>92</v>
      </c>
      <c r="AL30" s="25">
        <v>66</v>
      </c>
      <c r="AO30" s="32" t="str">
        <f t="shared" si="11"/>
        <v>3 doors</v>
      </c>
      <c r="AQ30" s="23" t="s">
        <v>32</v>
      </c>
      <c r="AR30" s="23" t="str">
        <f t="shared" si="13"/>
        <v>Hungary</v>
      </c>
      <c r="AS30" s="34">
        <f t="shared" si="12"/>
        <v>500.03</v>
      </c>
      <c r="AT30" s="23">
        <v>5</v>
      </c>
      <c r="AU30" s="23">
        <v>0</v>
      </c>
      <c r="AV30" s="23">
        <v>3</v>
      </c>
    </row>
    <row r="31" spans="1:48">
      <c r="A31" s="25">
        <v>66</v>
      </c>
      <c r="D31" s="23">
        <v>2</v>
      </c>
      <c r="E31" s="25" t="s">
        <v>30</v>
      </c>
      <c r="F31" s="25" t="s">
        <v>30</v>
      </c>
      <c r="G31" s="23" t="s">
        <v>27</v>
      </c>
      <c r="H31" s="23" t="s">
        <v>140</v>
      </c>
      <c r="I31" s="25">
        <v>1952</v>
      </c>
      <c r="J31" s="35">
        <v>30</v>
      </c>
      <c r="K31" s="35">
        <v>40</v>
      </c>
      <c r="L31" s="35">
        <v>20</v>
      </c>
      <c r="M31" s="25">
        <v>5</v>
      </c>
      <c r="N31" s="25">
        <v>10</v>
      </c>
      <c r="R31" s="30">
        <f t="shared" si="0"/>
        <v>15</v>
      </c>
      <c r="S31" s="30">
        <f t="shared" si="1"/>
        <v>12.779428571428571</v>
      </c>
      <c r="T31" s="30">
        <f t="shared" si="2"/>
        <v>16.920761904761907</v>
      </c>
      <c r="U31" s="25">
        <v>78</v>
      </c>
      <c r="V31" s="31">
        <f t="shared" si="3"/>
        <v>144.16</v>
      </c>
      <c r="W31" s="25">
        <v>106</v>
      </c>
      <c r="X31" s="25">
        <v>9</v>
      </c>
      <c r="Y31" s="25">
        <v>80</v>
      </c>
      <c r="Z31" s="31">
        <f t="shared" si="4"/>
        <v>185</v>
      </c>
      <c r="AA31" s="31">
        <f t="shared" si="5"/>
        <v>6</v>
      </c>
      <c r="AB31" s="31">
        <f t="shared" si="6"/>
        <v>8</v>
      </c>
      <c r="AC31" s="31" t="str">
        <f t="shared" si="7"/>
        <v/>
      </c>
      <c r="AD31" s="31" t="str">
        <f t="shared" si="8"/>
        <v/>
      </c>
      <c r="AE31" s="31" t="str">
        <f t="shared" si="9"/>
        <v/>
      </c>
      <c r="AF31" s="31" t="str">
        <f t="shared" si="10"/>
        <v/>
      </c>
      <c r="AG31" s="25">
        <v>14</v>
      </c>
      <c r="AH31" s="25">
        <v>0</v>
      </c>
      <c r="AI31" s="25">
        <v>0</v>
      </c>
      <c r="AJ31" s="23" t="s">
        <v>110</v>
      </c>
      <c r="AK31" s="23" t="s">
        <v>92</v>
      </c>
      <c r="AL31" s="25">
        <v>66</v>
      </c>
      <c r="AO31" s="32" t="str">
        <f t="shared" si="11"/>
        <v>2 doors</v>
      </c>
      <c r="AQ31" s="23" t="s">
        <v>33</v>
      </c>
      <c r="AR31" s="23" t="str">
        <f t="shared" si="13"/>
        <v>CC</v>
      </c>
      <c r="AS31" s="34">
        <f t="shared" si="12"/>
        <v>520</v>
      </c>
      <c r="AT31" s="23">
        <v>5</v>
      </c>
      <c r="AU31" s="23">
        <v>20</v>
      </c>
      <c r="AV31" s="23">
        <v>0</v>
      </c>
    </row>
    <row r="32" spans="1:48">
      <c r="A32" s="25">
        <v>66</v>
      </c>
      <c r="D32" s="23">
        <v>2</v>
      </c>
      <c r="E32" s="25" t="s">
        <v>42</v>
      </c>
      <c r="F32" s="25" t="s">
        <v>42</v>
      </c>
      <c r="G32" s="23" t="s">
        <v>27</v>
      </c>
      <c r="H32" s="23" t="s">
        <v>140</v>
      </c>
      <c r="I32" s="25">
        <v>1952</v>
      </c>
      <c r="J32" s="35">
        <v>30</v>
      </c>
      <c r="K32" s="35">
        <v>40</v>
      </c>
      <c r="L32" s="35">
        <v>20</v>
      </c>
      <c r="M32" s="25">
        <v>5</v>
      </c>
      <c r="N32" s="25">
        <v>10</v>
      </c>
      <c r="R32" s="30">
        <f t="shared" si="0"/>
        <v>15</v>
      </c>
      <c r="S32" s="30">
        <f t="shared" si="1"/>
        <v>12.779428571428571</v>
      </c>
      <c r="T32" s="30">
        <f t="shared" si="2"/>
        <v>16.920761904761907</v>
      </c>
      <c r="U32" s="25">
        <v>78</v>
      </c>
      <c r="V32" s="31">
        <f t="shared" si="3"/>
        <v>144.16</v>
      </c>
      <c r="W32" s="25">
        <v>106</v>
      </c>
      <c r="X32" s="25">
        <v>9</v>
      </c>
      <c r="Y32" s="25">
        <v>80</v>
      </c>
      <c r="Z32" s="31">
        <f t="shared" si="4"/>
        <v>185</v>
      </c>
      <c r="AA32" s="31">
        <f t="shared" si="5"/>
        <v>6</v>
      </c>
      <c r="AB32" s="31">
        <f t="shared" si="6"/>
        <v>8</v>
      </c>
      <c r="AC32" s="31" t="str">
        <f t="shared" si="7"/>
        <v/>
      </c>
      <c r="AD32" s="31" t="str">
        <f t="shared" si="8"/>
        <v/>
      </c>
      <c r="AE32" s="31" t="str">
        <f t="shared" si="9"/>
        <v/>
      </c>
      <c r="AF32" s="31" t="str">
        <f t="shared" si="10"/>
        <v/>
      </c>
      <c r="AG32" s="25">
        <v>14</v>
      </c>
      <c r="AH32" s="25">
        <v>0</v>
      </c>
      <c r="AI32" s="25">
        <v>0</v>
      </c>
      <c r="AJ32" s="23" t="s">
        <v>110</v>
      </c>
      <c r="AK32" s="23" t="s">
        <v>92</v>
      </c>
      <c r="AL32" s="25">
        <v>66</v>
      </c>
      <c r="AO32" s="32" t="str">
        <f t="shared" si="11"/>
        <v>2 doors</v>
      </c>
      <c r="AQ32" s="23" t="s">
        <v>33</v>
      </c>
      <c r="AR32" s="23" t="str">
        <f t="shared" si="13"/>
        <v>CC</v>
      </c>
      <c r="AS32" s="34">
        <f t="shared" si="12"/>
        <v>520.01</v>
      </c>
      <c r="AT32" s="23">
        <v>5</v>
      </c>
      <c r="AU32" s="23">
        <v>20</v>
      </c>
      <c r="AV32" s="23">
        <v>1</v>
      </c>
    </row>
    <row r="33" spans="1:48">
      <c r="A33" s="25">
        <v>66</v>
      </c>
      <c r="D33" s="23">
        <v>2</v>
      </c>
      <c r="E33" s="25" t="s">
        <v>46</v>
      </c>
      <c r="F33" s="25" t="s">
        <v>46</v>
      </c>
      <c r="G33" s="23" t="s">
        <v>27</v>
      </c>
      <c r="H33" s="23" t="s">
        <v>140</v>
      </c>
      <c r="I33" s="25">
        <v>1952</v>
      </c>
      <c r="J33" s="35">
        <v>30</v>
      </c>
      <c r="K33" s="35">
        <v>40</v>
      </c>
      <c r="L33" s="35">
        <v>20</v>
      </c>
      <c r="M33" s="25">
        <v>5</v>
      </c>
      <c r="N33" s="25">
        <v>10</v>
      </c>
      <c r="R33" s="30">
        <f t="shared" si="0"/>
        <v>15</v>
      </c>
      <c r="S33" s="30">
        <f t="shared" si="1"/>
        <v>12.779428571428571</v>
      </c>
      <c r="T33" s="30">
        <f t="shared" si="2"/>
        <v>16.920761904761907</v>
      </c>
      <c r="U33" s="25">
        <v>78</v>
      </c>
      <c r="V33" s="31">
        <f t="shared" si="3"/>
        <v>144.16</v>
      </c>
      <c r="W33" s="25">
        <v>106</v>
      </c>
      <c r="X33" s="25">
        <v>9</v>
      </c>
      <c r="Y33" s="25">
        <v>80</v>
      </c>
      <c r="Z33" s="31">
        <f t="shared" si="4"/>
        <v>185</v>
      </c>
      <c r="AA33" s="31">
        <f t="shared" si="5"/>
        <v>6</v>
      </c>
      <c r="AB33" s="31">
        <f t="shared" si="6"/>
        <v>8</v>
      </c>
      <c r="AC33" s="31" t="str">
        <f t="shared" si="7"/>
        <v/>
      </c>
      <c r="AD33" s="31" t="str">
        <f t="shared" si="8"/>
        <v/>
      </c>
      <c r="AE33" s="31" t="str">
        <f t="shared" si="9"/>
        <v/>
      </c>
      <c r="AF33" s="31" t="str">
        <f t="shared" si="10"/>
        <v/>
      </c>
      <c r="AG33" s="25">
        <v>14</v>
      </c>
      <c r="AH33" s="25">
        <v>0</v>
      </c>
      <c r="AI33" s="25">
        <v>0</v>
      </c>
      <c r="AJ33" s="23" t="s">
        <v>110</v>
      </c>
      <c r="AK33" s="23" t="s">
        <v>92</v>
      </c>
      <c r="AL33" s="25">
        <v>66</v>
      </c>
      <c r="AO33" s="32" t="str">
        <f t="shared" si="11"/>
        <v>2 doors</v>
      </c>
      <c r="AQ33" s="23" t="s">
        <v>33</v>
      </c>
      <c r="AR33" s="23" t="str">
        <f t="shared" si="13"/>
        <v>Hungary</v>
      </c>
      <c r="AS33" s="34">
        <f t="shared" si="12"/>
        <v>520.02</v>
      </c>
      <c r="AT33" s="23">
        <v>5</v>
      </c>
      <c r="AU33" s="23">
        <v>20</v>
      </c>
      <c r="AV33" s="23">
        <v>2</v>
      </c>
    </row>
    <row r="34" spans="1:48">
      <c r="A34" s="25">
        <v>55</v>
      </c>
      <c r="D34" s="23">
        <v>1</v>
      </c>
      <c r="E34" s="25" t="s">
        <v>30</v>
      </c>
      <c r="F34" s="25" t="s">
        <v>30</v>
      </c>
      <c r="G34" s="23" t="s">
        <v>27</v>
      </c>
      <c r="H34" s="23" t="s">
        <v>103</v>
      </c>
      <c r="I34" s="25">
        <v>1952</v>
      </c>
      <c r="J34" s="35">
        <v>30</v>
      </c>
      <c r="K34" s="35">
        <v>40</v>
      </c>
      <c r="L34" s="35">
        <v>20</v>
      </c>
      <c r="M34" s="25">
        <v>5</v>
      </c>
      <c r="R34" s="30">
        <f t="shared" ref="R34:R65" si="14">SUM(M34:Q34)</f>
        <v>5</v>
      </c>
      <c r="S34" s="30">
        <f t="shared" ref="S34:S65" si="15">IF(OR(G34="diesel", G34="petrol"), ((X34+(V34/10))/2)+(R34/14), IF(OR(G34="cng", G34="hybrid"), ((X34+(V34/10))/2*1.2)+(R34/14), IF(OR(G34="hydrogen", G34="electric"), ((X34+(V34/10))/2*1.5)+(R34/14), 0)))</f>
        <v>12.565142857142858</v>
      </c>
      <c r="T34" s="30">
        <f t="shared" ref="T34:T65" si="16">IF(G34="petrol", ((X34+(Y34/15)+V34)/10*1.5)+(R34/14), IF(G34="diesel", ((X34+(Y34/15)+V34)/10)+(R34/14), IF(OR(G34="cng", G34="hybrid"), ((X34+(Y34/15)+V34)/10*0.8)+(R34/14), IF(OR(G34="hydrogen", G34="electric"), ((X34+(Y34/15)+V34)/10*0.5)+(R34/14), 0))))</f>
        <v>16.053142857142859</v>
      </c>
      <c r="U34" s="25">
        <v>99</v>
      </c>
      <c r="V34" s="31">
        <f t="shared" ref="V34:V65" si="17">W34*1.36</f>
        <v>144.16</v>
      </c>
      <c r="W34" s="25">
        <v>106</v>
      </c>
      <c r="X34" s="25">
        <v>10</v>
      </c>
      <c r="Y34" s="25">
        <v>42</v>
      </c>
      <c r="Z34" s="31">
        <f t="shared" ref="Z34:Z65" si="18">IF(AQ34="Regional", 185, IF(AQ34="Intercity", 150, IF(AQ34="Tourist", 100, 200)))</f>
        <v>150</v>
      </c>
      <c r="AA34" s="31">
        <f t="shared" ref="AA34:AA65" si="19">IF(AG34&gt;8, AG34-8, AG34)</f>
        <v>6</v>
      </c>
      <c r="AB34" s="31">
        <f t="shared" ref="AB34:AB65" si="20">IF(AG34&gt;8, 8, "")</f>
        <v>8</v>
      </c>
      <c r="AC34" s="31" t="str">
        <f t="shared" ref="AC34:AC65" si="21">IF(AH34&gt;8, AH34-8, IF(AH34=0, "", AH34))</f>
        <v/>
      </c>
      <c r="AD34" s="31" t="str">
        <f t="shared" ref="AD34:AD65" si="22">IF(AH34&gt;8, 8, "")</f>
        <v/>
      </c>
      <c r="AE34" s="31" t="str">
        <f t="shared" ref="AE34:AE65" si="23">IF(AI34&gt;8, AI34-8, IF(AI34=0, "", AI34))</f>
        <v/>
      </c>
      <c r="AF34" s="31" t="str">
        <f t="shared" ref="AF34:AF65" si="24">IF(AI34&gt;8, 8, "")</f>
        <v/>
      </c>
      <c r="AG34" s="25">
        <v>14</v>
      </c>
      <c r="AH34" s="25">
        <v>0</v>
      </c>
      <c r="AI34" s="25">
        <v>0</v>
      </c>
      <c r="AJ34" s="23" t="s">
        <v>110</v>
      </c>
      <c r="AK34" s="23" t="s">
        <v>92</v>
      </c>
      <c r="AL34" s="25">
        <v>55</v>
      </c>
      <c r="AO34" s="32" t="str">
        <f t="shared" ref="AO34:AO65" si="25">IF(Q34&gt;0, "5 doors", IF(P34&gt;0, "4 doors", IF(O34&gt;0, "3 doors", IF(N34&gt;0, "2 doors", "1 door"))))</f>
        <v>1 door</v>
      </c>
      <c r="AQ34" s="23" t="s">
        <v>47</v>
      </c>
      <c r="AR34" s="23" t="str">
        <f t="shared" ref="AR34:AR65" si="26">IF(E34="CC1", "CC", IF(E34="CC2", "CC", IF(E34="CC3", "CC", "Hungary")))</f>
        <v>CC</v>
      </c>
      <c r="AS34" s="34">
        <f t="shared" ref="AS34:AS65" si="27">(AT34*100)+AU34+(AV34/100)</f>
        <v>540</v>
      </c>
      <c r="AT34" s="23">
        <v>5</v>
      </c>
      <c r="AU34" s="23">
        <v>40</v>
      </c>
      <c r="AV34" s="23">
        <v>0</v>
      </c>
    </row>
    <row r="35" spans="1:48">
      <c r="A35" s="25">
        <v>55</v>
      </c>
      <c r="D35" s="23">
        <v>1</v>
      </c>
      <c r="E35" s="25" t="s">
        <v>42</v>
      </c>
      <c r="F35" s="25" t="s">
        <v>42</v>
      </c>
      <c r="G35" s="23" t="s">
        <v>27</v>
      </c>
      <c r="H35" s="23" t="s">
        <v>103</v>
      </c>
      <c r="I35" s="25">
        <v>1952</v>
      </c>
      <c r="J35" s="35">
        <v>30</v>
      </c>
      <c r="K35" s="35">
        <v>40</v>
      </c>
      <c r="L35" s="35">
        <v>20</v>
      </c>
      <c r="M35" s="25">
        <v>5</v>
      </c>
      <c r="R35" s="30">
        <f t="shared" si="14"/>
        <v>5</v>
      </c>
      <c r="S35" s="30">
        <f t="shared" si="15"/>
        <v>12.565142857142858</v>
      </c>
      <c r="T35" s="30">
        <f t="shared" si="16"/>
        <v>16.053142857142859</v>
      </c>
      <c r="U35" s="25">
        <v>99</v>
      </c>
      <c r="V35" s="31">
        <f t="shared" si="17"/>
        <v>144.16</v>
      </c>
      <c r="W35" s="25">
        <v>106</v>
      </c>
      <c r="X35" s="25">
        <v>10</v>
      </c>
      <c r="Y35" s="25">
        <v>42</v>
      </c>
      <c r="Z35" s="31">
        <f t="shared" si="18"/>
        <v>150</v>
      </c>
      <c r="AA35" s="31">
        <f t="shared" si="19"/>
        <v>6</v>
      </c>
      <c r="AB35" s="31">
        <f t="shared" si="20"/>
        <v>8</v>
      </c>
      <c r="AC35" s="31" t="str">
        <f t="shared" si="21"/>
        <v/>
      </c>
      <c r="AD35" s="31" t="str">
        <f t="shared" si="22"/>
        <v/>
      </c>
      <c r="AE35" s="31" t="str">
        <f t="shared" si="23"/>
        <v/>
      </c>
      <c r="AF35" s="31" t="str">
        <f t="shared" si="24"/>
        <v/>
      </c>
      <c r="AG35" s="25">
        <v>14</v>
      </c>
      <c r="AH35" s="25">
        <v>0</v>
      </c>
      <c r="AI35" s="25">
        <v>0</v>
      </c>
      <c r="AJ35" s="23" t="s">
        <v>110</v>
      </c>
      <c r="AK35" s="23" t="s">
        <v>92</v>
      </c>
      <c r="AL35" s="25">
        <v>55</v>
      </c>
      <c r="AO35" s="32" t="str">
        <f t="shared" si="25"/>
        <v>1 door</v>
      </c>
      <c r="AQ35" s="23" t="s">
        <v>47</v>
      </c>
      <c r="AR35" s="23" t="str">
        <f t="shared" si="26"/>
        <v>CC</v>
      </c>
      <c r="AS35" s="34">
        <f t="shared" si="27"/>
        <v>540.01</v>
      </c>
      <c r="AT35" s="23">
        <v>5</v>
      </c>
      <c r="AU35" s="23">
        <v>40</v>
      </c>
      <c r="AV35" s="23">
        <v>1</v>
      </c>
    </row>
    <row r="36" spans="1:48">
      <c r="A36" s="25">
        <v>620</v>
      </c>
      <c r="D36" s="23">
        <v>2</v>
      </c>
      <c r="E36" s="25" t="s">
        <v>30</v>
      </c>
      <c r="F36" s="25" t="s">
        <v>30</v>
      </c>
      <c r="G36" s="23" t="s">
        <v>27</v>
      </c>
      <c r="H36" s="23" t="s">
        <v>107</v>
      </c>
      <c r="I36" s="25">
        <v>1958</v>
      </c>
      <c r="J36" s="35">
        <v>30</v>
      </c>
      <c r="K36" s="35">
        <v>40</v>
      </c>
      <c r="L36" s="35">
        <v>20</v>
      </c>
      <c r="M36" s="25">
        <v>10</v>
      </c>
      <c r="N36" s="25">
        <v>10</v>
      </c>
      <c r="R36" s="30">
        <f t="shared" si="14"/>
        <v>20</v>
      </c>
      <c r="S36" s="30">
        <f t="shared" si="15"/>
        <v>12.636571428571429</v>
      </c>
      <c r="T36" s="30">
        <f t="shared" si="16"/>
        <v>17.071238095238094</v>
      </c>
      <c r="U36" s="25">
        <v>68</v>
      </c>
      <c r="V36" s="31">
        <f t="shared" si="17"/>
        <v>144.16</v>
      </c>
      <c r="W36" s="25">
        <v>106</v>
      </c>
      <c r="X36" s="25">
        <v>8</v>
      </c>
      <c r="Y36" s="25">
        <v>64</v>
      </c>
      <c r="Z36" s="31">
        <f t="shared" si="18"/>
        <v>200</v>
      </c>
      <c r="AA36" s="31">
        <f t="shared" si="19"/>
        <v>1</v>
      </c>
      <c r="AB36" s="31">
        <f t="shared" si="20"/>
        <v>8</v>
      </c>
      <c r="AC36" s="31" t="str">
        <f t="shared" si="21"/>
        <v/>
      </c>
      <c r="AD36" s="31" t="str">
        <f t="shared" si="22"/>
        <v/>
      </c>
      <c r="AE36" s="31" t="str">
        <f t="shared" si="23"/>
        <v/>
      </c>
      <c r="AF36" s="31" t="str">
        <f t="shared" si="24"/>
        <v/>
      </c>
      <c r="AG36" s="25">
        <v>9</v>
      </c>
      <c r="AH36" s="25">
        <v>0</v>
      </c>
      <c r="AI36" s="25">
        <v>0</v>
      </c>
      <c r="AJ36" s="23" t="s">
        <v>110</v>
      </c>
      <c r="AK36" s="23" t="s">
        <v>92</v>
      </c>
      <c r="AL36" s="25">
        <v>620</v>
      </c>
      <c r="AO36" s="32" t="str">
        <f t="shared" si="25"/>
        <v>2 doors</v>
      </c>
      <c r="AQ36" s="23" t="s">
        <v>32</v>
      </c>
      <c r="AR36" s="23" t="str">
        <f t="shared" si="26"/>
        <v>CC</v>
      </c>
      <c r="AS36" s="34">
        <f t="shared" si="27"/>
        <v>700</v>
      </c>
      <c r="AT36" s="23">
        <v>7</v>
      </c>
      <c r="AU36" s="23">
        <v>0</v>
      </c>
      <c r="AV36" s="23">
        <v>0</v>
      </c>
    </row>
    <row r="37" spans="1:48">
      <c r="A37" s="25">
        <v>620</v>
      </c>
      <c r="D37" s="23">
        <v>2</v>
      </c>
      <c r="E37" s="25" t="s">
        <v>85</v>
      </c>
      <c r="F37" s="25" t="s">
        <v>85</v>
      </c>
      <c r="G37" s="23" t="s">
        <v>27</v>
      </c>
      <c r="H37" s="23" t="s">
        <v>107</v>
      </c>
      <c r="I37" s="25">
        <v>1958</v>
      </c>
      <c r="J37" s="35">
        <v>30</v>
      </c>
      <c r="K37" s="35">
        <v>40</v>
      </c>
      <c r="L37" s="35">
        <v>20</v>
      </c>
      <c r="M37" s="25">
        <v>10</v>
      </c>
      <c r="N37" s="25">
        <v>10</v>
      </c>
      <c r="R37" s="30">
        <f t="shared" si="14"/>
        <v>20</v>
      </c>
      <c r="S37" s="30">
        <f t="shared" si="15"/>
        <v>12.636571428571429</v>
      </c>
      <c r="T37" s="30">
        <f t="shared" si="16"/>
        <v>17.071238095238094</v>
      </c>
      <c r="U37" s="25">
        <v>68</v>
      </c>
      <c r="V37" s="31">
        <f t="shared" si="17"/>
        <v>144.16</v>
      </c>
      <c r="W37" s="25">
        <v>106</v>
      </c>
      <c r="X37" s="25">
        <v>8</v>
      </c>
      <c r="Y37" s="25">
        <v>64</v>
      </c>
      <c r="Z37" s="31">
        <f t="shared" si="18"/>
        <v>200</v>
      </c>
      <c r="AA37" s="31">
        <f t="shared" si="19"/>
        <v>1</v>
      </c>
      <c r="AB37" s="31">
        <f t="shared" si="20"/>
        <v>8</v>
      </c>
      <c r="AC37" s="31" t="str">
        <f t="shared" si="21"/>
        <v/>
      </c>
      <c r="AD37" s="31" t="str">
        <f t="shared" si="22"/>
        <v/>
      </c>
      <c r="AE37" s="31" t="str">
        <f t="shared" si="23"/>
        <v/>
      </c>
      <c r="AF37" s="31" t="str">
        <f t="shared" si="24"/>
        <v/>
      </c>
      <c r="AG37" s="25">
        <v>9</v>
      </c>
      <c r="AH37" s="25">
        <v>0</v>
      </c>
      <c r="AI37" s="25">
        <v>0</v>
      </c>
      <c r="AJ37" s="23" t="s">
        <v>110</v>
      </c>
      <c r="AK37" s="23" t="s">
        <v>92</v>
      </c>
      <c r="AL37" s="25">
        <v>620</v>
      </c>
      <c r="AO37" s="32" t="str">
        <f t="shared" si="25"/>
        <v>2 doors</v>
      </c>
      <c r="AQ37" s="23" t="s">
        <v>32</v>
      </c>
      <c r="AR37" s="23" t="str">
        <f t="shared" si="26"/>
        <v>Hungary</v>
      </c>
      <c r="AS37" s="34">
        <f t="shared" si="27"/>
        <v>700.01</v>
      </c>
      <c r="AT37" s="23">
        <v>7</v>
      </c>
      <c r="AU37" s="23">
        <v>0</v>
      </c>
      <c r="AV37" s="23">
        <v>1</v>
      </c>
    </row>
    <row r="38" spans="1:48">
      <c r="A38" s="25">
        <v>630</v>
      </c>
      <c r="D38" s="23">
        <v>1</v>
      </c>
      <c r="E38" s="25" t="s">
        <v>30</v>
      </c>
      <c r="F38" s="25" t="s">
        <v>30</v>
      </c>
      <c r="G38" s="23" t="s">
        <v>27</v>
      </c>
      <c r="H38" s="23" t="s">
        <v>138</v>
      </c>
      <c r="I38" s="25">
        <v>1958</v>
      </c>
      <c r="J38" s="35">
        <v>30</v>
      </c>
      <c r="K38" s="35">
        <v>40</v>
      </c>
      <c r="L38" s="35">
        <v>20</v>
      </c>
      <c r="M38" s="25">
        <v>10</v>
      </c>
      <c r="R38" s="30">
        <f t="shared" si="14"/>
        <v>10</v>
      </c>
      <c r="S38" s="30">
        <f t="shared" si="15"/>
        <v>11.922285714285714</v>
      </c>
      <c r="T38" s="30">
        <f t="shared" si="16"/>
        <v>16.316952380952383</v>
      </c>
      <c r="U38" s="25">
        <v>78</v>
      </c>
      <c r="V38" s="31">
        <f t="shared" si="17"/>
        <v>144.16</v>
      </c>
      <c r="W38" s="25">
        <v>106</v>
      </c>
      <c r="X38" s="25">
        <v>8</v>
      </c>
      <c r="Y38" s="25">
        <v>58</v>
      </c>
      <c r="Z38" s="31">
        <f t="shared" si="18"/>
        <v>150</v>
      </c>
      <c r="AA38" s="31">
        <f t="shared" si="19"/>
        <v>1</v>
      </c>
      <c r="AB38" s="31">
        <f t="shared" si="20"/>
        <v>8</v>
      </c>
      <c r="AC38" s="31" t="str">
        <f t="shared" si="21"/>
        <v/>
      </c>
      <c r="AD38" s="31" t="str">
        <f t="shared" si="22"/>
        <v/>
      </c>
      <c r="AE38" s="31" t="str">
        <f t="shared" si="23"/>
        <v/>
      </c>
      <c r="AF38" s="31" t="str">
        <f t="shared" si="24"/>
        <v/>
      </c>
      <c r="AG38" s="25">
        <v>9</v>
      </c>
      <c r="AH38" s="25">
        <v>0</v>
      </c>
      <c r="AI38" s="25">
        <v>0</v>
      </c>
      <c r="AJ38" s="23" t="s">
        <v>110</v>
      </c>
      <c r="AK38" s="23" t="s">
        <v>92</v>
      </c>
      <c r="AL38" s="25">
        <v>630</v>
      </c>
      <c r="AO38" s="32" t="str">
        <f t="shared" si="25"/>
        <v>1 door</v>
      </c>
      <c r="AQ38" s="23" t="s">
        <v>47</v>
      </c>
      <c r="AR38" s="23" t="str">
        <f t="shared" si="26"/>
        <v>CC</v>
      </c>
      <c r="AS38" s="34">
        <f t="shared" si="27"/>
        <v>720</v>
      </c>
      <c r="AT38" s="23">
        <v>7</v>
      </c>
      <c r="AU38" s="23">
        <v>20</v>
      </c>
      <c r="AV38" s="23">
        <v>0</v>
      </c>
    </row>
    <row r="39" spans="1:48">
      <c r="A39" s="25">
        <v>630</v>
      </c>
      <c r="D39" s="23">
        <v>1</v>
      </c>
      <c r="E39" s="25" t="s">
        <v>46</v>
      </c>
      <c r="F39" s="25" t="s">
        <v>46</v>
      </c>
      <c r="G39" s="23" t="s">
        <v>27</v>
      </c>
      <c r="H39" s="23" t="s">
        <v>138</v>
      </c>
      <c r="I39" s="25">
        <v>1958</v>
      </c>
      <c r="J39" s="35">
        <v>30</v>
      </c>
      <c r="K39" s="35">
        <v>40</v>
      </c>
      <c r="L39" s="35">
        <v>20</v>
      </c>
      <c r="M39" s="25">
        <v>10</v>
      </c>
      <c r="R39" s="30">
        <f t="shared" si="14"/>
        <v>10</v>
      </c>
      <c r="S39" s="30">
        <f t="shared" si="15"/>
        <v>11.922285714285714</v>
      </c>
      <c r="T39" s="30">
        <f t="shared" si="16"/>
        <v>16.316952380952383</v>
      </c>
      <c r="U39" s="25">
        <v>78</v>
      </c>
      <c r="V39" s="31">
        <f t="shared" si="17"/>
        <v>144.16</v>
      </c>
      <c r="W39" s="25">
        <v>106</v>
      </c>
      <c r="X39" s="25">
        <v>8</v>
      </c>
      <c r="Y39" s="25">
        <v>58</v>
      </c>
      <c r="Z39" s="31">
        <f t="shared" si="18"/>
        <v>150</v>
      </c>
      <c r="AA39" s="31">
        <f t="shared" si="19"/>
        <v>1</v>
      </c>
      <c r="AB39" s="31">
        <f t="shared" si="20"/>
        <v>8</v>
      </c>
      <c r="AC39" s="31" t="str">
        <f t="shared" si="21"/>
        <v/>
      </c>
      <c r="AD39" s="31" t="str">
        <f t="shared" si="22"/>
        <v/>
      </c>
      <c r="AE39" s="31" t="str">
        <f t="shared" si="23"/>
        <v/>
      </c>
      <c r="AF39" s="31" t="str">
        <f t="shared" si="24"/>
        <v/>
      </c>
      <c r="AG39" s="25">
        <v>9</v>
      </c>
      <c r="AH39" s="25">
        <v>0</v>
      </c>
      <c r="AI39" s="25">
        <v>0</v>
      </c>
      <c r="AJ39" s="23" t="s">
        <v>110</v>
      </c>
      <c r="AK39" s="23" t="s">
        <v>92</v>
      </c>
      <c r="AL39" s="25">
        <v>630</v>
      </c>
      <c r="AO39" s="32" t="str">
        <f t="shared" si="25"/>
        <v>1 door</v>
      </c>
      <c r="AQ39" s="23" t="s">
        <v>47</v>
      </c>
      <c r="AR39" s="23" t="str">
        <f t="shared" si="26"/>
        <v>Hungary</v>
      </c>
      <c r="AS39" s="34">
        <f t="shared" si="27"/>
        <v>720.01</v>
      </c>
      <c r="AT39" s="23">
        <v>7</v>
      </c>
      <c r="AU39" s="23">
        <v>20</v>
      </c>
      <c r="AV39" s="23">
        <v>1</v>
      </c>
    </row>
    <row r="40" spans="1:48">
      <c r="A40" s="25">
        <v>622</v>
      </c>
      <c r="B40" s="23" t="s">
        <v>134</v>
      </c>
      <c r="C40" s="23" t="s">
        <v>132</v>
      </c>
      <c r="D40" s="23">
        <v>3</v>
      </c>
      <c r="E40" s="25" t="s">
        <v>30</v>
      </c>
      <c r="F40" s="25" t="s">
        <v>30</v>
      </c>
      <c r="G40" s="23" t="s">
        <v>27</v>
      </c>
      <c r="H40" s="23" t="s">
        <v>136</v>
      </c>
      <c r="I40" s="25">
        <v>1961</v>
      </c>
      <c r="J40" s="35">
        <v>30</v>
      </c>
      <c r="K40" s="35">
        <v>40</v>
      </c>
      <c r="L40" s="35">
        <v>20</v>
      </c>
      <c r="M40" s="25">
        <v>10</v>
      </c>
      <c r="N40" s="25">
        <v>10</v>
      </c>
      <c r="O40" s="25">
        <v>10</v>
      </c>
      <c r="R40" s="30">
        <f t="shared" si="14"/>
        <v>30</v>
      </c>
      <c r="S40" s="30">
        <f t="shared" si="15"/>
        <v>15.350857142857143</v>
      </c>
      <c r="T40" s="30">
        <f t="shared" si="16"/>
        <v>18.718857142857143</v>
      </c>
      <c r="U40" s="25">
        <v>61</v>
      </c>
      <c r="V40" s="31">
        <f t="shared" si="17"/>
        <v>144.16</v>
      </c>
      <c r="W40" s="25">
        <v>106</v>
      </c>
      <c r="X40" s="25">
        <v>12</v>
      </c>
      <c r="Y40" s="25">
        <v>144</v>
      </c>
      <c r="Z40" s="31">
        <f t="shared" si="18"/>
        <v>200</v>
      </c>
      <c r="AA40" s="31">
        <f t="shared" si="19"/>
        <v>8</v>
      </c>
      <c r="AB40" s="31" t="str">
        <f t="shared" si="20"/>
        <v/>
      </c>
      <c r="AC40" s="31">
        <f t="shared" si="21"/>
        <v>7</v>
      </c>
      <c r="AD40" s="31" t="str">
        <f t="shared" si="22"/>
        <v/>
      </c>
      <c r="AE40" s="31" t="str">
        <f t="shared" si="23"/>
        <v/>
      </c>
      <c r="AF40" s="31" t="str">
        <f t="shared" si="24"/>
        <v/>
      </c>
      <c r="AG40" s="25">
        <v>8</v>
      </c>
      <c r="AH40" s="25">
        <v>7</v>
      </c>
      <c r="AI40" s="25">
        <v>0</v>
      </c>
      <c r="AJ40" s="23" t="s">
        <v>110</v>
      </c>
      <c r="AK40" s="23" t="s">
        <v>92</v>
      </c>
      <c r="AL40" s="25">
        <v>622</v>
      </c>
      <c r="AO40" s="32" t="str">
        <f t="shared" si="25"/>
        <v>3 doors</v>
      </c>
      <c r="AQ40" s="23" t="s">
        <v>32</v>
      </c>
      <c r="AR40" s="23" t="str">
        <f t="shared" si="26"/>
        <v>CC</v>
      </c>
      <c r="AS40" s="34">
        <f t="shared" si="27"/>
        <v>740</v>
      </c>
      <c r="AT40" s="23">
        <v>7</v>
      </c>
      <c r="AU40" s="23">
        <v>40</v>
      </c>
      <c r="AV40" s="23">
        <v>0</v>
      </c>
    </row>
    <row r="41" spans="1:48">
      <c r="A41" s="25">
        <v>622</v>
      </c>
      <c r="B41" s="23" t="s">
        <v>134</v>
      </c>
      <c r="C41" s="23" t="s">
        <v>132</v>
      </c>
      <c r="D41" s="23">
        <v>3</v>
      </c>
      <c r="E41" s="25" t="s">
        <v>85</v>
      </c>
      <c r="F41" s="25" t="s">
        <v>85</v>
      </c>
      <c r="G41" s="23" t="s">
        <v>27</v>
      </c>
      <c r="H41" s="23" t="s">
        <v>136</v>
      </c>
      <c r="I41" s="25">
        <v>1961</v>
      </c>
      <c r="J41" s="35">
        <v>30</v>
      </c>
      <c r="K41" s="35">
        <v>40</v>
      </c>
      <c r="L41" s="35">
        <v>20</v>
      </c>
      <c r="M41" s="25">
        <v>10</v>
      </c>
      <c r="N41" s="25">
        <v>10</v>
      </c>
      <c r="O41" s="25">
        <v>10</v>
      </c>
      <c r="R41" s="30">
        <f t="shared" si="14"/>
        <v>30</v>
      </c>
      <c r="S41" s="30">
        <f t="shared" si="15"/>
        <v>15.350857142857143</v>
      </c>
      <c r="T41" s="30">
        <f t="shared" si="16"/>
        <v>18.718857142857143</v>
      </c>
      <c r="U41" s="25">
        <v>61</v>
      </c>
      <c r="V41" s="31">
        <f t="shared" si="17"/>
        <v>144.16</v>
      </c>
      <c r="W41" s="25">
        <v>106</v>
      </c>
      <c r="X41" s="25">
        <v>12</v>
      </c>
      <c r="Y41" s="25">
        <v>144</v>
      </c>
      <c r="Z41" s="31">
        <f t="shared" si="18"/>
        <v>200</v>
      </c>
      <c r="AA41" s="31">
        <f t="shared" si="19"/>
        <v>8</v>
      </c>
      <c r="AB41" s="31" t="str">
        <f t="shared" si="20"/>
        <v/>
      </c>
      <c r="AC41" s="31">
        <f t="shared" si="21"/>
        <v>7</v>
      </c>
      <c r="AD41" s="31" t="str">
        <f t="shared" si="22"/>
        <v/>
      </c>
      <c r="AE41" s="31" t="str">
        <f t="shared" si="23"/>
        <v/>
      </c>
      <c r="AF41" s="31" t="str">
        <f t="shared" si="24"/>
        <v/>
      </c>
      <c r="AG41" s="25">
        <v>8</v>
      </c>
      <c r="AH41" s="25">
        <v>7</v>
      </c>
      <c r="AI41" s="25">
        <v>0</v>
      </c>
      <c r="AJ41" s="23" t="s">
        <v>110</v>
      </c>
      <c r="AK41" s="23" t="s">
        <v>92</v>
      </c>
      <c r="AL41" s="25">
        <v>622</v>
      </c>
      <c r="AO41" s="32" t="str">
        <f t="shared" si="25"/>
        <v>3 doors</v>
      </c>
      <c r="AQ41" s="23" t="s">
        <v>32</v>
      </c>
      <c r="AR41" s="23" t="str">
        <f t="shared" si="26"/>
        <v>Hungary</v>
      </c>
      <c r="AS41" s="34">
        <f t="shared" si="27"/>
        <v>740.01</v>
      </c>
      <c r="AT41" s="23">
        <v>7</v>
      </c>
      <c r="AU41" s="23">
        <v>40</v>
      </c>
      <c r="AV41" s="23">
        <v>1</v>
      </c>
    </row>
    <row r="42" spans="1:48">
      <c r="A42" s="25">
        <v>622</v>
      </c>
      <c r="B42" s="23" t="s">
        <v>133</v>
      </c>
      <c r="C42" s="23" t="s">
        <v>131</v>
      </c>
      <c r="D42" s="23">
        <v>3</v>
      </c>
      <c r="E42" s="25" t="s">
        <v>30</v>
      </c>
      <c r="F42" s="25" t="s">
        <v>30</v>
      </c>
      <c r="G42" s="23" t="s">
        <v>27</v>
      </c>
      <c r="H42" s="23" t="s">
        <v>137</v>
      </c>
      <c r="I42" s="25">
        <v>1962</v>
      </c>
      <c r="J42" s="35">
        <v>30</v>
      </c>
      <c r="K42" s="35">
        <v>40</v>
      </c>
      <c r="L42" s="35">
        <v>20</v>
      </c>
      <c r="M42" s="25">
        <v>10</v>
      </c>
      <c r="N42" s="25">
        <v>10</v>
      </c>
      <c r="O42" s="25">
        <v>10</v>
      </c>
      <c r="R42" s="30">
        <f t="shared" si="14"/>
        <v>30</v>
      </c>
      <c r="S42" s="30">
        <f t="shared" si="15"/>
        <v>14.850857142857143</v>
      </c>
      <c r="T42" s="30">
        <f t="shared" si="16"/>
        <v>18.538857142857143</v>
      </c>
      <c r="U42" s="25">
        <v>61</v>
      </c>
      <c r="V42" s="31">
        <f t="shared" si="17"/>
        <v>144.16</v>
      </c>
      <c r="W42" s="25">
        <v>106</v>
      </c>
      <c r="X42" s="25">
        <v>11</v>
      </c>
      <c r="Y42" s="25">
        <v>132</v>
      </c>
      <c r="Z42" s="31">
        <f t="shared" si="18"/>
        <v>200</v>
      </c>
      <c r="AA42" s="31">
        <f t="shared" si="19"/>
        <v>8</v>
      </c>
      <c r="AB42" s="31" t="str">
        <f t="shared" si="20"/>
        <v/>
      </c>
      <c r="AC42" s="31">
        <f t="shared" si="21"/>
        <v>6</v>
      </c>
      <c r="AD42" s="31" t="str">
        <f t="shared" si="22"/>
        <v/>
      </c>
      <c r="AE42" s="31" t="str">
        <f t="shared" si="23"/>
        <v/>
      </c>
      <c r="AF42" s="31" t="str">
        <f t="shared" si="24"/>
        <v/>
      </c>
      <c r="AG42" s="25">
        <v>8</v>
      </c>
      <c r="AH42" s="25">
        <v>6</v>
      </c>
      <c r="AI42" s="25">
        <v>0</v>
      </c>
      <c r="AJ42" s="23" t="s">
        <v>110</v>
      </c>
      <c r="AK42" s="23" t="s">
        <v>92</v>
      </c>
      <c r="AL42" s="25">
        <v>622</v>
      </c>
      <c r="AO42" s="32" t="str">
        <f t="shared" si="25"/>
        <v>3 doors</v>
      </c>
      <c r="AQ42" s="23" t="s">
        <v>32</v>
      </c>
      <c r="AR42" s="23" t="str">
        <f t="shared" si="26"/>
        <v>CC</v>
      </c>
      <c r="AS42" s="34">
        <f t="shared" si="27"/>
        <v>750</v>
      </c>
      <c r="AT42" s="23">
        <v>7</v>
      </c>
      <c r="AU42" s="23">
        <v>50</v>
      </c>
      <c r="AV42" s="23">
        <v>0</v>
      </c>
    </row>
    <row r="43" spans="1:48">
      <c r="A43" s="25">
        <v>622</v>
      </c>
      <c r="B43" s="23" t="s">
        <v>133</v>
      </c>
      <c r="C43" s="23" t="s">
        <v>131</v>
      </c>
      <c r="D43" s="23">
        <v>3</v>
      </c>
      <c r="E43" s="25" t="s">
        <v>85</v>
      </c>
      <c r="F43" s="25" t="s">
        <v>85</v>
      </c>
      <c r="G43" s="23" t="s">
        <v>27</v>
      </c>
      <c r="H43" s="23" t="s">
        <v>137</v>
      </c>
      <c r="I43" s="25">
        <v>1962</v>
      </c>
      <c r="J43" s="35">
        <v>30</v>
      </c>
      <c r="K43" s="35">
        <v>40</v>
      </c>
      <c r="L43" s="35">
        <v>20</v>
      </c>
      <c r="M43" s="25">
        <v>10</v>
      </c>
      <c r="N43" s="25">
        <v>10</v>
      </c>
      <c r="O43" s="25">
        <v>10</v>
      </c>
      <c r="R43" s="30">
        <f t="shared" si="14"/>
        <v>30</v>
      </c>
      <c r="S43" s="30">
        <f t="shared" si="15"/>
        <v>14.850857142857143</v>
      </c>
      <c r="T43" s="30">
        <f t="shared" si="16"/>
        <v>18.538857142857143</v>
      </c>
      <c r="U43" s="25">
        <v>61</v>
      </c>
      <c r="V43" s="31">
        <f t="shared" si="17"/>
        <v>144.16</v>
      </c>
      <c r="W43" s="25">
        <v>106</v>
      </c>
      <c r="X43" s="25">
        <v>11</v>
      </c>
      <c r="Y43" s="25">
        <v>132</v>
      </c>
      <c r="Z43" s="31">
        <f t="shared" si="18"/>
        <v>200</v>
      </c>
      <c r="AA43" s="31">
        <f t="shared" si="19"/>
        <v>8</v>
      </c>
      <c r="AB43" s="31" t="str">
        <f t="shared" si="20"/>
        <v/>
      </c>
      <c r="AC43" s="31">
        <f t="shared" si="21"/>
        <v>6</v>
      </c>
      <c r="AD43" s="31" t="str">
        <f t="shared" si="22"/>
        <v/>
      </c>
      <c r="AE43" s="31" t="str">
        <f t="shared" si="23"/>
        <v/>
      </c>
      <c r="AF43" s="31" t="str">
        <f t="shared" si="24"/>
        <v/>
      </c>
      <c r="AG43" s="25">
        <v>8</v>
      </c>
      <c r="AH43" s="25">
        <v>6</v>
      </c>
      <c r="AI43" s="25">
        <v>0</v>
      </c>
      <c r="AJ43" s="23" t="s">
        <v>110</v>
      </c>
      <c r="AK43" s="23" t="s">
        <v>92</v>
      </c>
      <c r="AL43" s="25">
        <v>622</v>
      </c>
      <c r="AO43" s="32" t="str">
        <f t="shared" si="25"/>
        <v>3 doors</v>
      </c>
      <c r="AQ43" s="23" t="s">
        <v>32</v>
      </c>
      <c r="AR43" s="23" t="str">
        <f t="shared" si="26"/>
        <v>Hungary</v>
      </c>
      <c r="AS43" s="34">
        <f t="shared" si="27"/>
        <v>750.01</v>
      </c>
      <c r="AT43" s="23">
        <v>7</v>
      </c>
      <c r="AU43" s="23">
        <v>50</v>
      </c>
      <c r="AV43" s="23">
        <v>1</v>
      </c>
    </row>
    <row r="44" spans="1:48">
      <c r="A44" s="25">
        <v>556</v>
      </c>
      <c r="D44" s="23">
        <v>3</v>
      </c>
      <c r="E44" s="25" t="s">
        <v>30</v>
      </c>
      <c r="F44" s="25" t="s">
        <v>30</v>
      </c>
      <c r="G44" s="23" t="s">
        <v>27</v>
      </c>
      <c r="H44" s="23" t="s">
        <v>101</v>
      </c>
      <c r="I44" s="25">
        <v>1965</v>
      </c>
      <c r="J44" s="35">
        <v>30</v>
      </c>
      <c r="K44" s="35">
        <v>40</v>
      </c>
      <c r="L44" s="35">
        <v>20</v>
      </c>
      <c r="M44" s="25">
        <v>5</v>
      </c>
      <c r="N44" s="25">
        <v>10</v>
      </c>
      <c r="O44" s="25">
        <v>12</v>
      </c>
      <c r="R44" s="30">
        <f t="shared" si="14"/>
        <v>27</v>
      </c>
      <c r="S44" s="30">
        <f t="shared" si="15"/>
        <v>15.51657142857143</v>
      </c>
      <c r="T44" s="30">
        <f t="shared" si="16"/>
        <v>22.571238095238094</v>
      </c>
      <c r="U44" s="25">
        <v>63</v>
      </c>
      <c r="V44" s="31">
        <f t="shared" si="17"/>
        <v>191.76000000000002</v>
      </c>
      <c r="W44" s="25">
        <v>141</v>
      </c>
      <c r="X44" s="25">
        <v>8</v>
      </c>
      <c r="Y44" s="25">
        <v>100</v>
      </c>
      <c r="Z44" s="31">
        <f t="shared" si="18"/>
        <v>200</v>
      </c>
      <c r="AA44" s="31">
        <f t="shared" si="19"/>
        <v>2</v>
      </c>
      <c r="AB44" s="31">
        <f t="shared" si="20"/>
        <v>8</v>
      </c>
      <c r="AC44" s="31" t="str">
        <f t="shared" si="21"/>
        <v/>
      </c>
      <c r="AD44" s="31" t="str">
        <f t="shared" si="22"/>
        <v/>
      </c>
      <c r="AE44" s="31" t="str">
        <f t="shared" si="23"/>
        <v/>
      </c>
      <c r="AF44" s="31" t="str">
        <f t="shared" si="24"/>
        <v/>
      </c>
      <c r="AG44" s="25">
        <v>10</v>
      </c>
      <c r="AH44" s="25">
        <v>0</v>
      </c>
      <c r="AI44" s="25">
        <v>0</v>
      </c>
      <c r="AJ44" s="23" t="s">
        <v>110</v>
      </c>
      <c r="AK44" s="23" t="s">
        <v>92</v>
      </c>
      <c r="AL44" s="25">
        <v>556</v>
      </c>
      <c r="AO44" s="32" t="str">
        <f t="shared" si="25"/>
        <v>3 doors</v>
      </c>
      <c r="AQ44" s="23" t="s">
        <v>32</v>
      </c>
      <c r="AR44" s="23" t="str">
        <f t="shared" si="26"/>
        <v>CC</v>
      </c>
      <c r="AS44" s="34">
        <f t="shared" si="27"/>
        <v>800</v>
      </c>
      <c r="AT44" s="23">
        <v>8</v>
      </c>
      <c r="AU44" s="23">
        <v>0</v>
      </c>
      <c r="AV44" s="23">
        <v>0</v>
      </c>
    </row>
    <row r="45" spans="1:48">
      <c r="A45" s="25">
        <v>556</v>
      </c>
      <c r="D45" s="23">
        <v>3</v>
      </c>
      <c r="E45" s="25" t="s">
        <v>85</v>
      </c>
      <c r="F45" s="25" t="s">
        <v>85</v>
      </c>
      <c r="G45" s="23" t="s">
        <v>27</v>
      </c>
      <c r="H45" s="23" t="s">
        <v>101</v>
      </c>
      <c r="I45" s="25">
        <v>1965</v>
      </c>
      <c r="J45" s="35">
        <v>30</v>
      </c>
      <c r="K45" s="35">
        <v>40</v>
      </c>
      <c r="L45" s="35">
        <v>20</v>
      </c>
      <c r="M45" s="25">
        <v>5</v>
      </c>
      <c r="N45" s="25">
        <v>10</v>
      </c>
      <c r="O45" s="25">
        <v>12</v>
      </c>
      <c r="R45" s="30">
        <f t="shared" si="14"/>
        <v>27</v>
      </c>
      <c r="S45" s="30">
        <f t="shared" si="15"/>
        <v>15.51657142857143</v>
      </c>
      <c r="T45" s="30">
        <f t="shared" si="16"/>
        <v>22.571238095238094</v>
      </c>
      <c r="U45" s="25">
        <v>63</v>
      </c>
      <c r="V45" s="31">
        <f t="shared" si="17"/>
        <v>191.76000000000002</v>
      </c>
      <c r="W45" s="25">
        <v>141</v>
      </c>
      <c r="X45" s="25">
        <v>8</v>
      </c>
      <c r="Y45" s="25">
        <v>100</v>
      </c>
      <c r="Z45" s="31">
        <f t="shared" si="18"/>
        <v>200</v>
      </c>
      <c r="AA45" s="31">
        <f t="shared" si="19"/>
        <v>2</v>
      </c>
      <c r="AB45" s="31">
        <f t="shared" si="20"/>
        <v>8</v>
      </c>
      <c r="AC45" s="31" t="str">
        <f t="shared" si="21"/>
        <v/>
      </c>
      <c r="AD45" s="31" t="str">
        <f t="shared" si="22"/>
        <v/>
      </c>
      <c r="AE45" s="31" t="str">
        <f t="shared" si="23"/>
        <v/>
      </c>
      <c r="AF45" s="31" t="str">
        <f t="shared" si="24"/>
        <v/>
      </c>
      <c r="AG45" s="25">
        <v>10</v>
      </c>
      <c r="AH45" s="25">
        <v>0</v>
      </c>
      <c r="AI45" s="25">
        <v>0</v>
      </c>
      <c r="AJ45" s="23" t="s">
        <v>110</v>
      </c>
      <c r="AK45" s="23" t="s">
        <v>92</v>
      </c>
      <c r="AL45" s="25">
        <v>556</v>
      </c>
      <c r="AO45" s="32" t="str">
        <f t="shared" si="25"/>
        <v>3 doors</v>
      </c>
      <c r="AQ45" s="23" t="s">
        <v>32</v>
      </c>
      <c r="AR45" s="23" t="str">
        <f t="shared" si="26"/>
        <v>Hungary</v>
      </c>
      <c r="AS45" s="34">
        <f t="shared" si="27"/>
        <v>800.01</v>
      </c>
      <c r="AT45" s="23">
        <v>8</v>
      </c>
      <c r="AU45" s="23">
        <v>0</v>
      </c>
      <c r="AV45" s="23">
        <v>1</v>
      </c>
    </row>
    <row r="46" spans="1:48">
      <c r="A46" s="25">
        <v>557</v>
      </c>
      <c r="D46" s="23">
        <v>1</v>
      </c>
      <c r="E46" s="25" t="s">
        <v>30</v>
      </c>
      <c r="F46" s="25" t="s">
        <v>30</v>
      </c>
      <c r="G46" s="23" t="s">
        <v>27</v>
      </c>
      <c r="H46" s="23" t="s">
        <v>102</v>
      </c>
      <c r="I46" s="25">
        <v>1964</v>
      </c>
      <c r="J46" s="35">
        <v>30</v>
      </c>
      <c r="K46" s="35">
        <v>40</v>
      </c>
      <c r="L46" s="35">
        <v>20</v>
      </c>
      <c r="M46" s="25">
        <v>5</v>
      </c>
      <c r="R46" s="30">
        <f t="shared" si="14"/>
        <v>5</v>
      </c>
      <c r="S46" s="30">
        <f t="shared" si="15"/>
        <v>13.945142857142859</v>
      </c>
      <c r="T46" s="30">
        <f t="shared" si="16"/>
        <v>20.659809523809528</v>
      </c>
      <c r="U46" s="25">
        <v>103</v>
      </c>
      <c r="V46" s="31">
        <f t="shared" si="17"/>
        <v>191.76000000000002</v>
      </c>
      <c r="W46" s="25">
        <v>141</v>
      </c>
      <c r="X46" s="25">
        <v>8</v>
      </c>
      <c r="Y46" s="25">
        <v>49</v>
      </c>
      <c r="Z46" s="31">
        <f t="shared" si="18"/>
        <v>150</v>
      </c>
      <c r="AA46" s="31">
        <f t="shared" si="19"/>
        <v>2</v>
      </c>
      <c r="AB46" s="31">
        <f t="shared" si="20"/>
        <v>8</v>
      </c>
      <c r="AC46" s="31" t="str">
        <f t="shared" si="21"/>
        <v/>
      </c>
      <c r="AD46" s="31" t="str">
        <f t="shared" si="22"/>
        <v/>
      </c>
      <c r="AE46" s="31" t="str">
        <f t="shared" si="23"/>
        <v/>
      </c>
      <c r="AF46" s="31" t="str">
        <f t="shared" si="24"/>
        <v/>
      </c>
      <c r="AG46" s="25">
        <v>10</v>
      </c>
      <c r="AH46" s="25">
        <v>0</v>
      </c>
      <c r="AI46" s="25">
        <v>0</v>
      </c>
      <c r="AJ46" s="23" t="s">
        <v>110</v>
      </c>
      <c r="AK46" s="23" t="s">
        <v>92</v>
      </c>
      <c r="AL46" s="25">
        <v>557</v>
      </c>
      <c r="AO46" s="32" t="str">
        <f t="shared" si="25"/>
        <v>1 door</v>
      </c>
      <c r="AQ46" s="23" t="s">
        <v>47</v>
      </c>
      <c r="AR46" s="23" t="str">
        <f t="shared" si="26"/>
        <v>CC</v>
      </c>
      <c r="AS46" s="34">
        <f t="shared" si="27"/>
        <v>820</v>
      </c>
      <c r="AT46" s="23">
        <v>8</v>
      </c>
      <c r="AU46" s="23">
        <v>20</v>
      </c>
      <c r="AV46" s="23">
        <v>0</v>
      </c>
    </row>
    <row r="47" spans="1:48">
      <c r="A47" s="25" t="s">
        <v>108</v>
      </c>
      <c r="D47" s="23">
        <v>2</v>
      </c>
      <c r="E47" s="25" t="s">
        <v>30</v>
      </c>
      <c r="F47" s="25" t="s">
        <v>30</v>
      </c>
      <c r="G47" s="23" t="s">
        <v>27</v>
      </c>
      <c r="H47" s="23" t="s">
        <v>100</v>
      </c>
      <c r="I47" s="25">
        <v>1969</v>
      </c>
      <c r="J47" s="35">
        <v>30</v>
      </c>
      <c r="K47" s="35">
        <v>40</v>
      </c>
      <c r="L47" s="35">
        <v>20</v>
      </c>
      <c r="M47" s="25">
        <v>5</v>
      </c>
      <c r="N47" s="25">
        <v>12</v>
      </c>
      <c r="R47" s="30">
        <f t="shared" si="14"/>
        <v>17</v>
      </c>
      <c r="S47" s="30">
        <f t="shared" si="15"/>
        <v>16.802285714285716</v>
      </c>
      <c r="T47" s="30">
        <f t="shared" si="16"/>
        <v>22.423619047619052</v>
      </c>
      <c r="U47" s="25">
        <v>63</v>
      </c>
      <c r="V47" s="31">
        <f t="shared" si="17"/>
        <v>191.76000000000002</v>
      </c>
      <c r="W47" s="25">
        <v>141</v>
      </c>
      <c r="X47" s="25">
        <v>12</v>
      </c>
      <c r="Y47" s="25">
        <v>125</v>
      </c>
      <c r="Z47" s="31">
        <f t="shared" si="18"/>
        <v>200</v>
      </c>
      <c r="AA47" s="31">
        <f t="shared" si="19"/>
        <v>2</v>
      </c>
      <c r="AB47" s="31">
        <f t="shared" si="20"/>
        <v>8</v>
      </c>
      <c r="AC47" s="31" t="str">
        <f t="shared" si="21"/>
        <v/>
      </c>
      <c r="AD47" s="31" t="str">
        <f t="shared" si="22"/>
        <v/>
      </c>
      <c r="AE47" s="31" t="str">
        <f t="shared" si="23"/>
        <v/>
      </c>
      <c r="AF47" s="31" t="str">
        <f t="shared" si="24"/>
        <v/>
      </c>
      <c r="AG47" s="25">
        <v>10</v>
      </c>
      <c r="AH47" s="25">
        <v>0</v>
      </c>
      <c r="AI47" s="25">
        <v>0</v>
      </c>
      <c r="AJ47" s="23" t="s">
        <v>110</v>
      </c>
      <c r="AK47" s="23" t="s">
        <v>92</v>
      </c>
      <c r="AL47" s="25" t="s">
        <v>108</v>
      </c>
      <c r="AO47" s="32" t="str">
        <f t="shared" si="25"/>
        <v>2 doors</v>
      </c>
      <c r="AQ47" s="23" t="s">
        <v>32</v>
      </c>
      <c r="AR47" s="23" t="str">
        <f t="shared" si="26"/>
        <v>CC</v>
      </c>
      <c r="AS47" s="34">
        <f t="shared" si="27"/>
        <v>840</v>
      </c>
      <c r="AT47" s="23">
        <v>8</v>
      </c>
      <c r="AU47" s="23">
        <v>40</v>
      </c>
      <c r="AV47" s="23">
        <v>0</v>
      </c>
    </row>
    <row r="48" spans="1:48">
      <c r="A48" s="25" t="s">
        <v>108</v>
      </c>
      <c r="D48" s="23">
        <v>2</v>
      </c>
      <c r="E48" s="25" t="s">
        <v>95</v>
      </c>
      <c r="F48" s="25" t="s">
        <v>95</v>
      </c>
      <c r="G48" s="23" t="s">
        <v>27</v>
      </c>
      <c r="H48" s="23" t="s">
        <v>100</v>
      </c>
      <c r="I48" s="25">
        <v>1969</v>
      </c>
      <c r="J48" s="35">
        <v>30</v>
      </c>
      <c r="K48" s="35">
        <v>40</v>
      </c>
      <c r="L48" s="35">
        <v>20</v>
      </c>
      <c r="M48" s="25">
        <v>5</v>
      </c>
      <c r="N48" s="25">
        <v>12</v>
      </c>
      <c r="R48" s="30">
        <f t="shared" si="14"/>
        <v>17</v>
      </c>
      <c r="S48" s="30">
        <f t="shared" si="15"/>
        <v>16.802285714285716</v>
      </c>
      <c r="T48" s="30">
        <f t="shared" si="16"/>
        <v>22.423619047619052</v>
      </c>
      <c r="U48" s="25">
        <v>63</v>
      </c>
      <c r="V48" s="31">
        <f t="shared" si="17"/>
        <v>191.76000000000002</v>
      </c>
      <c r="W48" s="25">
        <v>141</v>
      </c>
      <c r="X48" s="25">
        <v>12</v>
      </c>
      <c r="Y48" s="25">
        <v>125</v>
      </c>
      <c r="Z48" s="31">
        <f t="shared" si="18"/>
        <v>200</v>
      </c>
      <c r="AA48" s="31">
        <f t="shared" si="19"/>
        <v>2</v>
      </c>
      <c r="AB48" s="31">
        <f t="shared" si="20"/>
        <v>8</v>
      </c>
      <c r="AC48" s="31" t="str">
        <f t="shared" si="21"/>
        <v/>
      </c>
      <c r="AD48" s="31" t="str">
        <f t="shared" si="22"/>
        <v/>
      </c>
      <c r="AE48" s="31" t="str">
        <f t="shared" si="23"/>
        <v/>
      </c>
      <c r="AF48" s="31" t="str">
        <f t="shared" si="24"/>
        <v/>
      </c>
      <c r="AG48" s="25">
        <v>10</v>
      </c>
      <c r="AH48" s="25">
        <v>0</v>
      </c>
      <c r="AI48" s="25">
        <v>0</v>
      </c>
      <c r="AJ48" s="23" t="s">
        <v>110</v>
      </c>
      <c r="AK48" s="23" t="s">
        <v>92</v>
      </c>
      <c r="AL48" s="25" t="s">
        <v>108</v>
      </c>
      <c r="AO48" s="32" t="str">
        <f t="shared" si="25"/>
        <v>2 doors</v>
      </c>
      <c r="AQ48" s="23" t="s">
        <v>32</v>
      </c>
      <c r="AR48" s="23" t="str">
        <f t="shared" si="26"/>
        <v>Hungary</v>
      </c>
      <c r="AS48" s="34">
        <f t="shared" si="27"/>
        <v>840.01</v>
      </c>
      <c r="AT48" s="23">
        <v>8</v>
      </c>
      <c r="AU48" s="23">
        <v>40</v>
      </c>
      <c r="AV48" s="23">
        <v>1</v>
      </c>
    </row>
    <row r="49" spans="1:48">
      <c r="A49" s="25">
        <v>180</v>
      </c>
      <c r="D49" s="23">
        <v>4</v>
      </c>
      <c r="E49" s="25" t="s">
        <v>30</v>
      </c>
      <c r="F49" s="25" t="s">
        <v>30</v>
      </c>
      <c r="G49" s="23" t="s">
        <v>27</v>
      </c>
      <c r="H49" s="23" t="s">
        <v>143</v>
      </c>
      <c r="I49" s="25">
        <v>1966</v>
      </c>
      <c r="J49" s="35">
        <v>30</v>
      </c>
      <c r="K49" s="35">
        <v>40</v>
      </c>
      <c r="L49" s="35">
        <v>20</v>
      </c>
      <c r="M49" s="25">
        <v>8</v>
      </c>
      <c r="N49" s="25">
        <v>10</v>
      </c>
      <c r="O49" s="25">
        <v>8</v>
      </c>
      <c r="P49" s="25">
        <v>15</v>
      </c>
      <c r="R49" s="30">
        <f t="shared" si="14"/>
        <v>41</v>
      </c>
      <c r="S49" s="30">
        <f t="shared" si="15"/>
        <v>18.516571428571428</v>
      </c>
      <c r="T49" s="30">
        <f t="shared" si="16"/>
        <v>24.517904761904763</v>
      </c>
      <c r="U49" s="25">
        <v>63</v>
      </c>
      <c r="V49" s="31">
        <f t="shared" si="17"/>
        <v>191.76000000000002</v>
      </c>
      <c r="W49" s="25">
        <v>141</v>
      </c>
      <c r="X49" s="25">
        <v>12</v>
      </c>
      <c r="Y49" s="25">
        <v>182</v>
      </c>
      <c r="Z49" s="31">
        <f t="shared" si="18"/>
        <v>200</v>
      </c>
      <c r="AA49" s="31">
        <f t="shared" si="19"/>
        <v>1</v>
      </c>
      <c r="AB49" s="31">
        <f t="shared" si="20"/>
        <v>8</v>
      </c>
      <c r="AC49" s="31">
        <f t="shared" si="21"/>
        <v>7</v>
      </c>
      <c r="AD49" s="31" t="str">
        <f t="shared" si="22"/>
        <v/>
      </c>
      <c r="AE49" s="31" t="str">
        <f t="shared" si="23"/>
        <v/>
      </c>
      <c r="AF49" s="31" t="str">
        <f t="shared" si="24"/>
        <v/>
      </c>
      <c r="AG49" s="25">
        <v>9</v>
      </c>
      <c r="AH49" s="25">
        <v>7</v>
      </c>
      <c r="AI49" s="25">
        <v>0</v>
      </c>
      <c r="AJ49" s="23" t="s">
        <v>110</v>
      </c>
      <c r="AK49" s="23" t="s">
        <v>92</v>
      </c>
      <c r="AL49" s="25">
        <v>180</v>
      </c>
      <c r="AO49" s="32" t="str">
        <f t="shared" si="25"/>
        <v>4 doors</v>
      </c>
      <c r="AQ49" s="23" t="s">
        <v>32</v>
      </c>
      <c r="AR49" s="23" t="str">
        <f t="shared" si="26"/>
        <v>CC</v>
      </c>
      <c r="AS49" s="34">
        <f t="shared" si="27"/>
        <v>860</v>
      </c>
      <c r="AT49" s="23">
        <v>8</v>
      </c>
      <c r="AU49" s="23">
        <v>60</v>
      </c>
      <c r="AV49" s="23">
        <v>0</v>
      </c>
    </row>
    <row r="50" spans="1:48">
      <c r="A50" s="25">
        <v>180</v>
      </c>
      <c r="D50" s="23">
        <v>4</v>
      </c>
      <c r="E50" s="25" t="s">
        <v>85</v>
      </c>
      <c r="F50" s="25" t="s">
        <v>85</v>
      </c>
      <c r="G50" s="23" t="s">
        <v>27</v>
      </c>
      <c r="H50" s="23" t="s">
        <v>143</v>
      </c>
      <c r="I50" s="25">
        <v>1966</v>
      </c>
      <c r="J50" s="35">
        <v>30</v>
      </c>
      <c r="K50" s="35">
        <v>40</v>
      </c>
      <c r="L50" s="35">
        <v>20</v>
      </c>
      <c r="M50" s="25">
        <v>8</v>
      </c>
      <c r="N50" s="25">
        <v>10</v>
      </c>
      <c r="O50" s="25">
        <v>8</v>
      </c>
      <c r="P50" s="25">
        <v>15</v>
      </c>
      <c r="R50" s="30">
        <f t="shared" si="14"/>
        <v>41</v>
      </c>
      <c r="S50" s="30">
        <f t="shared" si="15"/>
        <v>18.516571428571428</v>
      </c>
      <c r="T50" s="30">
        <f t="shared" si="16"/>
        <v>24.517904761904763</v>
      </c>
      <c r="U50" s="25">
        <v>63</v>
      </c>
      <c r="V50" s="31">
        <f t="shared" si="17"/>
        <v>191.76000000000002</v>
      </c>
      <c r="W50" s="25">
        <v>141</v>
      </c>
      <c r="X50" s="25">
        <v>12</v>
      </c>
      <c r="Y50" s="25">
        <v>182</v>
      </c>
      <c r="Z50" s="31">
        <f t="shared" si="18"/>
        <v>200</v>
      </c>
      <c r="AA50" s="31">
        <f t="shared" si="19"/>
        <v>1</v>
      </c>
      <c r="AB50" s="31">
        <f t="shared" si="20"/>
        <v>8</v>
      </c>
      <c r="AC50" s="31">
        <f t="shared" si="21"/>
        <v>7</v>
      </c>
      <c r="AD50" s="31" t="str">
        <f t="shared" si="22"/>
        <v/>
      </c>
      <c r="AE50" s="31" t="str">
        <f t="shared" si="23"/>
        <v/>
      </c>
      <c r="AF50" s="31" t="str">
        <f t="shared" si="24"/>
        <v/>
      </c>
      <c r="AG50" s="25">
        <v>9</v>
      </c>
      <c r="AH50" s="25">
        <v>7</v>
      </c>
      <c r="AI50" s="25">
        <v>0</v>
      </c>
      <c r="AJ50" s="23" t="s">
        <v>110</v>
      </c>
      <c r="AK50" s="23" t="s">
        <v>92</v>
      </c>
      <c r="AL50" s="25">
        <v>180</v>
      </c>
      <c r="AO50" s="32" t="str">
        <f t="shared" si="25"/>
        <v>4 doors</v>
      </c>
      <c r="AQ50" s="23" t="s">
        <v>32</v>
      </c>
      <c r="AR50" s="23" t="str">
        <f t="shared" si="26"/>
        <v>Hungary</v>
      </c>
      <c r="AS50" s="34">
        <f t="shared" si="27"/>
        <v>860.01</v>
      </c>
      <c r="AT50" s="23">
        <v>8</v>
      </c>
      <c r="AU50" s="23">
        <v>60</v>
      </c>
      <c r="AV50" s="23">
        <v>1</v>
      </c>
    </row>
    <row r="51" spans="1:48">
      <c r="A51" s="25">
        <v>210</v>
      </c>
      <c r="D51" s="23">
        <v>1</v>
      </c>
      <c r="E51" s="25" t="s">
        <v>30</v>
      </c>
      <c r="F51" s="25" t="s">
        <v>30</v>
      </c>
      <c r="G51" s="23" t="s">
        <v>27</v>
      </c>
      <c r="H51" s="23" t="s">
        <v>144</v>
      </c>
      <c r="I51" s="25">
        <v>1969</v>
      </c>
      <c r="J51" s="35">
        <v>30</v>
      </c>
      <c r="K51" s="35">
        <v>40</v>
      </c>
      <c r="L51" s="35">
        <v>20</v>
      </c>
      <c r="M51" s="25">
        <v>5</v>
      </c>
      <c r="R51" s="30">
        <f t="shared" si="14"/>
        <v>5</v>
      </c>
      <c r="S51" s="30">
        <f t="shared" si="15"/>
        <v>11.065142857142858</v>
      </c>
      <c r="T51" s="30">
        <f t="shared" si="16"/>
        <v>15.746476190476189</v>
      </c>
      <c r="U51" s="25">
        <v>107</v>
      </c>
      <c r="V51" s="31">
        <f t="shared" si="17"/>
        <v>144.16</v>
      </c>
      <c r="W51" s="25">
        <v>106</v>
      </c>
      <c r="X51" s="25">
        <v>7</v>
      </c>
      <c r="Y51" s="25">
        <v>41</v>
      </c>
      <c r="Z51" s="31">
        <f t="shared" si="18"/>
        <v>150</v>
      </c>
      <c r="AA51" s="31">
        <f t="shared" si="19"/>
        <v>7</v>
      </c>
      <c r="AB51" s="31" t="str">
        <f t="shared" si="20"/>
        <v/>
      </c>
      <c r="AC51" s="31" t="str">
        <f t="shared" si="21"/>
        <v/>
      </c>
      <c r="AD51" s="31" t="str">
        <f t="shared" si="22"/>
        <v/>
      </c>
      <c r="AE51" s="31" t="str">
        <f t="shared" si="23"/>
        <v/>
      </c>
      <c r="AF51" s="31" t="str">
        <f t="shared" si="24"/>
        <v/>
      </c>
      <c r="AG51" s="25">
        <v>7</v>
      </c>
      <c r="AH51" s="25">
        <v>0</v>
      </c>
      <c r="AI51" s="25">
        <v>0</v>
      </c>
      <c r="AJ51" s="23" t="s">
        <v>206</v>
      </c>
      <c r="AK51" s="23" t="s">
        <v>92</v>
      </c>
      <c r="AL51" s="25">
        <v>210</v>
      </c>
      <c r="AO51" s="32" t="str">
        <f t="shared" si="25"/>
        <v>1 door</v>
      </c>
      <c r="AQ51" s="23" t="s">
        <v>47</v>
      </c>
      <c r="AR51" s="23" t="str">
        <f t="shared" si="26"/>
        <v>CC</v>
      </c>
      <c r="AS51" s="34">
        <f t="shared" si="27"/>
        <v>1000</v>
      </c>
      <c r="AT51" s="23">
        <v>10</v>
      </c>
      <c r="AU51" s="23">
        <v>0</v>
      </c>
      <c r="AV51" s="23">
        <v>0</v>
      </c>
    </row>
    <row r="52" spans="1:48">
      <c r="A52" s="25">
        <v>211</v>
      </c>
      <c r="D52" s="23">
        <v>1</v>
      </c>
      <c r="E52" s="25" t="s">
        <v>30</v>
      </c>
      <c r="F52" s="25" t="s">
        <v>30</v>
      </c>
      <c r="G52" s="23" t="s">
        <v>27</v>
      </c>
      <c r="H52" s="23" t="s">
        <v>145</v>
      </c>
      <c r="I52" s="25">
        <v>1975</v>
      </c>
      <c r="J52" s="35">
        <v>30</v>
      </c>
      <c r="K52" s="35">
        <v>40</v>
      </c>
      <c r="L52" s="35">
        <v>20</v>
      </c>
      <c r="M52" s="25">
        <v>5</v>
      </c>
      <c r="R52" s="30">
        <f t="shared" si="14"/>
        <v>5</v>
      </c>
      <c r="S52" s="30">
        <f t="shared" si="15"/>
        <v>10.113142857142858</v>
      </c>
      <c r="T52" s="30">
        <f t="shared" si="16"/>
        <v>13.815809523809525</v>
      </c>
      <c r="U52" s="25">
        <v>90</v>
      </c>
      <c r="V52" s="31">
        <f t="shared" si="17"/>
        <v>125.12</v>
      </c>
      <c r="W52" s="25">
        <v>92</v>
      </c>
      <c r="X52" s="25">
        <v>7</v>
      </c>
      <c r="Y52" s="25">
        <v>37</v>
      </c>
      <c r="Z52" s="31">
        <f t="shared" si="18"/>
        <v>185</v>
      </c>
      <c r="AA52" s="31">
        <f t="shared" si="19"/>
        <v>8</v>
      </c>
      <c r="AB52" s="31" t="str">
        <f t="shared" si="20"/>
        <v/>
      </c>
      <c r="AC52" s="31" t="str">
        <f t="shared" si="21"/>
        <v/>
      </c>
      <c r="AD52" s="31" t="str">
        <f t="shared" si="22"/>
        <v/>
      </c>
      <c r="AE52" s="31" t="str">
        <f t="shared" si="23"/>
        <v/>
      </c>
      <c r="AF52" s="31" t="str">
        <f t="shared" si="24"/>
        <v/>
      </c>
      <c r="AG52" s="25">
        <v>8</v>
      </c>
      <c r="AH52" s="25">
        <v>0</v>
      </c>
      <c r="AI52" s="25">
        <v>0</v>
      </c>
      <c r="AJ52" s="23" t="s">
        <v>206</v>
      </c>
      <c r="AK52" s="23" t="s">
        <v>92</v>
      </c>
      <c r="AL52" s="25">
        <v>211</v>
      </c>
      <c r="AO52" s="32" t="str">
        <f t="shared" si="25"/>
        <v>1 door</v>
      </c>
      <c r="AQ52" s="23" t="s">
        <v>33</v>
      </c>
      <c r="AR52" s="23" t="str">
        <f t="shared" si="26"/>
        <v>CC</v>
      </c>
      <c r="AS52" s="34">
        <f t="shared" si="27"/>
        <v>1020</v>
      </c>
      <c r="AT52" s="23">
        <v>10</v>
      </c>
      <c r="AU52" s="23">
        <v>20</v>
      </c>
      <c r="AV52" s="23">
        <v>0</v>
      </c>
    </row>
    <row r="53" spans="1:48">
      <c r="A53" s="25">
        <v>212</v>
      </c>
      <c r="D53" s="23">
        <v>1</v>
      </c>
      <c r="E53" s="25" t="s">
        <v>30</v>
      </c>
      <c r="F53" s="25" t="s">
        <v>30</v>
      </c>
      <c r="G53" s="23" t="s">
        <v>27</v>
      </c>
      <c r="H53" s="23" t="s">
        <v>146</v>
      </c>
      <c r="I53" s="25">
        <v>1976</v>
      </c>
      <c r="J53" s="35">
        <v>30</v>
      </c>
      <c r="K53" s="35">
        <v>40</v>
      </c>
      <c r="L53" s="35">
        <v>20</v>
      </c>
      <c r="M53" s="25">
        <v>5</v>
      </c>
      <c r="N53" s="25">
        <v>5</v>
      </c>
      <c r="R53" s="30">
        <f t="shared" si="14"/>
        <v>10</v>
      </c>
      <c r="S53" s="30">
        <f t="shared" si="15"/>
        <v>12.670285714285713</v>
      </c>
      <c r="T53" s="30">
        <f t="shared" si="16"/>
        <v>17.632952380952382</v>
      </c>
      <c r="U53" s="25">
        <v>97</v>
      </c>
      <c r="V53" s="31">
        <f t="shared" si="17"/>
        <v>159.12</v>
      </c>
      <c r="W53" s="25">
        <v>117</v>
      </c>
      <c r="X53" s="25">
        <v>8</v>
      </c>
      <c r="Y53" s="25">
        <v>31</v>
      </c>
      <c r="Z53" s="31">
        <f t="shared" si="18"/>
        <v>100</v>
      </c>
      <c r="AA53" s="31">
        <f t="shared" si="19"/>
        <v>8</v>
      </c>
      <c r="AB53" s="31" t="str">
        <f t="shared" si="20"/>
        <v/>
      </c>
      <c r="AC53" s="31" t="str">
        <f t="shared" si="21"/>
        <v/>
      </c>
      <c r="AD53" s="31" t="str">
        <f t="shared" si="22"/>
        <v/>
      </c>
      <c r="AE53" s="31" t="str">
        <f t="shared" si="23"/>
        <v/>
      </c>
      <c r="AF53" s="31" t="str">
        <f t="shared" si="24"/>
        <v/>
      </c>
      <c r="AG53" s="25">
        <v>8</v>
      </c>
      <c r="AH53" s="25">
        <v>0</v>
      </c>
      <c r="AI53" s="25">
        <v>0</v>
      </c>
      <c r="AJ53" s="23" t="s">
        <v>206</v>
      </c>
      <c r="AK53" s="23" t="s">
        <v>92</v>
      </c>
      <c r="AL53" s="25">
        <v>212</v>
      </c>
      <c r="AO53" s="32" t="str">
        <f t="shared" si="25"/>
        <v>2 doors</v>
      </c>
      <c r="AQ53" s="23" t="s">
        <v>48</v>
      </c>
      <c r="AR53" s="23" t="str">
        <f t="shared" si="26"/>
        <v>CC</v>
      </c>
      <c r="AS53" s="34">
        <f t="shared" si="27"/>
        <v>1040</v>
      </c>
      <c r="AT53" s="23">
        <v>10</v>
      </c>
      <c r="AU53" s="23">
        <v>40</v>
      </c>
      <c r="AV53" s="23">
        <v>0</v>
      </c>
    </row>
    <row r="54" spans="1:48">
      <c r="A54" s="25">
        <v>222</v>
      </c>
      <c r="D54" s="23">
        <v>3</v>
      </c>
      <c r="E54" s="25" t="s">
        <v>30</v>
      </c>
      <c r="F54" s="25" t="s">
        <v>30</v>
      </c>
      <c r="G54" s="23" t="s">
        <v>27</v>
      </c>
      <c r="H54" s="23" t="s">
        <v>147</v>
      </c>
      <c r="I54" s="25">
        <v>1975</v>
      </c>
      <c r="J54" s="35">
        <v>30</v>
      </c>
      <c r="K54" s="35">
        <v>40</v>
      </c>
      <c r="L54" s="35">
        <v>20</v>
      </c>
      <c r="M54" s="25">
        <v>8</v>
      </c>
      <c r="N54" s="25">
        <v>12</v>
      </c>
      <c r="O54" s="25">
        <v>6</v>
      </c>
      <c r="R54" s="30">
        <f t="shared" si="14"/>
        <v>26</v>
      </c>
      <c r="S54" s="30">
        <f t="shared" si="15"/>
        <v>13.157142857142858</v>
      </c>
      <c r="T54" s="30">
        <f t="shared" si="16"/>
        <v>16.87047619047619</v>
      </c>
      <c r="U54" s="25">
        <v>78</v>
      </c>
      <c r="V54" s="31">
        <f t="shared" si="17"/>
        <v>136</v>
      </c>
      <c r="W54" s="25">
        <v>100</v>
      </c>
      <c r="X54" s="25">
        <v>9</v>
      </c>
      <c r="Y54" s="25">
        <v>77</v>
      </c>
      <c r="Z54" s="31">
        <f t="shared" si="18"/>
        <v>200</v>
      </c>
      <c r="AA54" s="31">
        <f t="shared" si="19"/>
        <v>8</v>
      </c>
      <c r="AB54" s="31" t="str">
        <f t="shared" si="20"/>
        <v/>
      </c>
      <c r="AC54" s="31" t="str">
        <f t="shared" si="21"/>
        <v/>
      </c>
      <c r="AD54" s="31" t="str">
        <f t="shared" si="22"/>
        <v/>
      </c>
      <c r="AE54" s="31" t="str">
        <f t="shared" si="23"/>
        <v/>
      </c>
      <c r="AF54" s="31" t="str">
        <f t="shared" si="24"/>
        <v/>
      </c>
      <c r="AG54" s="25">
        <v>8</v>
      </c>
      <c r="AH54" s="25">
        <v>0</v>
      </c>
      <c r="AI54" s="25">
        <v>0</v>
      </c>
      <c r="AJ54" s="23" t="s">
        <v>206</v>
      </c>
      <c r="AK54" s="23" t="s">
        <v>92</v>
      </c>
      <c r="AL54" s="25">
        <v>222</v>
      </c>
      <c r="AO54" s="32" t="str">
        <f t="shared" si="25"/>
        <v>3 doors</v>
      </c>
      <c r="AQ54" s="23" t="s">
        <v>32</v>
      </c>
      <c r="AR54" s="23" t="str">
        <f t="shared" si="26"/>
        <v>CC</v>
      </c>
      <c r="AS54" s="34">
        <f t="shared" si="27"/>
        <v>1060</v>
      </c>
      <c r="AT54" s="23">
        <v>10</v>
      </c>
      <c r="AU54" s="23">
        <v>60</v>
      </c>
      <c r="AV54" s="23">
        <v>0</v>
      </c>
    </row>
    <row r="55" spans="1:48">
      <c r="A55" s="25">
        <v>250</v>
      </c>
      <c r="D55" s="23">
        <v>1</v>
      </c>
      <c r="E55" s="25" t="s">
        <v>30</v>
      </c>
      <c r="F55" s="25" t="s">
        <v>30</v>
      </c>
      <c r="G55" s="23" t="s">
        <v>27</v>
      </c>
      <c r="H55" s="23" t="s">
        <v>148</v>
      </c>
      <c r="I55" s="25">
        <v>1967</v>
      </c>
      <c r="J55" s="35">
        <v>30</v>
      </c>
      <c r="K55" s="35">
        <v>40</v>
      </c>
      <c r="L55" s="35">
        <v>20</v>
      </c>
      <c r="M55" s="25">
        <v>6</v>
      </c>
      <c r="R55" s="30">
        <f t="shared" si="14"/>
        <v>6</v>
      </c>
      <c r="S55" s="30">
        <f t="shared" si="15"/>
        <v>16.944571428571429</v>
      </c>
      <c r="T55" s="30">
        <f t="shared" si="16"/>
        <v>23.900571428571428</v>
      </c>
      <c r="U55" s="25">
        <v>102</v>
      </c>
      <c r="V55" s="31">
        <f t="shared" si="17"/>
        <v>220.32000000000002</v>
      </c>
      <c r="W55" s="25">
        <v>162</v>
      </c>
      <c r="X55" s="25">
        <v>11</v>
      </c>
      <c r="Y55" s="25">
        <v>51</v>
      </c>
      <c r="Z55" s="31">
        <f t="shared" si="18"/>
        <v>100</v>
      </c>
      <c r="AA55" s="31">
        <f t="shared" si="19"/>
        <v>2</v>
      </c>
      <c r="AB55" s="31">
        <f t="shared" si="20"/>
        <v>8</v>
      </c>
      <c r="AC55" s="31" t="str">
        <f t="shared" si="21"/>
        <v/>
      </c>
      <c r="AD55" s="31" t="str">
        <f t="shared" si="22"/>
        <v/>
      </c>
      <c r="AE55" s="31" t="str">
        <f t="shared" si="23"/>
        <v/>
      </c>
      <c r="AF55" s="31" t="str">
        <f t="shared" si="24"/>
        <v/>
      </c>
      <c r="AG55" s="25">
        <v>10</v>
      </c>
      <c r="AH55" s="25">
        <v>0</v>
      </c>
      <c r="AI55" s="25">
        <v>0</v>
      </c>
      <c r="AJ55" s="23" t="s">
        <v>206</v>
      </c>
      <c r="AK55" s="23" t="s">
        <v>92</v>
      </c>
      <c r="AL55" s="25">
        <v>250</v>
      </c>
      <c r="AO55" s="32" t="str">
        <f t="shared" si="25"/>
        <v>1 door</v>
      </c>
      <c r="AQ55" s="23" t="s">
        <v>48</v>
      </c>
      <c r="AR55" s="23" t="str">
        <f t="shared" si="26"/>
        <v>CC</v>
      </c>
      <c r="AS55" s="34">
        <f t="shared" si="27"/>
        <v>1100</v>
      </c>
      <c r="AT55" s="23">
        <v>11</v>
      </c>
      <c r="AU55" s="23">
        <v>0</v>
      </c>
      <c r="AV55" s="23">
        <v>0</v>
      </c>
    </row>
    <row r="56" spans="1:48">
      <c r="A56" s="25">
        <v>250</v>
      </c>
      <c r="D56" s="23">
        <v>2</v>
      </c>
      <c r="E56" s="25" t="s">
        <v>30</v>
      </c>
      <c r="F56" s="25" t="s">
        <v>30</v>
      </c>
      <c r="G56" s="23" t="s">
        <v>27</v>
      </c>
      <c r="H56" s="23" t="s">
        <v>149</v>
      </c>
      <c r="I56" s="25">
        <v>1970</v>
      </c>
      <c r="J56" s="35">
        <v>30</v>
      </c>
      <c r="K56" s="35">
        <v>40</v>
      </c>
      <c r="L56" s="35">
        <v>20</v>
      </c>
      <c r="M56" s="25">
        <v>6</v>
      </c>
      <c r="N56" s="25">
        <v>6</v>
      </c>
      <c r="R56" s="30">
        <f t="shared" si="14"/>
        <v>12</v>
      </c>
      <c r="S56" s="30">
        <f t="shared" si="15"/>
        <v>18.869142857142858</v>
      </c>
      <c r="T56" s="30">
        <f t="shared" si="16"/>
        <v>27.321142857142856</v>
      </c>
      <c r="U56" s="25">
        <v>100</v>
      </c>
      <c r="V56" s="31">
        <f t="shared" si="17"/>
        <v>250.24</v>
      </c>
      <c r="W56" s="25">
        <v>184</v>
      </c>
      <c r="X56" s="25">
        <v>11</v>
      </c>
      <c r="Y56" s="25">
        <v>51</v>
      </c>
      <c r="Z56" s="31">
        <f t="shared" si="18"/>
        <v>185</v>
      </c>
      <c r="AA56" s="31">
        <f t="shared" si="19"/>
        <v>2</v>
      </c>
      <c r="AB56" s="31">
        <f t="shared" si="20"/>
        <v>8</v>
      </c>
      <c r="AC56" s="31" t="str">
        <f t="shared" si="21"/>
        <v/>
      </c>
      <c r="AD56" s="31" t="str">
        <f t="shared" si="22"/>
        <v/>
      </c>
      <c r="AE56" s="31" t="str">
        <f t="shared" si="23"/>
        <v/>
      </c>
      <c r="AF56" s="31" t="str">
        <f t="shared" si="24"/>
        <v/>
      </c>
      <c r="AG56" s="25">
        <v>10</v>
      </c>
      <c r="AH56" s="25">
        <v>0</v>
      </c>
      <c r="AI56" s="25">
        <v>0</v>
      </c>
      <c r="AJ56" s="23" t="s">
        <v>206</v>
      </c>
      <c r="AK56" s="23" t="s">
        <v>92</v>
      </c>
      <c r="AL56" s="25">
        <v>250</v>
      </c>
      <c r="AO56" s="32" t="str">
        <f t="shared" si="25"/>
        <v>2 doors</v>
      </c>
      <c r="AP56" s="23" t="s">
        <v>230</v>
      </c>
      <c r="AQ56" s="23" t="s">
        <v>33</v>
      </c>
      <c r="AR56" s="23" t="str">
        <f t="shared" si="26"/>
        <v>CC</v>
      </c>
      <c r="AS56" s="34">
        <f t="shared" si="27"/>
        <v>1120</v>
      </c>
      <c r="AT56" s="23">
        <v>11</v>
      </c>
      <c r="AU56" s="23">
        <v>20</v>
      </c>
      <c r="AV56" s="23">
        <v>0</v>
      </c>
    </row>
    <row r="57" spans="1:48">
      <c r="A57" s="25">
        <v>250</v>
      </c>
      <c r="D57" s="23">
        <v>2</v>
      </c>
      <c r="E57" s="25" t="s">
        <v>42</v>
      </c>
      <c r="F57" s="25" t="s">
        <v>42</v>
      </c>
      <c r="G57" s="23" t="s">
        <v>27</v>
      </c>
      <c r="H57" s="23" t="s">
        <v>149</v>
      </c>
      <c r="I57" s="25">
        <v>1970</v>
      </c>
      <c r="J57" s="35">
        <v>30</v>
      </c>
      <c r="K57" s="35">
        <v>40</v>
      </c>
      <c r="L57" s="35">
        <v>20</v>
      </c>
      <c r="M57" s="25">
        <v>6</v>
      </c>
      <c r="N57" s="25">
        <v>6</v>
      </c>
      <c r="R57" s="30">
        <f t="shared" si="14"/>
        <v>12</v>
      </c>
      <c r="S57" s="30">
        <f t="shared" si="15"/>
        <v>18.869142857142858</v>
      </c>
      <c r="T57" s="30">
        <f t="shared" si="16"/>
        <v>27.321142857142856</v>
      </c>
      <c r="U57" s="25">
        <v>100</v>
      </c>
      <c r="V57" s="31">
        <f t="shared" si="17"/>
        <v>250.24</v>
      </c>
      <c r="W57" s="25">
        <v>184</v>
      </c>
      <c r="X57" s="25">
        <v>11</v>
      </c>
      <c r="Y57" s="25">
        <v>51</v>
      </c>
      <c r="Z57" s="31">
        <f t="shared" si="18"/>
        <v>185</v>
      </c>
      <c r="AA57" s="31">
        <f t="shared" si="19"/>
        <v>2</v>
      </c>
      <c r="AB57" s="31">
        <f t="shared" si="20"/>
        <v>8</v>
      </c>
      <c r="AC57" s="31" t="str">
        <f t="shared" si="21"/>
        <v/>
      </c>
      <c r="AD57" s="31" t="str">
        <f t="shared" si="22"/>
        <v/>
      </c>
      <c r="AE57" s="31" t="str">
        <f t="shared" si="23"/>
        <v/>
      </c>
      <c r="AF57" s="31" t="str">
        <f t="shared" si="24"/>
        <v/>
      </c>
      <c r="AG57" s="25">
        <v>10</v>
      </c>
      <c r="AH57" s="25">
        <v>0</v>
      </c>
      <c r="AI57" s="25">
        <v>0</v>
      </c>
      <c r="AJ57" s="23" t="s">
        <v>206</v>
      </c>
      <c r="AK57" s="23" t="s">
        <v>92</v>
      </c>
      <c r="AL57" s="25">
        <v>250</v>
      </c>
      <c r="AO57" s="32" t="str">
        <f t="shared" si="25"/>
        <v>2 doors</v>
      </c>
      <c r="AP57" s="23" t="s">
        <v>230</v>
      </c>
      <c r="AQ57" s="23" t="s">
        <v>33</v>
      </c>
      <c r="AR57" s="23" t="str">
        <f t="shared" si="26"/>
        <v>CC</v>
      </c>
      <c r="AS57" s="34">
        <f t="shared" si="27"/>
        <v>1120.01</v>
      </c>
      <c r="AT57" s="23">
        <v>11</v>
      </c>
      <c r="AU57" s="23">
        <v>20</v>
      </c>
      <c r="AV57" s="23">
        <v>1</v>
      </c>
    </row>
    <row r="58" spans="1:48">
      <c r="A58" s="25">
        <v>250</v>
      </c>
      <c r="D58" s="23">
        <v>2</v>
      </c>
      <c r="E58" s="25" t="s">
        <v>46</v>
      </c>
      <c r="F58" s="25" t="s">
        <v>46</v>
      </c>
      <c r="G58" s="23" t="s">
        <v>27</v>
      </c>
      <c r="H58" s="23" t="s">
        <v>149</v>
      </c>
      <c r="I58" s="25">
        <v>1970</v>
      </c>
      <c r="J58" s="35">
        <v>30</v>
      </c>
      <c r="K58" s="35">
        <v>40</v>
      </c>
      <c r="L58" s="35">
        <v>20</v>
      </c>
      <c r="M58" s="25">
        <v>6</v>
      </c>
      <c r="N58" s="25">
        <v>6</v>
      </c>
      <c r="R58" s="30">
        <f t="shared" si="14"/>
        <v>12</v>
      </c>
      <c r="S58" s="30">
        <f t="shared" si="15"/>
        <v>18.869142857142858</v>
      </c>
      <c r="T58" s="30">
        <f t="shared" si="16"/>
        <v>27.321142857142856</v>
      </c>
      <c r="U58" s="25">
        <v>100</v>
      </c>
      <c r="V58" s="31">
        <f t="shared" si="17"/>
        <v>250.24</v>
      </c>
      <c r="W58" s="25">
        <v>184</v>
      </c>
      <c r="X58" s="25">
        <v>11</v>
      </c>
      <c r="Y58" s="25">
        <v>51</v>
      </c>
      <c r="Z58" s="31">
        <f t="shared" si="18"/>
        <v>185</v>
      </c>
      <c r="AA58" s="31">
        <f t="shared" si="19"/>
        <v>2</v>
      </c>
      <c r="AB58" s="31">
        <f t="shared" si="20"/>
        <v>8</v>
      </c>
      <c r="AC58" s="31" t="str">
        <f t="shared" si="21"/>
        <v/>
      </c>
      <c r="AD58" s="31" t="str">
        <f t="shared" si="22"/>
        <v/>
      </c>
      <c r="AE58" s="31" t="str">
        <f t="shared" si="23"/>
        <v/>
      </c>
      <c r="AF58" s="31" t="str">
        <f t="shared" si="24"/>
        <v/>
      </c>
      <c r="AG58" s="25">
        <v>10</v>
      </c>
      <c r="AH58" s="25">
        <v>0</v>
      </c>
      <c r="AI58" s="25">
        <v>0</v>
      </c>
      <c r="AJ58" s="23" t="s">
        <v>206</v>
      </c>
      <c r="AK58" s="23" t="s">
        <v>92</v>
      </c>
      <c r="AL58" s="25">
        <v>250</v>
      </c>
      <c r="AO58" s="32" t="str">
        <f t="shared" si="25"/>
        <v>2 doors</v>
      </c>
      <c r="AP58" s="23" t="s">
        <v>230</v>
      </c>
      <c r="AQ58" s="23" t="s">
        <v>33</v>
      </c>
      <c r="AR58" s="23" t="str">
        <f t="shared" si="26"/>
        <v>Hungary</v>
      </c>
      <c r="AS58" s="34">
        <f t="shared" si="27"/>
        <v>1120.02</v>
      </c>
      <c r="AT58" s="23">
        <v>11</v>
      </c>
      <c r="AU58" s="23">
        <v>20</v>
      </c>
      <c r="AV58" s="23">
        <v>2</v>
      </c>
    </row>
    <row r="59" spans="1:48">
      <c r="A59" s="25">
        <v>253</v>
      </c>
      <c r="D59" s="23">
        <v>2</v>
      </c>
      <c r="E59" s="25" t="s">
        <v>30</v>
      </c>
      <c r="F59" s="25" t="s">
        <v>30</v>
      </c>
      <c r="G59" s="23" t="s">
        <v>27</v>
      </c>
      <c r="H59" s="23" t="s">
        <v>242</v>
      </c>
      <c r="I59" s="25">
        <v>1990</v>
      </c>
      <c r="J59" s="35">
        <v>30</v>
      </c>
      <c r="K59" s="35">
        <v>40</v>
      </c>
      <c r="L59" s="35">
        <v>20</v>
      </c>
      <c r="M59" s="25">
        <v>6</v>
      </c>
      <c r="N59" s="25">
        <v>6</v>
      </c>
      <c r="R59" s="30">
        <f t="shared" si="14"/>
        <v>12</v>
      </c>
      <c r="S59" s="30">
        <f t="shared" si="15"/>
        <v>18.869142857142858</v>
      </c>
      <c r="T59" s="30">
        <f t="shared" si="16"/>
        <v>27.314476190476189</v>
      </c>
      <c r="U59" s="25">
        <v>100</v>
      </c>
      <c r="V59" s="31">
        <f t="shared" si="17"/>
        <v>250.24</v>
      </c>
      <c r="W59" s="25">
        <v>184</v>
      </c>
      <c r="X59" s="25">
        <v>11</v>
      </c>
      <c r="Y59" s="25">
        <v>50</v>
      </c>
      <c r="Z59" s="31">
        <f t="shared" si="18"/>
        <v>100</v>
      </c>
      <c r="AA59" s="31">
        <f t="shared" si="19"/>
        <v>2</v>
      </c>
      <c r="AB59" s="31">
        <f t="shared" si="20"/>
        <v>8</v>
      </c>
      <c r="AC59" s="31" t="str">
        <f t="shared" si="21"/>
        <v/>
      </c>
      <c r="AD59" s="31" t="str">
        <f t="shared" si="22"/>
        <v/>
      </c>
      <c r="AE59" s="31" t="str">
        <f t="shared" si="23"/>
        <v/>
      </c>
      <c r="AF59" s="31" t="str">
        <f t="shared" si="24"/>
        <v/>
      </c>
      <c r="AG59" s="25">
        <v>10</v>
      </c>
      <c r="AH59" s="25">
        <v>0</v>
      </c>
      <c r="AI59" s="25">
        <v>0</v>
      </c>
      <c r="AJ59" s="23" t="s">
        <v>206</v>
      </c>
      <c r="AK59" s="23" t="s">
        <v>92</v>
      </c>
      <c r="AL59" s="25">
        <v>253</v>
      </c>
      <c r="AO59" s="32" t="str">
        <f t="shared" si="25"/>
        <v>2 doors</v>
      </c>
      <c r="AQ59" s="23" t="s">
        <v>48</v>
      </c>
      <c r="AR59" s="23" t="str">
        <f t="shared" si="26"/>
        <v>CC</v>
      </c>
      <c r="AS59" s="34">
        <f t="shared" si="27"/>
        <v>1150</v>
      </c>
      <c r="AT59" s="23">
        <v>11</v>
      </c>
      <c r="AU59" s="23">
        <v>50</v>
      </c>
      <c r="AV59" s="23">
        <v>0</v>
      </c>
    </row>
    <row r="60" spans="1:48">
      <c r="A60" s="25">
        <v>254</v>
      </c>
      <c r="D60" s="23">
        <v>2</v>
      </c>
      <c r="E60" s="25" t="s">
        <v>30</v>
      </c>
      <c r="F60" s="25" t="s">
        <v>30</v>
      </c>
      <c r="G60" s="23" t="s">
        <v>27</v>
      </c>
      <c r="H60" s="23" t="s">
        <v>150</v>
      </c>
      <c r="I60" s="25">
        <v>1975</v>
      </c>
      <c r="J60" s="35">
        <v>30</v>
      </c>
      <c r="K60" s="35">
        <v>40</v>
      </c>
      <c r="L60" s="35">
        <v>20</v>
      </c>
      <c r="M60" s="25">
        <v>4</v>
      </c>
      <c r="N60" s="25">
        <v>4</v>
      </c>
      <c r="R60" s="30">
        <f t="shared" si="14"/>
        <v>8</v>
      </c>
      <c r="S60" s="30">
        <f t="shared" si="15"/>
        <v>20.307428571428574</v>
      </c>
      <c r="T60" s="30">
        <f t="shared" si="16"/>
        <v>29.516761904761911</v>
      </c>
      <c r="U60" s="25">
        <v>121</v>
      </c>
      <c r="V60" s="31">
        <f t="shared" si="17"/>
        <v>274.72000000000003</v>
      </c>
      <c r="W60" s="25">
        <v>202</v>
      </c>
      <c r="X60" s="25">
        <v>12</v>
      </c>
      <c r="Y60" s="25">
        <v>41</v>
      </c>
      <c r="Z60" s="31">
        <f t="shared" si="18"/>
        <v>100</v>
      </c>
      <c r="AA60" s="31">
        <f t="shared" si="19"/>
        <v>2</v>
      </c>
      <c r="AB60" s="31">
        <f t="shared" si="20"/>
        <v>8</v>
      </c>
      <c r="AC60" s="31" t="str">
        <f t="shared" si="21"/>
        <v/>
      </c>
      <c r="AD60" s="31" t="str">
        <f t="shared" si="22"/>
        <v/>
      </c>
      <c r="AE60" s="31" t="str">
        <f t="shared" si="23"/>
        <v/>
      </c>
      <c r="AF60" s="31" t="str">
        <f t="shared" si="24"/>
        <v/>
      </c>
      <c r="AG60" s="25">
        <v>10</v>
      </c>
      <c r="AH60" s="25">
        <v>0</v>
      </c>
      <c r="AI60" s="25">
        <v>0</v>
      </c>
      <c r="AJ60" s="23" t="s">
        <v>206</v>
      </c>
      <c r="AK60" s="23" t="s">
        <v>92</v>
      </c>
      <c r="AL60" s="25">
        <v>254</v>
      </c>
      <c r="AO60" s="32" t="str">
        <f t="shared" si="25"/>
        <v>2 doors</v>
      </c>
      <c r="AQ60" s="23" t="s">
        <v>48</v>
      </c>
      <c r="AR60" s="23" t="str">
        <f t="shared" si="26"/>
        <v>CC</v>
      </c>
      <c r="AS60" s="34">
        <f t="shared" si="27"/>
        <v>1160</v>
      </c>
      <c r="AT60" s="23">
        <v>11</v>
      </c>
      <c r="AU60" s="23">
        <v>60</v>
      </c>
      <c r="AV60" s="23">
        <v>0</v>
      </c>
    </row>
    <row r="61" spans="1:48">
      <c r="A61" s="25">
        <v>266</v>
      </c>
      <c r="D61" s="23">
        <v>2</v>
      </c>
      <c r="E61" s="25" t="s">
        <v>30</v>
      </c>
      <c r="F61" s="25" t="s">
        <v>30</v>
      </c>
      <c r="G61" s="23" t="s">
        <v>27</v>
      </c>
      <c r="H61" s="23" t="s">
        <v>162</v>
      </c>
      <c r="I61" s="25">
        <v>1972</v>
      </c>
      <c r="J61" s="35">
        <v>30</v>
      </c>
      <c r="K61" s="35">
        <v>40</v>
      </c>
      <c r="L61" s="35">
        <v>20</v>
      </c>
      <c r="M61" s="25">
        <v>8</v>
      </c>
      <c r="N61" s="25">
        <v>10</v>
      </c>
      <c r="R61" s="30">
        <f t="shared" si="14"/>
        <v>18</v>
      </c>
      <c r="S61" s="30">
        <f t="shared" si="15"/>
        <v>15.873714285714287</v>
      </c>
      <c r="T61" s="30">
        <f t="shared" si="16"/>
        <v>22.041714285714288</v>
      </c>
      <c r="U61" s="25">
        <v>80</v>
      </c>
      <c r="V61" s="31">
        <f t="shared" si="17"/>
        <v>191.76000000000002</v>
      </c>
      <c r="W61" s="25">
        <v>141</v>
      </c>
      <c r="X61" s="25">
        <v>10</v>
      </c>
      <c r="Y61" s="25">
        <v>87</v>
      </c>
      <c r="Z61" s="31">
        <f t="shared" si="18"/>
        <v>185</v>
      </c>
      <c r="AA61" s="31">
        <f t="shared" si="19"/>
        <v>2</v>
      </c>
      <c r="AB61" s="31">
        <f t="shared" si="20"/>
        <v>8</v>
      </c>
      <c r="AC61" s="31" t="str">
        <f t="shared" si="21"/>
        <v/>
      </c>
      <c r="AD61" s="31" t="str">
        <f t="shared" si="22"/>
        <v/>
      </c>
      <c r="AE61" s="31" t="str">
        <f t="shared" si="23"/>
        <v/>
      </c>
      <c r="AF61" s="31" t="str">
        <f t="shared" si="24"/>
        <v/>
      </c>
      <c r="AG61" s="25">
        <v>10</v>
      </c>
      <c r="AH61" s="25">
        <v>0</v>
      </c>
      <c r="AI61" s="25">
        <v>0</v>
      </c>
      <c r="AJ61" s="23" t="s">
        <v>206</v>
      </c>
      <c r="AK61" s="23" t="s">
        <v>92</v>
      </c>
      <c r="AL61" s="25">
        <v>266</v>
      </c>
      <c r="AO61" s="32" t="str">
        <f t="shared" si="25"/>
        <v>2 doors</v>
      </c>
      <c r="AQ61" s="23" t="s">
        <v>33</v>
      </c>
      <c r="AR61" s="23" t="str">
        <f t="shared" si="26"/>
        <v>CC</v>
      </c>
      <c r="AS61" s="34">
        <f t="shared" si="27"/>
        <v>1200</v>
      </c>
      <c r="AT61" s="23">
        <v>12</v>
      </c>
      <c r="AU61" s="23">
        <v>0</v>
      </c>
      <c r="AV61" s="23">
        <v>0</v>
      </c>
    </row>
    <row r="62" spans="1:48">
      <c r="A62" s="25">
        <v>255</v>
      </c>
      <c r="D62" s="23">
        <v>1</v>
      </c>
      <c r="E62" s="25" t="s">
        <v>30</v>
      </c>
      <c r="F62" s="25" t="s">
        <v>30</v>
      </c>
      <c r="G62" s="23" t="s">
        <v>27</v>
      </c>
      <c r="H62" s="23" t="s">
        <v>151</v>
      </c>
      <c r="I62" s="25">
        <v>1972</v>
      </c>
      <c r="J62" s="35">
        <v>30</v>
      </c>
      <c r="K62" s="35">
        <v>40</v>
      </c>
      <c r="L62" s="35">
        <v>20</v>
      </c>
      <c r="M62" s="25">
        <v>6</v>
      </c>
      <c r="R62" s="30">
        <f t="shared" si="14"/>
        <v>6</v>
      </c>
      <c r="S62" s="30">
        <f t="shared" si="15"/>
        <v>15.01657142857143</v>
      </c>
      <c r="T62" s="30">
        <f t="shared" si="16"/>
        <v>20.911238095238094</v>
      </c>
      <c r="U62" s="25">
        <v>100</v>
      </c>
      <c r="V62" s="31">
        <f t="shared" si="17"/>
        <v>191.76000000000002</v>
      </c>
      <c r="W62" s="25">
        <v>141</v>
      </c>
      <c r="X62" s="25">
        <v>10</v>
      </c>
      <c r="Y62" s="25">
        <v>46</v>
      </c>
      <c r="Z62" s="31">
        <f t="shared" si="18"/>
        <v>100</v>
      </c>
      <c r="AA62" s="31">
        <f t="shared" si="19"/>
        <v>1</v>
      </c>
      <c r="AB62" s="31">
        <f t="shared" si="20"/>
        <v>8</v>
      </c>
      <c r="AC62" s="31" t="str">
        <f t="shared" si="21"/>
        <v/>
      </c>
      <c r="AD62" s="31" t="str">
        <f t="shared" si="22"/>
        <v/>
      </c>
      <c r="AE62" s="31" t="str">
        <f t="shared" si="23"/>
        <v/>
      </c>
      <c r="AF62" s="31" t="str">
        <f t="shared" si="24"/>
        <v/>
      </c>
      <c r="AG62" s="25">
        <v>9</v>
      </c>
      <c r="AH62" s="25">
        <v>0</v>
      </c>
      <c r="AI62" s="25">
        <v>0</v>
      </c>
      <c r="AJ62" s="23" t="s">
        <v>206</v>
      </c>
      <c r="AK62" s="23" t="s">
        <v>92</v>
      </c>
      <c r="AL62" s="25">
        <v>255</v>
      </c>
      <c r="AO62" s="32" t="str">
        <f t="shared" si="25"/>
        <v>1 door</v>
      </c>
      <c r="AQ62" s="23" t="s">
        <v>48</v>
      </c>
      <c r="AR62" s="23" t="str">
        <f t="shared" si="26"/>
        <v>CC</v>
      </c>
      <c r="AS62" s="34">
        <f t="shared" si="27"/>
        <v>1220</v>
      </c>
      <c r="AT62" s="23">
        <v>12</v>
      </c>
      <c r="AU62" s="23">
        <v>20</v>
      </c>
      <c r="AV62" s="23">
        <v>0</v>
      </c>
    </row>
    <row r="63" spans="1:48">
      <c r="A63" s="25">
        <v>256</v>
      </c>
      <c r="C63" s="23" t="s">
        <v>123</v>
      </c>
      <c r="D63" s="23">
        <v>2</v>
      </c>
      <c r="E63" s="25" t="s">
        <v>30</v>
      </c>
      <c r="F63" s="25" t="s">
        <v>30</v>
      </c>
      <c r="G63" s="23" t="s">
        <v>27</v>
      </c>
      <c r="H63" s="23" t="s">
        <v>152</v>
      </c>
      <c r="I63" s="25">
        <v>1974</v>
      </c>
      <c r="J63" s="35">
        <v>30</v>
      </c>
      <c r="K63" s="35">
        <v>40</v>
      </c>
      <c r="L63" s="35">
        <v>20</v>
      </c>
      <c r="M63" s="25">
        <v>6</v>
      </c>
      <c r="N63" s="25">
        <v>4</v>
      </c>
      <c r="R63" s="30">
        <f t="shared" si="14"/>
        <v>10</v>
      </c>
      <c r="S63" s="30">
        <f t="shared" si="15"/>
        <v>15.802285714285714</v>
      </c>
      <c r="T63" s="30">
        <f t="shared" si="16"/>
        <v>21.290285714285716</v>
      </c>
      <c r="U63" s="25">
        <v>102</v>
      </c>
      <c r="V63" s="31">
        <f t="shared" si="17"/>
        <v>191.76000000000002</v>
      </c>
      <c r="W63" s="25">
        <v>141</v>
      </c>
      <c r="X63" s="25">
        <v>11</v>
      </c>
      <c r="Y63" s="25">
        <v>45</v>
      </c>
      <c r="Z63" s="31">
        <f t="shared" si="18"/>
        <v>100</v>
      </c>
      <c r="AA63" s="31">
        <f t="shared" si="19"/>
        <v>1</v>
      </c>
      <c r="AB63" s="31">
        <f t="shared" si="20"/>
        <v>8</v>
      </c>
      <c r="AC63" s="31" t="str">
        <f t="shared" si="21"/>
        <v/>
      </c>
      <c r="AD63" s="31" t="str">
        <f t="shared" si="22"/>
        <v/>
      </c>
      <c r="AE63" s="31" t="str">
        <f t="shared" si="23"/>
        <v/>
      </c>
      <c r="AF63" s="31" t="str">
        <f t="shared" si="24"/>
        <v/>
      </c>
      <c r="AG63" s="25">
        <v>9</v>
      </c>
      <c r="AH63" s="25">
        <v>0</v>
      </c>
      <c r="AI63" s="25">
        <v>0</v>
      </c>
      <c r="AJ63" s="23" t="s">
        <v>206</v>
      </c>
      <c r="AK63" s="23" t="s">
        <v>92</v>
      </c>
      <c r="AL63" s="25">
        <v>256</v>
      </c>
      <c r="AO63" s="32" t="str">
        <f t="shared" si="25"/>
        <v>2 doors</v>
      </c>
      <c r="AQ63" s="23" t="s">
        <v>48</v>
      </c>
      <c r="AR63" s="23" t="str">
        <f t="shared" si="26"/>
        <v>CC</v>
      </c>
      <c r="AS63" s="34">
        <f t="shared" si="27"/>
        <v>1300</v>
      </c>
      <c r="AT63" s="23">
        <v>13</v>
      </c>
      <c r="AU63" s="23">
        <v>0</v>
      </c>
      <c r="AV63" s="23">
        <v>0</v>
      </c>
    </row>
    <row r="64" spans="1:48">
      <c r="A64" s="25">
        <v>256</v>
      </c>
      <c r="D64" s="23">
        <v>2</v>
      </c>
      <c r="E64" s="25" t="s">
        <v>30</v>
      </c>
      <c r="F64" s="25" t="s">
        <v>30</v>
      </c>
      <c r="G64" s="23" t="s">
        <v>27</v>
      </c>
      <c r="H64" s="23" t="s">
        <v>153</v>
      </c>
      <c r="I64" s="25">
        <v>1980</v>
      </c>
      <c r="J64" s="35">
        <v>30</v>
      </c>
      <c r="K64" s="35">
        <v>40</v>
      </c>
      <c r="L64" s="35">
        <v>20</v>
      </c>
      <c r="M64" s="25">
        <v>6</v>
      </c>
      <c r="N64" s="25">
        <v>4</v>
      </c>
      <c r="R64" s="30">
        <f t="shared" si="14"/>
        <v>10</v>
      </c>
      <c r="S64" s="30">
        <f t="shared" si="15"/>
        <v>17.094285714285718</v>
      </c>
      <c r="T64" s="30">
        <f t="shared" si="16"/>
        <v>23.874285714285719</v>
      </c>
      <c r="U64" s="25">
        <v>102</v>
      </c>
      <c r="V64" s="31">
        <f t="shared" si="17"/>
        <v>217.60000000000002</v>
      </c>
      <c r="W64" s="25">
        <v>160</v>
      </c>
      <c r="X64" s="25">
        <v>11</v>
      </c>
      <c r="Y64" s="25">
        <v>45</v>
      </c>
      <c r="Z64" s="31">
        <f t="shared" si="18"/>
        <v>150</v>
      </c>
      <c r="AA64" s="31">
        <f t="shared" si="19"/>
        <v>1</v>
      </c>
      <c r="AB64" s="31">
        <f t="shared" si="20"/>
        <v>8</v>
      </c>
      <c r="AC64" s="31" t="str">
        <f t="shared" si="21"/>
        <v/>
      </c>
      <c r="AD64" s="31" t="str">
        <f t="shared" si="22"/>
        <v/>
      </c>
      <c r="AE64" s="31" t="str">
        <f t="shared" si="23"/>
        <v/>
      </c>
      <c r="AF64" s="31" t="str">
        <f t="shared" si="24"/>
        <v/>
      </c>
      <c r="AG64" s="25">
        <v>9</v>
      </c>
      <c r="AH64" s="25">
        <v>0</v>
      </c>
      <c r="AI64" s="25">
        <v>0</v>
      </c>
      <c r="AJ64" s="23" t="s">
        <v>206</v>
      </c>
      <c r="AK64" s="23" t="s">
        <v>92</v>
      </c>
      <c r="AL64" s="25">
        <v>256</v>
      </c>
      <c r="AO64" s="32" t="str">
        <f t="shared" si="25"/>
        <v>2 doors</v>
      </c>
      <c r="AQ64" s="23" t="s">
        <v>47</v>
      </c>
      <c r="AR64" s="23" t="str">
        <f t="shared" si="26"/>
        <v>CC</v>
      </c>
      <c r="AS64" s="34">
        <f t="shared" si="27"/>
        <v>1320</v>
      </c>
      <c r="AT64" s="23">
        <v>13</v>
      </c>
      <c r="AU64" s="23">
        <v>20</v>
      </c>
      <c r="AV64" s="23">
        <v>0</v>
      </c>
    </row>
    <row r="65" spans="1:48">
      <c r="A65" s="25">
        <v>256</v>
      </c>
      <c r="D65" s="23">
        <v>2</v>
      </c>
      <c r="E65" s="25" t="s">
        <v>42</v>
      </c>
      <c r="F65" s="25" t="s">
        <v>42</v>
      </c>
      <c r="G65" s="23" t="s">
        <v>27</v>
      </c>
      <c r="H65" s="23" t="s">
        <v>153</v>
      </c>
      <c r="I65" s="25">
        <v>1980</v>
      </c>
      <c r="J65" s="35">
        <v>30</v>
      </c>
      <c r="K65" s="35">
        <v>40</v>
      </c>
      <c r="L65" s="35">
        <v>20</v>
      </c>
      <c r="M65" s="25">
        <v>6</v>
      </c>
      <c r="N65" s="25">
        <v>4</v>
      </c>
      <c r="R65" s="30">
        <f t="shared" si="14"/>
        <v>10</v>
      </c>
      <c r="S65" s="30">
        <f t="shared" si="15"/>
        <v>17.094285714285718</v>
      </c>
      <c r="T65" s="30">
        <f t="shared" si="16"/>
        <v>23.874285714285719</v>
      </c>
      <c r="U65" s="25">
        <v>102</v>
      </c>
      <c r="V65" s="31">
        <f t="shared" si="17"/>
        <v>217.60000000000002</v>
      </c>
      <c r="W65" s="25">
        <v>160</v>
      </c>
      <c r="X65" s="25">
        <v>11</v>
      </c>
      <c r="Y65" s="25">
        <v>45</v>
      </c>
      <c r="Z65" s="31">
        <f t="shared" si="18"/>
        <v>150</v>
      </c>
      <c r="AA65" s="31">
        <f t="shared" si="19"/>
        <v>1</v>
      </c>
      <c r="AB65" s="31">
        <f t="shared" si="20"/>
        <v>8</v>
      </c>
      <c r="AC65" s="31" t="str">
        <f t="shared" si="21"/>
        <v/>
      </c>
      <c r="AD65" s="31" t="str">
        <f t="shared" si="22"/>
        <v/>
      </c>
      <c r="AE65" s="31" t="str">
        <f t="shared" si="23"/>
        <v/>
      </c>
      <c r="AF65" s="31" t="str">
        <f t="shared" si="24"/>
        <v/>
      </c>
      <c r="AG65" s="25">
        <v>9</v>
      </c>
      <c r="AH65" s="25">
        <v>0</v>
      </c>
      <c r="AI65" s="25">
        <v>0</v>
      </c>
      <c r="AJ65" s="23" t="s">
        <v>206</v>
      </c>
      <c r="AK65" s="23" t="s">
        <v>92</v>
      </c>
      <c r="AL65" s="25">
        <v>256</v>
      </c>
      <c r="AO65" s="32" t="str">
        <f t="shared" si="25"/>
        <v>2 doors</v>
      </c>
      <c r="AQ65" s="23" t="s">
        <v>47</v>
      </c>
      <c r="AR65" s="23" t="str">
        <f t="shared" si="26"/>
        <v>CC</v>
      </c>
      <c r="AS65" s="34">
        <f t="shared" si="27"/>
        <v>1320.01</v>
      </c>
      <c r="AT65" s="23">
        <v>13</v>
      </c>
      <c r="AU65" s="23">
        <v>20</v>
      </c>
      <c r="AV65" s="23">
        <v>1</v>
      </c>
    </row>
    <row r="66" spans="1:48">
      <c r="A66" s="25">
        <v>256</v>
      </c>
      <c r="C66" s="23" t="s">
        <v>122</v>
      </c>
      <c r="D66" s="23">
        <v>2</v>
      </c>
      <c r="E66" s="25" t="s">
        <v>30</v>
      </c>
      <c r="F66" s="25" t="s">
        <v>30</v>
      </c>
      <c r="G66" s="23" t="s">
        <v>27</v>
      </c>
      <c r="H66" s="23" t="s">
        <v>154</v>
      </c>
      <c r="I66" s="25">
        <v>1993</v>
      </c>
      <c r="J66" s="35">
        <v>30</v>
      </c>
      <c r="K66" s="35">
        <v>40</v>
      </c>
      <c r="L66" s="35">
        <v>20</v>
      </c>
      <c r="M66" s="25">
        <v>10</v>
      </c>
      <c r="N66" s="25">
        <v>10</v>
      </c>
      <c r="R66" s="30">
        <f t="shared" ref="R66:R98" si="28">SUM(M66:Q66)</f>
        <v>20</v>
      </c>
      <c r="S66" s="30">
        <f t="shared" ref="S66:S98" si="29">IF(OR(G66="diesel", G66="petrol"), ((X66+(V66/10))/2)+(R66/14), IF(OR(G66="cng", G66="hybrid"), ((X66+(V66/10))/2*1.2)+(R66/14), IF(OR(G66="hydrogen", G66="electric"), ((X66+(V66/10))/2*1.5)+(R66/14), 0)))</f>
        <v>19.168571428571429</v>
      </c>
      <c r="T66" s="30">
        <f t="shared" ref="T66:T98" si="30">IF(G66="petrol", ((X66+(Y66/15)+V66)/10*1.5)+(R66/14), IF(G66="diesel", ((X66+(Y66/15)+V66)/10)+(R66/14), IF(OR(G66="cng", G66="hybrid"), ((X66+(Y66/15)+V66)/10*0.8)+(R66/14), IF(OR(G66="hydrogen", G66="electric"), ((X66+(Y66/15)+V66)/10*0.5)+(R66/14), 0))))</f>
        <v>27.328571428571426</v>
      </c>
      <c r="U66" s="25">
        <v>105</v>
      </c>
      <c r="V66" s="31">
        <f t="shared" ref="V66:V98" si="31">W66*1.36</f>
        <v>244.8</v>
      </c>
      <c r="W66" s="25">
        <v>180</v>
      </c>
      <c r="X66" s="25">
        <v>11</v>
      </c>
      <c r="Y66" s="25">
        <v>48</v>
      </c>
      <c r="Z66" s="31">
        <f t="shared" ref="Z66:Z98" si="32">IF(AQ66="Regional", 185, IF(AQ66="Intercity", 150, IF(AQ66="Tourist", 100, 200)))</f>
        <v>200</v>
      </c>
      <c r="AA66" s="31">
        <f t="shared" ref="AA66:AA98" si="33">IF(AG66&gt;8, AG66-8, AG66)</f>
        <v>1</v>
      </c>
      <c r="AB66" s="31">
        <f t="shared" ref="AB66:AB98" si="34">IF(AG66&gt;8, 8, "")</f>
        <v>8</v>
      </c>
      <c r="AC66" s="31" t="str">
        <f t="shared" ref="AC66:AC98" si="35">IF(AH66&gt;8, AH66-8, IF(AH66=0, "", AH66))</f>
        <v/>
      </c>
      <c r="AD66" s="31" t="str">
        <f t="shared" ref="AD66:AD98" si="36">IF(AH66&gt;8, 8, "")</f>
        <v/>
      </c>
      <c r="AE66" s="31" t="str">
        <f t="shared" ref="AE66:AE98" si="37">IF(AI66&gt;8, AI66-8, IF(AI66=0, "", AI66))</f>
        <v/>
      </c>
      <c r="AF66" s="31" t="str">
        <f t="shared" ref="AF66:AF98" si="38">IF(AI66&gt;8, 8, "")</f>
        <v/>
      </c>
      <c r="AG66" s="25">
        <v>9</v>
      </c>
      <c r="AH66" s="25">
        <v>0</v>
      </c>
      <c r="AI66" s="25">
        <v>0</v>
      </c>
      <c r="AJ66" s="23" t="s">
        <v>206</v>
      </c>
      <c r="AK66" s="23" t="s">
        <v>92</v>
      </c>
      <c r="AL66" s="25">
        <v>256</v>
      </c>
      <c r="AO66" s="32" t="str">
        <f t="shared" ref="AO66:AO98" si="39">IF(Q66&gt;0, "5 doors", IF(P66&gt;0, "4 doors", IF(O66&gt;0, "3 doors", IF(N66&gt;0, "2 doors", "1 door"))))</f>
        <v>2 doors</v>
      </c>
      <c r="AP66" s="23" t="s">
        <v>231</v>
      </c>
      <c r="AQ66" s="23" t="s">
        <v>270</v>
      </c>
      <c r="AR66" s="23" t="str">
        <f t="shared" ref="AR66:AR98" si="40">IF(E66="CC1", "CC", IF(E66="CC2", "CC", IF(E66="CC3", "CC", "Hungary")))</f>
        <v>CC</v>
      </c>
      <c r="AS66" s="34">
        <f t="shared" ref="AS66:AS98" si="41">(AT66*100)+AU66+(AV66/100)</f>
        <v>1340</v>
      </c>
      <c r="AT66" s="23">
        <v>13</v>
      </c>
      <c r="AU66" s="23">
        <v>40</v>
      </c>
      <c r="AV66" s="23">
        <v>0</v>
      </c>
    </row>
    <row r="67" spans="1:48">
      <c r="A67" s="25">
        <v>256</v>
      </c>
      <c r="B67" s="23" t="s">
        <v>256</v>
      </c>
      <c r="C67" s="23" t="s">
        <v>122</v>
      </c>
      <c r="D67" s="23">
        <v>2</v>
      </c>
      <c r="E67" s="25" t="s">
        <v>30</v>
      </c>
      <c r="F67" s="25" t="s">
        <v>30</v>
      </c>
      <c r="G67" s="23" t="s">
        <v>27</v>
      </c>
      <c r="H67" s="23" t="s">
        <v>254</v>
      </c>
      <c r="I67" s="25">
        <v>1995</v>
      </c>
      <c r="J67" s="35">
        <v>30</v>
      </c>
      <c r="K67" s="35">
        <v>40</v>
      </c>
      <c r="L67" s="35">
        <v>20</v>
      </c>
      <c r="M67" s="25">
        <v>10</v>
      </c>
      <c r="N67" s="25">
        <v>10</v>
      </c>
      <c r="R67" s="30">
        <f t="shared" ref="R67" si="42">SUM(M67:Q67)</f>
        <v>20</v>
      </c>
      <c r="S67" s="30">
        <f t="shared" ref="S67" si="43">IF(OR(G67="diesel", G67="petrol"), ((X67+(V67/10))/2)+(R67/14), IF(OR(G67="cng", G67="hybrid"), ((X67+(V67/10))/2*1.2)+(R67/14), IF(OR(G67="hydrogen", G67="electric"), ((X67+(V67/10))/2*1.5)+(R67/14), 0)))</f>
        <v>19.168571428571429</v>
      </c>
      <c r="T67" s="30">
        <f t="shared" ref="T67" si="44">IF(G67="petrol", ((X67+(Y67/15)+V67)/10*1.5)+(R67/14), IF(G67="diesel", ((X67+(Y67/15)+V67)/10)+(R67/14), IF(OR(G67="cng", G67="hybrid"), ((X67+(Y67/15)+V67)/10*0.8)+(R67/14), IF(OR(G67="hydrogen", G67="electric"), ((X67+(Y67/15)+V67)/10*0.5)+(R67/14), 0))))</f>
        <v>27.381904761904764</v>
      </c>
      <c r="U67" s="25">
        <v>105</v>
      </c>
      <c r="V67" s="31">
        <f t="shared" ref="V67" si="45">W67*1.36</f>
        <v>244.8</v>
      </c>
      <c r="W67" s="25">
        <v>180</v>
      </c>
      <c r="X67" s="25">
        <v>11</v>
      </c>
      <c r="Y67" s="25">
        <v>56</v>
      </c>
      <c r="Z67" s="31">
        <f t="shared" ref="Z67" si="46">IF(AQ67="Regional", 185, IF(AQ67="Intercity", 150, IF(AQ67="Tourist", 100, 200)))</f>
        <v>200</v>
      </c>
      <c r="AA67" s="31">
        <f t="shared" ref="AA67" si="47">IF(AG67&gt;8, AG67-8, AG67)</f>
        <v>2</v>
      </c>
      <c r="AB67" s="31">
        <f t="shared" ref="AB67" si="48">IF(AG67&gt;8, 8, "")</f>
        <v>8</v>
      </c>
      <c r="AC67" s="31" t="str">
        <f t="shared" ref="AC67" si="49">IF(AH67&gt;8, AH67-8, IF(AH67=0, "", AH67))</f>
        <v/>
      </c>
      <c r="AD67" s="31" t="str">
        <f t="shared" ref="AD67" si="50">IF(AH67&gt;8, 8, "")</f>
        <v/>
      </c>
      <c r="AE67" s="31" t="str">
        <f t="shared" ref="AE67" si="51">IF(AI67&gt;8, AI67-8, IF(AI67=0, "", AI67))</f>
        <v/>
      </c>
      <c r="AF67" s="31" t="str">
        <f t="shared" ref="AF67" si="52">IF(AI67&gt;8, 8, "")</f>
        <v/>
      </c>
      <c r="AG67" s="25">
        <v>10</v>
      </c>
      <c r="AH67" s="25">
        <v>0</v>
      </c>
      <c r="AI67" s="25">
        <v>0</v>
      </c>
      <c r="AJ67" s="23" t="s">
        <v>206</v>
      </c>
      <c r="AK67" s="23" t="s">
        <v>92</v>
      </c>
      <c r="AL67" s="25">
        <v>256</v>
      </c>
      <c r="AO67" s="32" t="str">
        <f t="shared" ref="AO67" si="53">IF(Q67&gt;0, "5 doors", IF(P67&gt;0, "4 doors", IF(O67&gt;0, "3 doors", IF(N67&gt;0, "2 doors", "1 door"))))</f>
        <v>2 doors</v>
      </c>
      <c r="AP67" s="23" t="s">
        <v>255</v>
      </c>
      <c r="AQ67" s="23" t="s">
        <v>270</v>
      </c>
      <c r="AR67" s="23" t="str">
        <f t="shared" ref="AR67" si="54">IF(E67="CC1", "CC", IF(E67="CC2", "CC", IF(E67="CC3", "CC", "Hungary")))</f>
        <v>CC</v>
      </c>
      <c r="AS67" s="34">
        <f t="shared" ref="AS67" si="55">(AT67*100)+AU67+(AV67/100)</f>
        <v>1340</v>
      </c>
      <c r="AT67" s="23">
        <v>13</v>
      </c>
      <c r="AU67" s="23">
        <v>40</v>
      </c>
      <c r="AV67" s="23">
        <v>0</v>
      </c>
    </row>
    <row r="68" spans="1:48">
      <c r="A68" s="25">
        <v>260</v>
      </c>
      <c r="B68" s="23" t="s">
        <v>89</v>
      </c>
      <c r="C68" s="23" t="s">
        <v>124</v>
      </c>
      <c r="D68" s="23">
        <v>3</v>
      </c>
      <c r="E68" s="25" t="s">
        <v>30</v>
      </c>
      <c r="F68" s="25" t="s">
        <v>30</v>
      </c>
      <c r="G68" s="23" t="s">
        <v>27</v>
      </c>
      <c r="H68" s="23" t="s">
        <v>156</v>
      </c>
      <c r="I68" s="25">
        <v>1971</v>
      </c>
      <c r="J68" s="35">
        <v>30</v>
      </c>
      <c r="K68" s="35">
        <v>40</v>
      </c>
      <c r="L68" s="35">
        <v>20</v>
      </c>
      <c r="M68" s="25">
        <v>10</v>
      </c>
      <c r="N68" s="25">
        <v>10</v>
      </c>
      <c r="O68" s="25">
        <v>10</v>
      </c>
      <c r="R68" s="30">
        <f t="shared" si="28"/>
        <v>30</v>
      </c>
      <c r="S68" s="30">
        <f t="shared" si="29"/>
        <v>17.230857142857143</v>
      </c>
      <c r="T68" s="30">
        <f t="shared" si="30"/>
        <v>23.08552380952381</v>
      </c>
      <c r="U68" s="25">
        <v>62</v>
      </c>
      <c r="V68" s="31">
        <f t="shared" si="31"/>
        <v>191.76000000000002</v>
      </c>
      <c r="W68" s="25">
        <v>141</v>
      </c>
      <c r="X68" s="25">
        <v>11</v>
      </c>
      <c r="Y68" s="25">
        <v>100</v>
      </c>
      <c r="Z68" s="31">
        <f t="shared" si="32"/>
        <v>200</v>
      </c>
      <c r="AA68" s="31">
        <f t="shared" si="33"/>
        <v>1</v>
      </c>
      <c r="AB68" s="31">
        <f t="shared" si="34"/>
        <v>8</v>
      </c>
      <c r="AC68" s="31" t="str">
        <f t="shared" si="35"/>
        <v/>
      </c>
      <c r="AD68" s="31" t="str">
        <f t="shared" si="36"/>
        <v/>
      </c>
      <c r="AE68" s="31" t="str">
        <f t="shared" si="37"/>
        <v/>
      </c>
      <c r="AF68" s="31" t="str">
        <f t="shared" si="38"/>
        <v/>
      </c>
      <c r="AG68" s="25">
        <v>9</v>
      </c>
      <c r="AH68" s="25">
        <v>0</v>
      </c>
      <c r="AI68" s="25">
        <v>0</v>
      </c>
      <c r="AJ68" s="23" t="s">
        <v>206</v>
      </c>
      <c r="AK68" s="23" t="s">
        <v>92</v>
      </c>
      <c r="AL68" s="25">
        <v>260</v>
      </c>
      <c r="AO68" s="32" t="str">
        <f t="shared" si="39"/>
        <v>3 doors</v>
      </c>
      <c r="AP68" s="23" t="s">
        <v>232</v>
      </c>
      <c r="AQ68" s="23" t="s">
        <v>32</v>
      </c>
      <c r="AR68" s="23" t="str">
        <f t="shared" si="40"/>
        <v>CC</v>
      </c>
      <c r="AS68" s="34">
        <f t="shared" si="41"/>
        <v>1400</v>
      </c>
      <c r="AT68" s="23">
        <v>14</v>
      </c>
      <c r="AU68" s="23">
        <v>0</v>
      </c>
      <c r="AV68" s="23">
        <v>0</v>
      </c>
    </row>
    <row r="69" spans="1:48">
      <c r="A69" s="25">
        <v>260</v>
      </c>
      <c r="B69" s="23" t="s">
        <v>89</v>
      </c>
      <c r="C69" s="23" t="s">
        <v>124</v>
      </c>
      <c r="D69" s="23">
        <v>3</v>
      </c>
      <c r="E69" s="25" t="s">
        <v>42</v>
      </c>
      <c r="F69" s="25" t="s">
        <v>42</v>
      </c>
      <c r="G69" s="23" t="s">
        <v>27</v>
      </c>
      <c r="H69" s="23" t="s">
        <v>156</v>
      </c>
      <c r="I69" s="25">
        <v>1971</v>
      </c>
      <c r="J69" s="35">
        <v>30</v>
      </c>
      <c r="K69" s="35">
        <v>40</v>
      </c>
      <c r="L69" s="35">
        <v>20</v>
      </c>
      <c r="M69" s="25">
        <v>10</v>
      </c>
      <c r="N69" s="25">
        <v>10</v>
      </c>
      <c r="O69" s="25">
        <v>10</v>
      </c>
      <c r="R69" s="30">
        <f t="shared" si="28"/>
        <v>30</v>
      </c>
      <c r="S69" s="30">
        <f t="shared" si="29"/>
        <v>17.230857142857143</v>
      </c>
      <c r="T69" s="30">
        <f t="shared" si="30"/>
        <v>23.08552380952381</v>
      </c>
      <c r="U69" s="25">
        <v>62</v>
      </c>
      <c r="V69" s="31">
        <f t="shared" si="31"/>
        <v>191.76000000000002</v>
      </c>
      <c r="W69" s="25">
        <v>141</v>
      </c>
      <c r="X69" s="25">
        <v>11</v>
      </c>
      <c r="Y69" s="25">
        <v>100</v>
      </c>
      <c r="Z69" s="31">
        <f t="shared" si="32"/>
        <v>200</v>
      </c>
      <c r="AA69" s="31">
        <f t="shared" si="33"/>
        <v>1</v>
      </c>
      <c r="AB69" s="31">
        <f t="shared" si="34"/>
        <v>8</v>
      </c>
      <c r="AC69" s="31" t="str">
        <f t="shared" si="35"/>
        <v/>
      </c>
      <c r="AD69" s="31" t="str">
        <f t="shared" si="36"/>
        <v/>
      </c>
      <c r="AE69" s="31" t="str">
        <f t="shared" si="37"/>
        <v/>
      </c>
      <c r="AF69" s="31" t="str">
        <f t="shared" si="38"/>
        <v/>
      </c>
      <c r="AG69" s="25">
        <v>9</v>
      </c>
      <c r="AH69" s="25">
        <v>0</v>
      </c>
      <c r="AI69" s="25">
        <v>0</v>
      </c>
      <c r="AJ69" s="23" t="s">
        <v>206</v>
      </c>
      <c r="AK69" s="23" t="s">
        <v>92</v>
      </c>
      <c r="AL69" s="25">
        <v>260</v>
      </c>
      <c r="AO69" s="32" t="str">
        <f t="shared" si="39"/>
        <v>3 doors</v>
      </c>
      <c r="AP69" s="23" t="s">
        <v>232</v>
      </c>
      <c r="AQ69" s="23" t="s">
        <v>32</v>
      </c>
      <c r="AR69" s="23" t="str">
        <f t="shared" si="40"/>
        <v>CC</v>
      </c>
      <c r="AS69" s="34">
        <f t="shared" si="41"/>
        <v>1400.01</v>
      </c>
      <c r="AT69" s="23">
        <v>14</v>
      </c>
      <c r="AU69" s="23">
        <v>0</v>
      </c>
      <c r="AV69" s="23">
        <v>1</v>
      </c>
    </row>
    <row r="70" spans="1:48">
      <c r="A70" s="25">
        <v>260</v>
      </c>
      <c r="B70" s="23" t="s">
        <v>89</v>
      </c>
      <c r="C70" s="23" t="s">
        <v>124</v>
      </c>
      <c r="D70" s="23">
        <v>3</v>
      </c>
      <c r="E70" s="25" t="s">
        <v>85</v>
      </c>
      <c r="F70" s="25" t="s">
        <v>85</v>
      </c>
      <c r="G70" s="23" t="s">
        <v>27</v>
      </c>
      <c r="H70" s="23" t="s">
        <v>156</v>
      </c>
      <c r="I70" s="25">
        <v>1971</v>
      </c>
      <c r="J70" s="35">
        <v>30</v>
      </c>
      <c r="K70" s="35">
        <v>40</v>
      </c>
      <c r="L70" s="35">
        <v>20</v>
      </c>
      <c r="M70" s="25">
        <v>10</v>
      </c>
      <c r="N70" s="25">
        <v>10</v>
      </c>
      <c r="O70" s="25">
        <v>10</v>
      </c>
      <c r="R70" s="30">
        <f t="shared" si="28"/>
        <v>30</v>
      </c>
      <c r="S70" s="30">
        <f t="shared" si="29"/>
        <v>17.230857142857143</v>
      </c>
      <c r="T70" s="30">
        <f t="shared" si="30"/>
        <v>23.08552380952381</v>
      </c>
      <c r="U70" s="25">
        <v>62</v>
      </c>
      <c r="V70" s="31">
        <f t="shared" si="31"/>
        <v>191.76000000000002</v>
      </c>
      <c r="W70" s="25">
        <v>141</v>
      </c>
      <c r="X70" s="25">
        <v>11</v>
      </c>
      <c r="Y70" s="25">
        <v>100</v>
      </c>
      <c r="Z70" s="31">
        <f t="shared" si="32"/>
        <v>200</v>
      </c>
      <c r="AA70" s="31">
        <f t="shared" si="33"/>
        <v>1</v>
      </c>
      <c r="AB70" s="31">
        <f t="shared" si="34"/>
        <v>8</v>
      </c>
      <c r="AC70" s="31" t="str">
        <f t="shared" si="35"/>
        <v/>
      </c>
      <c r="AD70" s="31" t="str">
        <f t="shared" si="36"/>
        <v/>
      </c>
      <c r="AE70" s="31" t="str">
        <f t="shared" si="37"/>
        <v/>
      </c>
      <c r="AF70" s="31" t="str">
        <f t="shared" si="38"/>
        <v/>
      </c>
      <c r="AG70" s="25">
        <v>9</v>
      </c>
      <c r="AH70" s="25">
        <v>0</v>
      </c>
      <c r="AI70" s="25">
        <v>0</v>
      </c>
      <c r="AJ70" s="23" t="s">
        <v>206</v>
      </c>
      <c r="AK70" s="23" t="s">
        <v>92</v>
      </c>
      <c r="AL70" s="25">
        <v>260</v>
      </c>
      <c r="AO70" s="32" t="str">
        <f t="shared" si="39"/>
        <v>3 doors</v>
      </c>
      <c r="AP70" s="23" t="s">
        <v>232</v>
      </c>
      <c r="AQ70" s="23" t="s">
        <v>32</v>
      </c>
      <c r="AR70" s="23" t="str">
        <f t="shared" si="40"/>
        <v>Hungary</v>
      </c>
      <c r="AS70" s="34">
        <f t="shared" si="41"/>
        <v>1400.02</v>
      </c>
      <c r="AT70" s="23">
        <v>14</v>
      </c>
      <c r="AU70" s="23">
        <v>0</v>
      </c>
      <c r="AV70" s="23">
        <v>2</v>
      </c>
    </row>
    <row r="71" spans="1:48">
      <c r="A71" s="25">
        <v>260</v>
      </c>
      <c r="B71" s="23" t="s">
        <v>125</v>
      </c>
      <c r="C71" s="23" t="s">
        <v>124</v>
      </c>
      <c r="D71" s="23">
        <v>2</v>
      </c>
      <c r="E71" s="25" t="s">
        <v>30</v>
      </c>
      <c r="F71" s="25" t="s">
        <v>30</v>
      </c>
      <c r="G71" s="23" t="s">
        <v>27</v>
      </c>
      <c r="H71" s="23" t="s">
        <v>157</v>
      </c>
      <c r="I71" s="25">
        <v>1971</v>
      </c>
      <c r="J71" s="35">
        <v>30</v>
      </c>
      <c r="K71" s="35">
        <v>40</v>
      </c>
      <c r="L71" s="35">
        <v>20</v>
      </c>
      <c r="M71" s="25">
        <v>10</v>
      </c>
      <c r="N71" s="25">
        <v>10</v>
      </c>
      <c r="R71" s="30">
        <f t="shared" si="28"/>
        <v>20</v>
      </c>
      <c r="S71" s="30">
        <f t="shared" si="29"/>
        <v>16.516571428571428</v>
      </c>
      <c r="T71" s="30">
        <f t="shared" si="30"/>
        <v>22.17790476190476</v>
      </c>
      <c r="U71" s="25">
        <v>78</v>
      </c>
      <c r="V71" s="31">
        <f t="shared" si="31"/>
        <v>191.76000000000002</v>
      </c>
      <c r="W71" s="25">
        <v>141</v>
      </c>
      <c r="X71" s="25">
        <v>11</v>
      </c>
      <c r="Y71" s="25">
        <v>71</v>
      </c>
      <c r="Z71" s="31">
        <f t="shared" si="32"/>
        <v>200</v>
      </c>
      <c r="AA71" s="31">
        <f t="shared" si="33"/>
        <v>1</v>
      </c>
      <c r="AB71" s="31">
        <f t="shared" si="34"/>
        <v>8</v>
      </c>
      <c r="AC71" s="31" t="str">
        <f t="shared" si="35"/>
        <v/>
      </c>
      <c r="AD71" s="31" t="str">
        <f t="shared" si="36"/>
        <v/>
      </c>
      <c r="AE71" s="31" t="str">
        <f t="shared" si="37"/>
        <v/>
      </c>
      <c r="AF71" s="31" t="str">
        <f t="shared" si="38"/>
        <v/>
      </c>
      <c r="AG71" s="25">
        <v>9</v>
      </c>
      <c r="AH71" s="25">
        <v>0</v>
      </c>
      <c r="AI71" s="25">
        <v>0</v>
      </c>
      <c r="AJ71" s="23" t="s">
        <v>206</v>
      </c>
      <c r="AK71" s="23" t="s">
        <v>92</v>
      </c>
      <c r="AL71" s="25">
        <v>260</v>
      </c>
      <c r="AO71" s="32" t="str">
        <f t="shared" si="39"/>
        <v>2 doors</v>
      </c>
      <c r="AP71" s="23" t="s">
        <v>233</v>
      </c>
      <c r="AQ71" s="23" t="s">
        <v>270</v>
      </c>
      <c r="AR71" s="23" t="str">
        <f t="shared" si="40"/>
        <v>CC</v>
      </c>
      <c r="AS71" s="34">
        <f t="shared" si="41"/>
        <v>1410</v>
      </c>
      <c r="AT71" s="23">
        <v>14</v>
      </c>
      <c r="AU71" s="23">
        <v>10</v>
      </c>
      <c r="AV71" s="23">
        <v>0</v>
      </c>
    </row>
    <row r="72" spans="1:48">
      <c r="A72" s="25">
        <v>260</v>
      </c>
      <c r="B72" s="23" t="s">
        <v>89</v>
      </c>
      <c r="D72" s="23">
        <v>3</v>
      </c>
      <c r="E72" s="25" t="s">
        <v>30</v>
      </c>
      <c r="F72" s="25" t="s">
        <v>30</v>
      </c>
      <c r="G72" s="23" t="s">
        <v>27</v>
      </c>
      <c r="H72" s="23" t="s">
        <v>158</v>
      </c>
      <c r="I72" s="25">
        <v>1980</v>
      </c>
      <c r="J72" s="35">
        <v>30</v>
      </c>
      <c r="K72" s="35">
        <v>40</v>
      </c>
      <c r="L72" s="35">
        <v>20</v>
      </c>
      <c r="M72" s="25">
        <v>10</v>
      </c>
      <c r="N72" s="25">
        <v>10</v>
      </c>
      <c r="O72" s="25">
        <v>10</v>
      </c>
      <c r="R72" s="30">
        <f t="shared" si="28"/>
        <v>30</v>
      </c>
      <c r="S72" s="30">
        <f t="shared" si="29"/>
        <v>18.522857142857145</v>
      </c>
      <c r="T72" s="30">
        <f t="shared" si="30"/>
        <v>25.66952380952381</v>
      </c>
      <c r="U72" s="25">
        <v>66</v>
      </c>
      <c r="V72" s="31">
        <f t="shared" si="31"/>
        <v>217.60000000000002</v>
      </c>
      <c r="W72" s="25">
        <v>160</v>
      </c>
      <c r="X72" s="25">
        <v>11</v>
      </c>
      <c r="Y72" s="25">
        <v>100</v>
      </c>
      <c r="Z72" s="31">
        <f t="shared" si="32"/>
        <v>200</v>
      </c>
      <c r="AA72" s="31">
        <f t="shared" si="33"/>
        <v>1</v>
      </c>
      <c r="AB72" s="31">
        <f t="shared" si="34"/>
        <v>8</v>
      </c>
      <c r="AC72" s="31" t="str">
        <f t="shared" si="35"/>
        <v/>
      </c>
      <c r="AD72" s="31" t="str">
        <f t="shared" si="36"/>
        <v/>
      </c>
      <c r="AE72" s="31" t="str">
        <f t="shared" si="37"/>
        <v/>
      </c>
      <c r="AF72" s="31" t="str">
        <f t="shared" si="38"/>
        <v/>
      </c>
      <c r="AG72" s="25">
        <v>9</v>
      </c>
      <c r="AH72" s="25">
        <v>0</v>
      </c>
      <c r="AI72" s="25">
        <v>0</v>
      </c>
      <c r="AJ72" s="23" t="s">
        <v>206</v>
      </c>
      <c r="AK72" s="23" t="s">
        <v>92</v>
      </c>
      <c r="AL72" s="25">
        <v>260</v>
      </c>
      <c r="AO72" s="32" t="str">
        <f t="shared" si="39"/>
        <v>3 doors</v>
      </c>
      <c r="AP72" s="23" t="s">
        <v>235</v>
      </c>
      <c r="AQ72" s="23" t="s">
        <v>32</v>
      </c>
      <c r="AR72" s="23" t="str">
        <f t="shared" si="40"/>
        <v>CC</v>
      </c>
      <c r="AS72" s="34">
        <f t="shared" si="41"/>
        <v>1420</v>
      </c>
      <c r="AT72" s="23">
        <v>14</v>
      </c>
      <c r="AU72" s="23">
        <v>20</v>
      </c>
      <c r="AV72" s="23">
        <v>0</v>
      </c>
    </row>
    <row r="73" spans="1:48">
      <c r="A73" s="25">
        <v>260</v>
      </c>
      <c r="B73" s="23" t="s">
        <v>125</v>
      </c>
      <c r="D73" s="23">
        <v>2</v>
      </c>
      <c r="E73" s="25" t="s">
        <v>30</v>
      </c>
      <c r="F73" s="25" t="s">
        <v>30</v>
      </c>
      <c r="G73" s="23" t="s">
        <v>27</v>
      </c>
      <c r="H73" s="23" t="s">
        <v>159</v>
      </c>
      <c r="I73" s="25">
        <v>1980</v>
      </c>
      <c r="J73" s="35">
        <v>30</v>
      </c>
      <c r="K73" s="35">
        <v>40</v>
      </c>
      <c r="L73" s="35">
        <v>20</v>
      </c>
      <c r="M73" s="25">
        <v>10</v>
      </c>
      <c r="N73" s="25">
        <v>10</v>
      </c>
      <c r="R73" s="30">
        <f t="shared" si="28"/>
        <v>20</v>
      </c>
      <c r="S73" s="30">
        <f t="shared" si="29"/>
        <v>17.80857142857143</v>
      </c>
      <c r="T73" s="30">
        <f t="shared" si="30"/>
        <v>24.761904761904763</v>
      </c>
      <c r="U73" s="25">
        <v>78</v>
      </c>
      <c r="V73" s="31">
        <f t="shared" si="31"/>
        <v>217.60000000000002</v>
      </c>
      <c r="W73" s="25">
        <v>160</v>
      </c>
      <c r="X73" s="25">
        <v>11</v>
      </c>
      <c r="Y73" s="25">
        <v>71</v>
      </c>
      <c r="Z73" s="31">
        <f t="shared" si="32"/>
        <v>200</v>
      </c>
      <c r="AA73" s="31">
        <f t="shared" si="33"/>
        <v>1</v>
      </c>
      <c r="AB73" s="31">
        <f t="shared" si="34"/>
        <v>8</v>
      </c>
      <c r="AC73" s="31" t="str">
        <f t="shared" si="35"/>
        <v/>
      </c>
      <c r="AD73" s="31" t="str">
        <f t="shared" si="36"/>
        <v/>
      </c>
      <c r="AE73" s="31" t="str">
        <f t="shared" si="37"/>
        <v/>
      </c>
      <c r="AF73" s="31" t="str">
        <f t="shared" si="38"/>
        <v/>
      </c>
      <c r="AG73" s="25">
        <v>9</v>
      </c>
      <c r="AH73" s="25">
        <v>0</v>
      </c>
      <c r="AI73" s="25">
        <v>0</v>
      </c>
      <c r="AJ73" s="23" t="s">
        <v>206</v>
      </c>
      <c r="AK73" s="23" t="s">
        <v>92</v>
      </c>
      <c r="AL73" s="25">
        <v>260</v>
      </c>
      <c r="AO73" s="32" t="str">
        <f t="shared" si="39"/>
        <v>2 doors</v>
      </c>
      <c r="AP73" s="23" t="s">
        <v>234</v>
      </c>
      <c r="AQ73" s="23" t="s">
        <v>270</v>
      </c>
      <c r="AR73" s="23" t="str">
        <f t="shared" si="40"/>
        <v>CC</v>
      </c>
      <c r="AS73" s="34">
        <f t="shared" si="41"/>
        <v>1430</v>
      </c>
      <c r="AT73" s="23">
        <v>14</v>
      </c>
      <c r="AU73" s="23">
        <v>30</v>
      </c>
      <c r="AV73" s="23">
        <v>0</v>
      </c>
    </row>
    <row r="74" spans="1:48">
      <c r="A74" s="25">
        <v>260</v>
      </c>
      <c r="B74" s="23" t="s">
        <v>89</v>
      </c>
      <c r="C74" s="23" t="s">
        <v>126</v>
      </c>
      <c r="D74" s="23">
        <v>3</v>
      </c>
      <c r="E74" s="25" t="s">
        <v>30</v>
      </c>
      <c r="F74" s="25" t="s">
        <v>30</v>
      </c>
      <c r="G74" s="23" t="s">
        <v>27</v>
      </c>
      <c r="H74" s="23" t="s">
        <v>160</v>
      </c>
      <c r="I74" s="25">
        <v>1997</v>
      </c>
      <c r="J74" s="35">
        <v>30</v>
      </c>
      <c r="K74" s="35">
        <v>40</v>
      </c>
      <c r="L74" s="35">
        <v>20</v>
      </c>
      <c r="M74" s="25">
        <v>10</v>
      </c>
      <c r="N74" s="25">
        <v>10</v>
      </c>
      <c r="O74" s="25">
        <v>10</v>
      </c>
      <c r="R74" s="30">
        <f t="shared" si="28"/>
        <v>30</v>
      </c>
      <c r="S74" s="30">
        <f t="shared" si="29"/>
        <v>20.562857142857144</v>
      </c>
      <c r="T74" s="30">
        <f t="shared" si="30"/>
        <v>29.749523809523815</v>
      </c>
      <c r="U74" s="25">
        <v>72</v>
      </c>
      <c r="V74" s="31">
        <f t="shared" si="31"/>
        <v>258.40000000000003</v>
      </c>
      <c r="W74" s="25">
        <v>190</v>
      </c>
      <c r="X74" s="25">
        <v>11</v>
      </c>
      <c r="Y74" s="25">
        <v>100</v>
      </c>
      <c r="Z74" s="31">
        <f t="shared" si="32"/>
        <v>200</v>
      </c>
      <c r="AA74" s="31">
        <f t="shared" si="33"/>
        <v>1</v>
      </c>
      <c r="AB74" s="31">
        <f t="shared" si="34"/>
        <v>8</v>
      </c>
      <c r="AC74" s="31" t="str">
        <f t="shared" si="35"/>
        <v/>
      </c>
      <c r="AD74" s="31" t="str">
        <f t="shared" si="36"/>
        <v/>
      </c>
      <c r="AE74" s="31" t="str">
        <f t="shared" si="37"/>
        <v/>
      </c>
      <c r="AF74" s="31" t="str">
        <f t="shared" si="38"/>
        <v/>
      </c>
      <c r="AG74" s="25">
        <v>9</v>
      </c>
      <c r="AH74" s="25">
        <v>0</v>
      </c>
      <c r="AI74" s="25">
        <v>0</v>
      </c>
      <c r="AJ74" s="23" t="s">
        <v>206</v>
      </c>
      <c r="AK74" s="23" t="s">
        <v>92</v>
      </c>
      <c r="AL74" s="25">
        <v>260</v>
      </c>
      <c r="AO74" s="32" t="str">
        <f t="shared" si="39"/>
        <v>3 doors</v>
      </c>
      <c r="AQ74" s="23" t="s">
        <v>32</v>
      </c>
      <c r="AR74" s="23" t="str">
        <f t="shared" si="40"/>
        <v>CC</v>
      </c>
      <c r="AS74" s="34">
        <f t="shared" si="41"/>
        <v>1440</v>
      </c>
      <c r="AT74" s="23">
        <v>14</v>
      </c>
      <c r="AU74" s="23">
        <v>40</v>
      </c>
      <c r="AV74" s="23">
        <v>0</v>
      </c>
    </row>
    <row r="75" spans="1:48">
      <c r="A75" s="25">
        <v>260</v>
      </c>
      <c r="C75" s="23" t="s">
        <v>28</v>
      </c>
      <c r="D75" s="23">
        <v>3</v>
      </c>
      <c r="E75" s="25" t="s">
        <v>30</v>
      </c>
      <c r="F75" s="25" t="s">
        <v>30</v>
      </c>
      <c r="G75" s="23" t="s">
        <v>28</v>
      </c>
      <c r="H75" s="23" t="s">
        <v>155</v>
      </c>
      <c r="I75" s="25">
        <v>1999</v>
      </c>
      <c r="J75" s="35">
        <v>30</v>
      </c>
      <c r="K75" s="35">
        <v>40</v>
      </c>
      <c r="L75" s="35">
        <v>20</v>
      </c>
      <c r="M75" s="25">
        <v>10</v>
      </c>
      <c r="N75" s="25">
        <v>10</v>
      </c>
      <c r="O75" s="25">
        <v>10</v>
      </c>
      <c r="R75" s="30">
        <f t="shared" si="28"/>
        <v>30</v>
      </c>
      <c r="S75" s="30">
        <f t="shared" si="29"/>
        <v>24.246857142857145</v>
      </c>
      <c r="T75" s="30">
        <f t="shared" si="30"/>
        <v>24.217523809523815</v>
      </c>
      <c r="U75" s="25">
        <v>66</v>
      </c>
      <c r="V75" s="31">
        <f t="shared" si="31"/>
        <v>258.40000000000003</v>
      </c>
      <c r="W75" s="25">
        <v>190</v>
      </c>
      <c r="X75" s="25">
        <v>11</v>
      </c>
      <c r="Y75" s="25">
        <v>98</v>
      </c>
      <c r="Z75" s="31">
        <f t="shared" si="32"/>
        <v>200</v>
      </c>
      <c r="AA75" s="31">
        <f t="shared" si="33"/>
        <v>1</v>
      </c>
      <c r="AB75" s="31">
        <f t="shared" si="34"/>
        <v>8</v>
      </c>
      <c r="AC75" s="31" t="str">
        <f t="shared" si="35"/>
        <v/>
      </c>
      <c r="AD75" s="31" t="str">
        <f t="shared" si="36"/>
        <v/>
      </c>
      <c r="AE75" s="31" t="str">
        <f t="shared" si="37"/>
        <v/>
      </c>
      <c r="AF75" s="31" t="str">
        <f t="shared" si="38"/>
        <v/>
      </c>
      <c r="AG75" s="25">
        <v>9</v>
      </c>
      <c r="AH75" s="25">
        <v>0</v>
      </c>
      <c r="AI75" s="25">
        <v>0</v>
      </c>
      <c r="AJ75" s="23" t="s">
        <v>206</v>
      </c>
      <c r="AK75" s="23" t="s">
        <v>92</v>
      </c>
      <c r="AL75" s="25">
        <v>260</v>
      </c>
      <c r="AO75" s="32" t="str">
        <f t="shared" si="39"/>
        <v>3 doors</v>
      </c>
      <c r="AQ75" s="23" t="s">
        <v>32</v>
      </c>
      <c r="AR75" s="23" t="str">
        <f t="shared" si="40"/>
        <v>CC</v>
      </c>
      <c r="AS75" s="34">
        <f t="shared" si="41"/>
        <v>1450</v>
      </c>
      <c r="AT75" s="23">
        <v>14</v>
      </c>
      <c r="AU75" s="23">
        <v>50</v>
      </c>
      <c r="AV75" s="23">
        <v>0</v>
      </c>
    </row>
    <row r="76" spans="1:48">
      <c r="A76" s="25">
        <v>263</v>
      </c>
      <c r="D76" s="23">
        <v>2</v>
      </c>
      <c r="E76" s="25" t="s">
        <v>30</v>
      </c>
      <c r="F76" s="25" t="s">
        <v>30</v>
      </c>
      <c r="G76" s="23" t="s">
        <v>27</v>
      </c>
      <c r="H76" s="23" t="s">
        <v>161</v>
      </c>
      <c r="I76" s="25">
        <v>1989</v>
      </c>
      <c r="J76" s="35">
        <v>30</v>
      </c>
      <c r="K76" s="35">
        <v>40</v>
      </c>
      <c r="L76" s="35">
        <v>20</v>
      </c>
      <c r="M76" s="25">
        <v>10</v>
      </c>
      <c r="N76" s="25">
        <v>10</v>
      </c>
      <c r="R76" s="30">
        <f t="shared" si="28"/>
        <v>20</v>
      </c>
      <c r="S76" s="30">
        <f t="shared" si="29"/>
        <v>17.016571428571428</v>
      </c>
      <c r="T76" s="30">
        <f t="shared" si="30"/>
        <v>22.497904761904763</v>
      </c>
      <c r="U76" s="25">
        <v>78</v>
      </c>
      <c r="V76" s="31">
        <f t="shared" si="31"/>
        <v>191.76000000000002</v>
      </c>
      <c r="W76" s="25">
        <v>141</v>
      </c>
      <c r="X76" s="25">
        <v>12</v>
      </c>
      <c r="Y76" s="25">
        <v>104</v>
      </c>
      <c r="Z76" s="31">
        <f t="shared" si="32"/>
        <v>200</v>
      </c>
      <c r="AA76" s="31">
        <f t="shared" si="33"/>
        <v>2</v>
      </c>
      <c r="AB76" s="31">
        <f t="shared" si="34"/>
        <v>8</v>
      </c>
      <c r="AC76" s="31" t="str">
        <f t="shared" si="35"/>
        <v/>
      </c>
      <c r="AD76" s="31" t="str">
        <f t="shared" si="36"/>
        <v/>
      </c>
      <c r="AE76" s="31" t="str">
        <f t="shared" si="37"/>
        <v/>
      </c>
      <c r="AF76" s="31" t="str">
        <f t="shared" si="38"/>
        <v/>
      </c>
      <c r="AG76" s="25">
        <v>10</v>
      </c>
      <c r="AH76" s="25">
        <v>0</v>
      </c>
      <c r="AI76" s="25">
        <v>0</v>
      </c>
      <c r="AJ76" s="23" t="s">
        <v>206</v>
      </c>
      <c r="AK76" s="23" t="s">
        <v>92</v>
      </c>
      <c r="AL76" s="25">
        <v>263</v>
      </c>
      <c r="AO76" s="32" t="str">
        <f t="shared" si="39"/>
        <v>2 doors</v>
      </c>
      <c r="AP76" s="23" t="s">
        <v>237</v>
      </c>
      <c r="AQ76" s="23" t="s">
        <v>270</v>
      </c>
      <c r="AR76" s="23" t="str">
        <f t="shared" si="40"/>
        <v>CC</v>
      </c>
      <c r="AS76" s="34">
        <f t="shared" si="41"/>
        <v>1450</v>
      </c>
      <c r="AT76" s="23">
        <v>14</v>
      </c>
      <c r="AU76" s="23">
        <v>50</v>
      </c>
      <c r="AV76" s="23">
        <v>0</v>
      </c>
    </row>
    <row r="77" spans="1:48">
      <c r="A77" s="25">
        <v>263</v>
      </c>
      <c r="D77" s="23">
        <v>3</v>
      </c>
      <c r="E77" s="25" t="s">
        <v>30</v>
      </c>
      <c r="F77" s="25" t="s">
        <v>30</v>
      </c>
      <c r="G77" s="23" t="s">
        <v>27</v>
      </c>
      <c r="H77" s="23" t="s">
        <v>216</v>
      </c>
      <c r="I77" s="25">
        <v>1997</v>
      </c>
      <c r="J77" s="35">
        <v>30</v>
      </c>
      <c r="K77" s="35">
        <v>40</v>
      </c>
      <c r="L77" s="35">
        <v>20</v>
      </c>
      <c r="M77" s="25">
        <v>10</v>
      </c>
      <c r="N77" s="25">
        <v>10</v>
      </c>
      <c r="O77" s="25">
        <v>10</v>
      </c>
      <c r="R77" s="30">
        <f t="shared" si="28"/>
        <v>30</v>
      </c>
      <c r="S77" s="30">
        <f t="shared" si="29"/>
        <v>17.730857142857143</v>
      </c>
      <c r="T77" s="30">
        <f t="shared" si="30"/>
        <v>23.318857142857144</v>
      </c>
      <c r="U77" s="25">
        <v>78</v>
      </c>
      <c r="V77" s="31">
        <f t="shared" si="31"/>
        <v>191.76000000000002</v>
      </c>
      <c r="W77" s="25">
        <v>141</v>
      </c>
      <c r="X77" s="25">
        <v>12</v>
      </c>
      <c r="Y77" s="25">
        <v>120</v>
      </c>
      <c r="Z77" s="31">
        <f t="shared" si="32"/>
        <v>200</v>
      </c>
      <c r="AA77" s="31">
        <f t="shared" si="33"/>
        <v>2</v>
      </c>
      <c r="AB77" s="31">
        <f t="shared" si="34"/>
        <v>8</v>
      </c>
      <c r="AC77" s="31" t="str">
        <f t="shared" si="35"/>
        <v/>
      </c>
      <c r="AD77" s="31" t="str">
        <f t="shared" si="36"/>
        <v/>
      </c>
      <c r="AE77" s="31" t="str">
        <f t="shared" si="37"/>
        <v/>
      </c>
      <c r="AF77" s="31" t="str">
        <f t="shared" si="38"/>
        <v/>
      </c>
      <c r="AG77" s="25">
        <v>10</v>
      </c>
      <c r="AH77" s="25">
        <v>0</v>
      </c>
      <c r="AI77" s="25">
        <v>0</v>
      </c>
      <c r="AJ77" s="23" t="s">
        <v>206</v>
      </c>
      <c r="AK77" s="23" t="s">
        <v>92</v>
      </c>
      <c r="AL77" s="25">
        <v>263</v>
      </c>
      <c r="AO77" s="32" t="str">
        <f t="shared" si="39"/>
        <v>3 doors</v>
      </c>
      <c r="AP77" s="23" t="s">
        <v>236</v>
      </c>
      <c r="AQ77" s="23" t="s">
        <v>32</v>
      </c>
      <c r="AR77" s="23" t="str">
        <f t="shared" si="40"/>
        <v>CC</v>
      </c>
      <c r="AS77" s="34">
        <f t="shared" si="41"/>
        <v>1451</v>
      </c>
      <c r="AT77" s="23">
        <v>14</v>
      </c>
      <c r="AU77" s="23">
        <v>51</v>
      </c>
      <c r="AV77" s="23">
        <v>0</v>
      </c>
    </row>
    <row r="78" spans="1:48">
      <c r="A78" s="25">
        <v>263</v>
      </c>
      <c r="D78" s="23">
        <v>3</v>
      </c>
      <c r="E78" s="25" t="s">
        <v>42</v>
      </c>
      <c r="F78" s="25" t="s">
        <v>42</v>
      </c>
      <c r="G78" s="23" t="s">
        <v>27</v>
      </c>
      <c r="H78" s="23" t="s">
        <v>216</v>
      </c>
      <c r="I78" s="25">
        <v>1997</v>
      </c>
      <c r="J78" s="35">
        <v>30</v>
      </c>
      <c r="K78" s="35">
        <v>40</v>
      </c>
      <c r="L78" s="35">
        <v>20</v>
      </c>
      <c r="M78" s="25">
        <v>10</v>
      </c>
      <c r="N78" s="25">
        <v>10</v>
      </c>
      <c r="O78" s="25">
        <v>10</v>
      </c>
      <c r="R78" s="30">
        <f t="shared" si="28"/>
        <v>30</v>
      </c>
      <c r="S78" s="30">
        <f t="shared" si="29"/>
        <v>17.730857142857143</v>
      </c>
      <c r="T78" s="30">
        <f t="shared" si="30"/>
        <v>23.318857142857144</v>
      </c>
      <c r="U78" s="25">
        <v>78</v>
      </c>
      <c r="V78" s="31">
        <f t="shared" si="31"/>
        <v>191.76000000000002</v>
      </c>
      <c r="W78" s="25">
        <v>141</v>
      </c>
      <c r="X78" s="25">
        <v>12</v>
      </c>
      <c r="Y78" s="25">
        <v>120</v>
      </c>
      <c r="Z78" s="31">
        <f t="shared" si="32"/>
        <v>200</v>
      </c>
      <c r="AA78" s="31">
        <f t="shared" si="33"/>
        <v>2</v>
      </c>
      <c r="AB78" s="31">
        <f t="shared" si="34"/>
        <v>8</v>
      </c>
      <c r="AC78" s="31" t="str">
        <f t="shared" si="35"/>
        <v/>
      </c>
      <c r="AD78" s="31" t="str">
        <f t="shared" si="36"/>
        <v/>
      </c>
      <c r="AE78" s="31" t="str">
        <f t="shared" si="37"/>
        <v/>
      </c>
      <c r="AF78" s="31" t="str">
        <f t="shared" si="38"/>
        <v/>
      </c>
      <c r="AG78" s="25">
        <v>10</v>
      </c>
      <c r="AH78" s="25">
        <v>0</v>
      </c>
      <c r="AI78" s="25">
        <v>0</v>
      </c>
      <c r="AJ78" s="23" t="s">
        <v>206</v>
      </c>
      <c r="AK78" s="23" t="s">
        <v>92</v>
      </c>
      <c r="AL78" s="25">
        <v>263</v>
      </c>
      <c r="AO78" s="32" t="str">
        <f t="shared" si="39"/>
        <v>3 doors</v>
      </c>
      <c r="AP78" s="23" t="s">
        <v>236</v>
      </c>
      <c r="AQ78" s="23" t="s">
        <v>32</v>
      </c>
      <c r="AR78" s="23" t="str">
        <f t="shared" si="40"/>
        <v>CC</v>
      </c>
      <c r="AS78" s="34">
        <f t="shared" si="41"/>
        <v>1451.01</v>
      </c>
      <c r="AT78" s="23">
        <v>14</v>
      </c>
      <c r="AU78" s="23">
        <v>51</v>
      </c>
      <c r="AV78" s="23">
        <v>1</v>
      </c>
    </row>
    <row r="79" spans="1:48">
      <c r="A79" s="25">
        <v>263</v>
      </c>
      <c r="D79" s="23">
        <v>3</v>
      </c>
      <c r="E79" s="25" t="s">
        <v>43</v>
      </c>
      <c r="F79" s="25" t="s">
        <v>43</v>
      </c>
      <c r="G79" s="23" t="s">
        <v>27</v>
      </c>
      <c r="H79" s="23" t="s">
        <v>216</v>
      </c>
      <c r="I79" s="25">
        <v>1997</v>
      </c>
      <c r="J79" s="35">
        <v>30</v>
      </c>
      <c r="K79" s="35">
        <v>40</v>
      </c>
      <c r="L79" s="35">
        <v>20</v>
      </c>
      <c r="M79" s="25">
        <v>10</v>
      </c>
      <c r="N79" s="25">
        <v>10</v>
      </c>
      <c r="O79" s="25">
        <v>10</v>
      </c>
      <c r="R79" s="30">
        <f t="shared" si="28"/>
        <v>30</v>
      </c>
      <c r="S79" s="30">
        <f t="shared" si="29"/>
        <v>17.730857142857143</v>
      </c>
      <c r="T79" s="30">
        <f t="shared" si="30"/>
        <v>23.318857142857144</v>
      </c>
      <c r="U79" s="25">
        <v>78</v>
      </c>
      <c r="V79" s="31">
        <f t="shared" si="31"/>
        <v>191.76000000000002</v>
      </c>
      <c r="W79" s="25">
        <v>141</v>
      </c>
      <c r="X79" s="25">
        <v>12</v>
      </c>
      <c r="Y79" s="25">
        <v>120</v>
      </c>
      <c r="Z79" s="31">
        <f t="shared" si="32"/>
        <v>200</v>
      </c>
      <c r="AA79" s="31">
        <f t="shared" si="33"/>
        <v>2</v>
      </c>
      <c r="AB79" s="31">
        <f t="shared" si="34"/>
        <v>8</v>
      </c>
      <c r="AC79" s="31" t="str">
        <f t="shared" si="35"/>
        <v/>
      </c>
      <c r="AD79" s="31" t="str">
        <f t="shared" si="36"/>
        <v/>
      </c>
      <c r="AE79" s="31" t="str">
        <f t="shared" si="37"/>
        <v/>
      </c>
      <c r="AF79" s="31" t="str">
        <f t="shared" si="38"/>
        <v/>
      </c>
      <c r="AG79" s="25">
        <v>10</v>
      </c>
      <c r="AH79" s="25">
        <v>0</v>
      </c>
      <c r="AI79" s="25">
        <v>0</v>
      </c>
      <c r="AJ79" s="23" t="s">
        <v>206</v>
      </c>
      <c r="AK79" s="23" t="s">
        <v>92</v>
      </c>
      <c r="AL79" s="25">
        <v>263</v>
      </c>
      <c r="AO79" s="32" t="str">
        <f t="shared" si="39"/>
        <v>3 doors</v>
      </c>
      <c r="AP79" s="23" t="s">
        <v>236</v>
      </c>
      <c r="AQ79" s="23" t="s">
        <v>32</v>
      </c>
      <c r="AR79" s="23" t="str">
        <f t="shared" si="40"/>
        <v>CC</v>
      </c>
      <c r="AS79" s="34">
        <f t="shared" si="41"/>
        <v>1451.02</v>
      </c>
      <c r="AT79" s="23">
        <v>14</v>
      </c>
      <c r="AU79" s="23">
        <v>51</v>
      </c>
      <c r="AV79" s="23">
        <v>2</v>
      </c>
    </row>
    <row r="80" spans="1:48">
      <c r="A80" s="25">
        <v>263</v>
      </c>
      <c r="D80" s="23">
        <v>2</v>
      </c>
      <c r="E80" s="25" t="s">
        <v>30</v>
      </c>
      <c r="F80" s="25" t="s">
        <v>30</v>
      </c>
      <c r="G80" s="23" t="s">
        <v>27</v>
      </c>
      <c r="H80" s="23" t="s">
        <v>217</v>
      </c>
      <c r="I80" s="25">
        <v>1991</v>
      </c>
      <c r="J80" s="35">
        <v>30</v>
      </c>
      <c r="K80" s="35">
        <v>40</v>
      </c>
      <c r="L80" s="35">
        <v>20</v>
      </c>
      <c r="M80" s="25">
        <v>10</v>
      </c>
      <c r="N80" s="25">
        <v>10</v>
      </c>
      <c r="R80" s="30">
        <f t="shared" si="28"/>
        <v>20</v>
      </c>
      <c r="S80" s="30">
        <f t="shared" si="29"/>
        <v>17.016571428571428</v>
      </c>
      <c r="T80" s="30">
        <f t="shared" si="30"/>
        <v>22.537904761904763</v>
      </c>
      <c r="U80" s="25">
        <v>78</v>
      </c>
      <c r="V80" s="31">
        <f t="shared" si="31"/>
        <v>191.76000000000002</v>
      </c>
      <c r="W80" s="25">
        <v>141</v>
      </c>
      <c r="X80" s="25">
        <v>12</v>
      </c>
      <c r="Y80" s="25">
        <v>110</v>
      </c>
      <c r="Z80" s="31">
        <f t="shared" si="32"/>
        <v>200</v>
      </c>
      <c r="AA80" s="31">
        <f t="shared" si="33"/>
        <v>2</v>
      </c>
      <c r="AB80" s="31">
        <f t="shared" si="34"/>
        <v>8</v>
      </c>
      <c r="AC80" s="31" t="str">
        <f t="shared" si="35"/>
        <v/>
      </c>
      <c r="AD80" s="31" t="str">
        <f t="shared" si="36"/>
        <v/>
      </c>
      <c r="AE80" s="31" t="str">
        <f t="shared" si="37"/>
        <v/>
      </c>
      <c r="AF80" s="31" t="str">
        <f t="shared" si="38"/>
        <v/>
      </c>
      <c r="AG80" s="25">
        <v>10</v>
      </c>
      <c r="AH80" s="25">
        <v>0</v>
      </c>
      <c r="AI80" s="25">
        <v>0</v>
      </c>
      <c r="AJ80" s="23" t="s">
        <v>206</v>
      </c>
      <c r="AK80" s="23" t="s">
        <v>92</v>
      </c>
      <c r="AL80" s="25">
        <v>263</v>
      </c>
      <c r="AO80" s="32" t="str">
        <f t="shared" si="39"/>
        <v>2 doors</v>
      </c>
      <c r="AP80" s="23" t="s">
        <v>238</v>
      </c>
      <c r="AQ80" s="23" t="s">
        <v>270</v>
      </c>
      <c r="AR80" s="23" t="str">
        <f t="shared" si="40"/>
        <v>CC</v>
      </c>
      <c r="AS80" s="34">
        <f t="shared" si="41"/>
        <v>1452</v>
      </c>
      <c r="AT80" s="23">
        <v>14</v>
      </c>
      <c r="AU80" s="23">
        <v>52</v>
      </c>
      <c r="AV80" s="23">
        <v>0</v>
      </c>
    </row>
    <row r="81" spans="1:48">
      <c r="A81" s="25">
        <v>263</v>
      </c>
      <c r="B81" s="23" t="s">
        <v>218</v>
      </c>
      <c r="D81" s="23">
        <v>1</v>
      </c>
      <c r="E81" s="25" t="s">
        <v>30</v>
      </c>
      <c r="F81" s="25" t="s">
        <v>30</v>
      </c>
      <c r="G81" s="23" t="s">
        <v>27</v>
      </c>
      <c r="H81" s="23" t="s">
        <v>241</v>
      </c>
      <c r="I81" s="25">
        <v>1990</v>
      </c>
      <c r="J81" s="35">
        <v>30</v>
      </c>
      <c r="K81" s="35">
        <v>40</v>
      </c>
      <c r="L81" s="35">
        <v>20</v>
      </c>
      <c r="M81" s="25">
        <v>10</v>
      </c>
      <c r="R81" s="30">
        <f t="shared" si="28"/>
        <v>10</v>
      </c>
      <c r="S81" s="30">
        <f t="shared" si="29"/>
        <v>16.302285714285716</v>
      </c>
      <c r="T81" s="30">
        <f t="shared" si="30"/>
        <v>21.623619047619052</v>
      </c>
      <c r="U81" s="25">
        <v>78</v>
      </c>
      <c r="V81" s="31">
        <f t="shared" si="31"/>
        <v>191.76000000000002</v>
      </c>
      <c r="W81" s="25">
        <v>141</v>
      </c>
      <c r="X81" s="25">
        <v>12</v>
      </c>
      <c r="Y81" s="25">
        <v>80</v>
      </c>
      <c r="Z81" s="31">
        <f t="shared" si="32"/>
        <v>200</v>
      </c>
      <c r="AA81" s="31">
        <f t="shared" si="33"/>
        <v>2</v>
      </c>
      <c r="AB81" s="31">
        <f t="shared" si="34"/>
        <v>8</v>
      </c>
      <c r="AC81" s="31" t="str">
        <f t="shared" si="35"/>
        <v/>
      </c>
      <c r="AD81" s="31" t="str">
        <f t="shared" si="36"/>
        <v/>
      </c>
      <c r="AE81" s="31" t="str">
        <f t="shared" si="37"/>
        <v/>
      </c>
      <c r="AF81" s="31" t="str">
        <f t="shared" si="38"/>
        <v/>
      </c>
      <c r="AG81" s="25">
        <v>10</v>
      </c>
      <c r="AH81" s="25">
        <v>0</v>
      </c>
      <c r="AI81" s="25">
        <v>0</v>
      </c>
      <c r="AJ81" s="23" t="s">
        <v>206</v>
      </c>
      <c r="AK81" s="23" t="s">
        <v>92</v>
      </c>
      <c r="AL81" s="25">
        <v>263</v>
      </c>
      <c r="AO81" s="32" t="str">
        <f t="shared" si="39"/>
        <v>1 door</v>
      </c>
      <c r="AP81" s="23" t="s">
        <v>239</v>
      </c>
      <c r="AQ81" s="23" t="s">
        <v>270</v>
      </c>
      <c r="AR81" s="23" t="str">
        <f t="shared" si="40"/>
        <v>CC</v>
      </c>
      <c r="AS81" s="34">
        <f t="shared" si="41"/>
        <v>1453</v>
      </c>
      <c r="AT81" s="23">
        <v>14</v>
      </c>
      <c r="AU81" s="23">
        <v>53</v>
      </c>
      <c r="AV81" s="23">
        <v>0</v>
      </c>
    </row>
    <row r="82" spans="1:48">
      <c r="A82" s="25">
        <v>280</v>
      </c>
      <c r="B82" s="23" t="s">
        <v>89</v>
      </c>
      <c r="C82" s="23" t="s">
        <v>124</v>
      </c>
      <c r="D82" s="23">
        <v>4</v>
      </c>
      <c r="E82" s="25" t="s">
        <v>30</v>
      </c>
      <c r="F82" s="25" t="s">
        <v>30</v>
      </c>
      <c r="G82" s="23" t="s">
        <v>27</v>
      </c>
      <c r="H82" s="23" t="s">
        <v>164</v>
      </c>
      <c r="I82" s="25">
        <v>1971</v>
      </c>
      <c r="J82" s="35">
        <v>30</v>
      </c>
      <c r="K82" s="35">
        <v>40</v>
      </c>
      <c r="L82" s="35">
        <v>20</v>
      </c>
      <c r="M82" s="25">
        <v>10</v>
      </c>
      <c r="N82" s="25">
        <v>10</v>
      </c>
      <c r="O82" s="25">
        <v>10</v>
      </c>
      <c r="P82" s="25">
        <v>10</v>
      </c>
      <c r="R82" s="30">
        <f t="shared" si="28"/>
        <v>40</v>
      </c>
      <c r="S82" s="30">
        <f t="shared" si="29"/>
        <v>19.445142857142859</v>
      </c>
      <c r="T82" s="30">
        <f t="shared" si="30"/>
        <v>24.373142857142859</v>
      </c>
      <c r="U82" s="25">
        <v>62</v>
      </c>
      <c r="V82" s="31">
        <f t="shared" si="31"/>
        <v>191.76000000000002</v>
      </c>
      <c r="W82" s="25">
        <v>141</v>
      </c>
      <c r="X82" s="25">
        <v>14</v>
      </c>
      <c r="Y82" s="25">
        <v>141</v>
      </c>
      <c r="Z82" s="31">
        <f t="shared" si="32"/>
        <v>200</v>
      </c>
      <c r="AA82" s="31">
        <f t="shared" si="33"/>
        <v>1</v>
      </c>
      <c r="AB82" s="31">
        <f t="shared" si="34"/>
        <v>8</v>
      </c>
      <c r="AC82" s="31">
        <f t="shared" si="35"/>
        <v>6</v>
      </c>
      <c r="AD82" s="31" t="str">
        <f t="shared" si="36"/>
        <v/>
      </c>
      <c r="AE82" s="31" t="str">
        <f t="shared" si="37"/>
        <v/>
      </c>
      <c r="AF82" s="31" t="str">
        <f t="shared" si="38"/>
        <v/>
      </c>
      <c r="AG82" s="25">
        <v>9</v>
      </c>
      <c r="AH82" s="25">
        <v>6</v>
      </c>
      <c r="AI82" s="25">
        <v>0</v>
      </c>
      <c r="AJ82" s="23" t="s">
        <v>206</v>
      </c>
      <c r="AK82" s="23" t="s">
        <v>92</v>
      </c>
      <c r="AL82" s="25">
        <v>280</v>
      </c>
      <c r="AO82" s="32" t="str">
        <f t="shared" si="39"/>
        <v>4 doors</v>
      </c>
      <c r="AP82" s="23" t="s">
        <v>229</v>
      </c>
      <c r="AQ82" s="23" t="s">
        <v>32</v>
      </c>
      <c r="AR82" s="23" t="str">
        <f t="shared" si="40"/>
        <v>CC</v>
      </c>
      <c r="AS82" s="34">
        <f t="shared" si="41"/>
        <v>1500</v>
      </c>
      <c r="AT82" s="23">
        <v>15</v>
      </c>
      <c r="AU82" s="23">
        <v>0</v>
      </c>
      <c r="AV82" s="23">
        <v>0</v>
      </c>
    </row>
    <row r="83" spans="1:48">
      <c r="A83" s="25">
        <v>280</v>
      </c>
      <c r="B83" s="23" t="s">
        <v>125</v>
      </c>
      <c r="C83" s="23" t="s">
        <v>124</v>
      </c>
      <c r="D83" s="23">
        <v>3</v>
      </c>
      <c r="E83" s="25" t="s">
        <v>30</v>
      </c>
      <c r="F83" s="25" t="s">
        <v>30</v>
      </c>
      <c r="G83" s="23" t="s">
        <v>27</v>
      </c>
      <c r="H83" s="23" t="s">
        <v>165</v>
      </c>
      <c r="I83" s="25">
        <v>1971</v>
      </c>
      <c r="J83" s="35">
        <v>30</v>
      </c>
      <c r="K83" s="35">
        <v>40</v>
      </c>
      <c r="L83" s="35">
        <v>20</v>
      </c>
      <c r="M83" s="25">
        <v>10</v>
      </c>
      <c r="N83" s="25">
        <v>10</v>
      </c>
      <c r="O83" s="25">
        <v>10</v>
      </c>
      <c r="R83" s="30">
        <f t="shared" si="28"/>
        <v>30</v>
      </c>
      <c r="S83" s="30">
        <f t="shared" si="29"/>
        <v>18.730857142857143</v>
      </c>
      <c r="T83" s="30">
        <f t="shared" si="30"/>
        <v>23.492190476190476</v>
      </c>
      <c r="U83" s="25">
        <v>78</v>
      </c>
      <c r="V83" s="31">
        <f t="shared" si="31"/>
        <v>191.76000000000002</v>
      </c>
      <c r="W83" s="25">
        <v>141</v>
      </c>
      <c r="X83" s="25">
        <v>14</v>
      </c>
      <c r="Y83" s="25">
        <v>116</v>
      </c>
      <c r="Z83" s="31">
        <f t="shared" si="32"/>
        <v>200</v>
      </c>
      <c r="AA83" s="31">
        <f t="shared" si="33"/>
        <v>1</v>
      </c>
      <c r="AB83" s="31">
        <f t="shared" si="34"/>
        <v>8</v>
      </c>
      <c r="AC83" s="31">
        <f t="shared" si="35"/>
        <v>6</v>
      </c>
      <c r="AD83" s="31" t="str">
        <f t="shared" si="36"/>
        <v/>
      </c>
      <c r="AE83" s="31" t="str">
        <f t="shared" si="37"/>
        <v/>
      </c>
      <c r="AF83" s="31" t="str">
        <f t="shared" si="38"/>
        <v/>
      </c>
      <c r="AG83" s="25">
        <v>9</v>
      </c>
      <c r="AH83" s="25">
        <v>6</v>
      </c>
      <c r="AI83" s="25">
        <v>0</v>
      </c>
      <c r="AJ83" s="23" t="s">
        <v>206</v>
      </c>
      <c r="AK83" s="23" t="s">
        <v>92</v>
      </c>
      <c r="AL83" s="25">
        <v>280</v>
      </c>
      <c r="AO83" s="32" t="str">
        <f t="shared" si="39"/>
        <v>3 doors</v>
      </c>
      <c r="AQ83" s="23" t="s">
        <v>270</v>
      </c>
      <c r="AR83" s="23" t="str">
        <f t="shared" si="40"/>
        <v>CC</v>
      </c>
      <c r="AS83" s="34">
        <f t="shared" si="41"/>
        <v>1510</v>
      </c>
      <c r="AT83" s="23">
        <v>15</v>
      </c>
      <c r="AU83" s="23">
        <v>10</v>
      </c>
      <c r="AV83" s="23">
        <v>0</v>
      </c>
    </row>
    <row r="84" spans="1:48">
      <c r="A84" s="25">
        <v>280</v>
      </c>
      <c r="B84" s="23" t="s">
        <v>89</v>
      </c>
      <c r="D84" s="23">
        <v>4</v>
      </c>
      <c r="E84" s="25" t="s">
        <v>30</v>
      </c>
      <c r="F84" s="25" t="s">
        <v>30</v>
      </c>
      <c r="G84" s="23" t="s">
        <v>27</v>
      </c>
      <c r="H84" s="23" t="s">
        <v>166</v>
      </c>
      <c r="I84" s="25">
        <v>1980</v>
      </c>
      <c r="J84" s="35">
        <v>30</v>
      </c>
      <c r="K84" s="35">
        <v>40</v>
      </c>
      <c r="L84" s="35">
        <v>20</v>
      </c>
      <c r="M84" s="25">
        <v>10</v>
      </c>
      <c r="N84" s="25">
        <v>10</v>
      </c>
      <c r="O84" s="25">
        <v>10</v>
      </c>
      <c r="P84" s="25">
        <v>10</v>
      </c>
      <c r="R84" s="30">
        <f t="shared" si="28"/>
        <v>40</v>
      </c>
      <c r="S84" s="30">
        <f t="shared" si="29"/>
        <v>20.73714285714286</v>
      </c>
      <c r="T84" s="30">
        <f t="shared" si="30"/>
        <v>26.957142857142859</v>
      </c>
      <c r="U84" s="25">
        <v>66</v>
      </c>
      <c r="V84" s="31">
        <f t="shared" si="31"/>
        <v>217.60000000000002</v>
      </c>
      <c r="W84" s="25">
        <v>160</v>
      </c>
      <c r="X84" s="25">
        <v>14</v>
      </c>
      <c r="Y84" s="25">
        <v>141</v>
      </c>
      <c r="Z84" s="31">
        <f t="shared" si="32"/>
        <v>200</v>
      </c>
      <c r="AA84" s="31">
        <f t="shared" si="33"/>
        <v>1</v>
      </c>
      <c r="AB84" s="31">
        <f t="shared" si="34"/>
        <v>8</v>
      </c>
      <c r="AC84" s="31">
        <f t="shared" si="35"/>
        <v>6</v>
      </c>
      <c r="AD84" s="31" t="str">
        <f t="shared" si="36"/>
        <v/>
      </c>
      <c r="AE84" s="31" t="str">
        <f t="shared" si="37"/>
        <v/>
      </c>
      <c r="AF84" s="31" t="str">
        <f t="shared" si="38"/>
        <v/>
      </c>
      <c r="AG84" s="25">
        <v>9</v>
      </c>
      <c r="AH84" s="25">
        <v>6</v>
      </c>
      <c r="AI84" s="25">
        <v>0</v>
      </c>
      <c r="AJ84" s="23" t="s">
        <v>206</v>
      </c>
      <c r="AK84" s="23" t="s">
        <v>92</v>
      </c>
      <c r="AL84" s="25">
        <v>280</v>
      </c>
      <c r="AO84" s="32" t="str">
        <f t="shared" si="39"/>
        <v>4 doors</v>
      </c>
      <c r="AQ84" s="23" t="s">
        <v>32</v>
      </c>
      <c r="AR84" s="23" t="str">
        <f t="shared" si="40"/>
        <v>CC</v>
      </c>
      <c r="AS84" s="34">
        <f t="shared" si="41"/>
        <v>1520</v>
      </c>
      <c r="AT84" s="23">
        <v>15</v>
      </c>
      <c r="AU84" s="23">
        <v>20</v>
      </c>
      <c r="AV84" s="23">
        <v>0</v>
      </c>
    </row>
    <row r="85" spans="1:48">
      <c r="A85" s="25">
        <v>280</v>
      </c>
      <c r="B85" s="23" t="s">
        <v>89</v>
      </c>
      <c r="C85" s="23" t="s">
        <v>228</v>
      </c>
      <c r="D85" s="23">
        <v>4</v>
      </c>
      <c r="E85" s="25" t="s">
        <v>30</v>
      </c>
      <c r="F85" s="25" t="s">
        <v>30</v>
      </c>
      <c r="G85" s="23" t="s">
        <v>27</v>
      </c>
      <c r="H85" s="23" t="s">
        <v>167</v>
      </c>
      <c r="I85" s="25">
        <v>1993</v>
      </c>
      <c r="J85" s="35">
        <v>30</v>
      </c>
      <c r="K85" s="35">
        <v>40</v>
      </c>
      <c r="L85" s="35">
        <v>20</v>
      </c>
      <c r="M85" s="25">
        <v>10</v>
      </c>
      <c r="N85" s="25">
        <v>10</v>
      </c>
      <c r="O85" s="25">
        <v>10</v>
      </c>
      <c r="P85" s="25">
        <v>10</v>
      </c>
      <c r="R85" s="30">
        <f t="shared" si="28"/>
        <v>40</v>
      </c>
      <c r="S85" s="30">
        <f t="shared" si="29"/>
        <v>20.873142857142859</v>
      </c>
      <c r="T85" s="30">
        <f t="shared" si="30"/>
        <v>27.249142857142861</v>
      </c>
      <c r="U85" s="25">
        <v>66</v>
      </c>
      <c r="V85" s="31">
        <f t="shared" si="31"/>
        <v>220.32000000000002</v>
      </c>
      <c r="W85" s="25">
        <v>162</v>
      </c>
      <c r="X85" s="25">
        <v>14</v>
      </c>
      <c r="Y85" s="25">
        <v>144</v>
      </c>
      <c r="Z85" s="31">
        <f t="shared" si="32"/>
        <v>200</v>
      </c>
      <c r="AA85" s="31">
        <f t="shared" si="33"/>
        <v>1</v>
      </c>
      <c r="AB85" s="31">
        <f t="shared" si="34"/>
        <v>8</v>
      </c>
      <c r="AC85" s="31">
        <f t="shared" si="35"/>
        <v>6</v>
      </c>
      <c r="AD85" s="31" t="str">
        <f t="shared" si="36"/>
        <v/>
      </c>
      <c r="AE85" s="31" t="str">
        <f t="shared" si="37"/>
        <v/>
      </c>
      <c r="AF85" s="31" t="str">
        <f t="shared" si="38"/>
        <v/>
      </c>
      <c r="AG85" s="25">
        <v>9</v>
      </c>
      <c r="AH85" s="25">
        <v>6</v>
      </c>
      <c r="AI85" s="25">
        <v>0</v>
      </c>
      <c r="AJ85" s="23" t="s">
        <v>206</v>
      </c>
      <c r="AK85" s="23" t="s">
        <v>92</v>
      </c>
      <c r="AL85" s="25">
        <v>280</v>
      </c>
      <c r="AO85" s="32" t="str">
        <f t="shared" si="39"/>
        <v>4 doors</v>
      </c>
      <c r="AP85" s="23" t="s">
        <v>228</v>
      </c>
      <c r="AQ85" s="23" t="s">
        <v>32</v>
      </c>
      <c r="AR85" s="23" t="str">
        <f t="shared" si="40"/>
        <v>CC</v>
      </c>
      <c r="AS85" s="34">
        <f t="shared" si="41"/>
        <v>1530</v>
      </c>
      <c r="AT85" s="23">
        <v>15</v>
      </c>
      <c r="AU85" s="23">
        <v>30</v>
      </c>
      <c r="AV85" s="23">
        <v>0</v>
      </c>
    </row>
    <row r="86" spans="1:48">
      <c r="A86" s="25">
        <v>280</v>
      </c>
      <c r="B86" s="23" t="s">
        <v>89</v>
      </c>
      <c r="C86" s="23" t="s">
        <v>228</v>
      </c>
      <c r="D86" s="23">
        <v>4</v>
      </c>
      <c r="E86" s="25" t="s">
        <v>42</v>
      </c>
      <c r="F86" s="25" t="s">
        <v>42</v>
      </c>
      <c r="G86" s="23" t="s">
        <v>27</v>
      </c>
      <c r="H86" s="23" t="s">
        <v>167</v>
      </c>
      <c r="I86" s="25">
        <v>1993</v>
      </c>
      <c r="J86" s="35">
        <v>30</v>
      </c>
      <c r="K86" s="35">
        <v>40</v>
      </c>
      <c r="L86" s="35">
        <v>20</v>
      </c>
      <c r="M86" s="25">
        <v>10</v>
      </c>
      <c r="N86" s="25">
        <v>10</v>
      </c>
      <c r="O86" s="25">
        <v>10</v>
      </c>
      <c r="P86" s="25">
        <v>10</v>
      </c>
      <c r="R86" s="30">
        <f t="shared" si="28"/>
        <v>40</v>
      </c>
      <c r="S86" s="30">
        <f t="shared" si="29"/>
        <v>20.873142857142859</v>
      </c>
      <c r="T86" s="30">
        <f t="shared" si="30"/>
        <v>27.249142857142861</v>
      </c>
      <c r="U86" s="25">
        <v>66</v>
      </c>
      <c r="V86" s="31">
        <f t="shared" si="31"/>
        <v>220.32000000000002</v>
      </c>
      <c r="W86" s="25">
        <v>162</v>
      </c>
      <c r="X86" s="25">
        <v>14</v>
      </c>
      <c r="Y86" s="25">
        <v>144</v>
      </c>
      <c r="Z86" s="31">
        <f t="shared" si="32"/>
        <v>200</v>
      </c>
      <c r="AA86" s="31">
        <f t="shared" si="33"/>
        <v>1</v>
      </c>
      <c r="AB86" s="31">
        <f t="shared" si="34"/>
        <v>8</v>
      </c>
      <c r="AC86" s="31">
        <f t="shared" si="35"/>
        <v>6</v>
      </c>
      <c r="AD86" s="31" t="str">
        <f t="shared" si="36"/>
        <v/>
      </c>
      <c r="AE86" s="31" t="str">
        <f t="shared" si="37"/>
        <v/>
      </c>
      <c r="AF86" s="31" t="str">
        <f t="shared" si="38"/>
        <v/>
      </c>
      <c r="AG86" s="25">
        <v>9</v>
      </c>
      <c r="AH86" s="25">
        <v>6</v>
      </c>
      <c r="AI86" s="25">
        <v>0</v>
      </c>
      <c r="AJ86" s="23" t="s">
        <v>206</v>
      </c>
      <c r="AK86" s="23" t="s">
        <v>92</v>
      </c>
      <c r="AL86" s="25">
        <v>280</v>
      </c>
      <c r="AO86" s="32" t="str">
        <f t="shared" si="39"/>
        <v>4 doors</v>
      </c>
      <c r="AP86" s="23" t="s">
        <v>228</v>
      </c>
      <c r="AQ86" s="23" t="s">
        <v>32</v>
      </c>
      <c r="AR86" s="23" t="str">
        <f t="shared" si="40"/>
        <v>CC</v>
      </c>
      <c r="AS86" s="34">
        <f t="shared" si="41"/>
        <v>1530.01</v>
      </c>
      <c r="AT86" s="23">
        <v>15</v>
      </c>
      <c r="AU86" s="23">
        <v>30</v>
      </c>
      <c r="AV86" s="23">
        <v>1</v>
      </c>
    </row>
    <row r="87" spans="1:48">
      <c r="A87" s="25">
        <v>280</v>
      </c>
      <c r="B87" s="23" t="s">
        <v>125</v>
      </c>
      <c r="D87" s="23">
        <v>4</v>
      </c>
      <c r="E87" s="25" t="s">
        <v>30</v>
      </c>
      <c r="F87" s="25" t="s">
        <v>30</v>
      </c>
      <c r="G87" s="23" t="s">
        <v>27</v>
      </c>
      <c r="H87" s="23" t="s">
        <v>168</v>
      </c>
      <c r="I87" s="25">
        <v>1980</v>
      </c>
      <c r="J87" s="35">
        <v>30</v>
      </c>
      <c r="K87" s="35">
        <v>40</v>
      </c>
      <c r="L87" s="35">
        <v>20</v>
      </c>
      <c r="M87" s="25">
        <v>10</v>
      </c>
      <c r="N87" s="25">
        <v>10</v>
      </c>
      <c r="O87" s="25">
        <v>10</v>
      </c>
      <c r="P87" s="25">
        <v>10</v>
      </c>
      <c r="R87" s="30">
        <f t="shared" si="28"/>
        <v>40</v>
      </c>
      <c r="S87" s="30">
        <f t="shared" si="29"/>
        <v>20.73714285714286</v>
      </c>
      <c r="T87" s="30">
        <f t="shared" si="30"/>
        <v>26.790476190476195</v>
      </c>
      <c r="U87" s="25">
        <v>78</v>
      </c>
      <c r="V87" s="31">
        <f t="shared" si="31"/>
        <v>217.60000000000002</v>
      </c>
      <c r="W87" s="25">
        <v>160</v>
      </c>
      <c r="X87" s="25">
        <v>14</v>
      </c>
      <c r="Y87" s="25">
        <v>116</v>
      </c>
      <c r="Z87" s="31">
        <f t="shared" si="32"/>
        <v>185</v>
      </c>
      <c r="AA87" s="31">
        <f t="shared" si="33"/>
        <v>1</v>
      </c>
      <c r="AB87" s="31">
        <f t="shared" si="34"/>
        <v>8</v>
      </c>
      <c r="AC87" s="31">
        <f t="shared" si="35"/>
        <v>6</v>
      </c>
      <c r="AD87" s="31" t="str">
        <f t="shared" si="36"/>
        <v/>
      </c>
      <c r="AE87" s="31" t="str">
        <f t="shared" si="37"/>
        <v/>
      </c>
      <c r="AF87" s="31" t="str">
        <f t="shared" si="38"/>
        <v/>
      </c>
      <c r="AG87" s="25">
        <v>9</v>
      </c>
      <c r="AH87" s="25">
        <v>6</v>
      </c>
      <c r="AI87" s="25">
        <v>0</v>
      </c>
      <c r="AJ87" s="23" t="s">
        <v>206</v>
      </c>
      <c r="AK87" s="23" t="s">
        <v>92</v>
      </c>
      <c r="AL87" s="25">
        <v>280</v>
      </c>
      <c r="AO87" s="32" t="str">
        <f t="shared" si="39"/>
        <v>4 doors</v>
      </c>
      <c r="AQ87" s="23" t="s">
        <v>33</v>
      </c>
      <c r="AR87" s="23" t="str">
        <f t="shared" si="40"/>
        <v>CC</v>
      </c>
      <c r="AS87" s="34">
        <f t="shared" si="41"/>
        <v>1540</v>
      </c>
      <c r="AT87" s="23">
        <v>15</v>
      </c>
      <c r="AU87" s="23">
        <v>40</v>
      </c>
      <c r="AV87" s="23">
        <v>0</v>
      </c>
    </row>
    <row r="88" spans="1:48">
      <c r="A88" s="25">
        <v>280</v>
      </c>
      <c r="B88" s="23" t="s">
        <v>125</v>
      </c>
      <c r="D88" s="23">
        <v>3</v>
      </c>
      <c r="E88" s="25" t="s">
        <v>30</v>
      </c>
      <c r="F88" s="25" t="s">
        <v>30</v>
      </c>
      <c r="G88" s="23" t="s">
        <v>27</v>
      </c>
      <c r="H88" s="23" t="s">
        <v>169</v>
      </c>
      <c r="I88" s="25">
        <v>1980</v>
      </c>
      <c r="J88" s="35">
        <v>30</v>
      </c>
      <c r="K88" s="35">
        <v>40</v>
      </c>
      <c r="L88" s="35">
        <v>20</v>
      </c>
      <c r="M88" s="25">
        <v>10</v>
      </c>
      <c r="N88" s="25">
        <v>10</v>
      </c>
      <c r="O88" s="25">
        <v>10</v>
      </c>
      <c r="R88" s="30">
        <f t="shared" si="28"/>
        <v>30</v>
      </c>
      <c r="S88" s="30">
        <f t="shared" si="29"/>
        <v>20.022857142857145</v>
      </c>
      <c r="T88" s="30">
        <f t="shared" si="30"/>
        <v>26.076190476190479</v>
      </c>
      <c r="U88" s="25">
        <v>78</v>
      </c>
      <c r="V88" s="31">
        <f t="shared" si="31"/>
        <v>217.60000000000002</v>
      </c>
      <c r="W88" s="25">
        <v>160</v>
      </c>
      <c r="X88" s="25">
        <v>14</v>
      </c>
      <c r="Y88" s="25">
        <v>116</v>
      </c>
      <c r="Z88" s="31">
        <f t="shared" si="32"/>
        <v>200</v>
      </c>
      <c r="AA88" s="31">
        <f t="shared" si="33"/>
        <v>1</v>
      </c>
      <c r="AB88" s="31">
        <f t="shared" si="34"/>
        <v>8</v>
      </c>
      <c r="AC88" s="31">
        <f t="shared" si="35"/>
        <v>6</v>
      </c>
      <c r="AD88" s="31" t="str">
        <f t="shared" si="36"/>
        <v/>
      </c>
      <c r="AE88" s="31" t="str">
        <f t="shared" si="37"/>
        <v/>
      </c>
      <c r="AF88" s="31" t="str">
        <f t="shared" si="38"/>
        <v/>
      </c>
      <c r="AG88" s="25">
        <v>9</v>
      </c>
      <c r="AH88" s="25">
        <v>6</v>
      </c>
      <c r="AI88" s="25">
        <v>0</v>
      </c>
      <c r="AJ88" s="23" t="s">
        <v>206</v>
      </c>
      <c r="AK88" s="23" t="s">
        <v>92</v>
      </c>
      <c r="AL88" s="25">
        <v>280</v>
      </c>
      <c r="AO88" s="32" t="str">
        <f t="shared" si="39"/>
        <v>3 doors</v>
      </c>
      <c r="AQ88" s="23" t="s">
        <v>270</v>
      </c>
      <c r="AR88" s="23" t="str">
        <f t="shared" si="40"/>
        <v>CC</v>
      </c>
      <c r="AS88" s="34">
        <f t="shared" si="41"/>
        <v>1550</v>
      </c>
      <c r="AT88" s="23">
        <v>15</v>
      </c>
      <c r="AU88" s="23">
        <v>50</v>
      </c>
      <c r="AV88" s="23">
        <v>0</v>
      </c>
    </row>
    <row r="89" spans="1:48">
      <c r="A89" s="25">
        <v>280</v>
      </c>
      <c r="B89" s="23" t="s">
        <v>89</v>
      </c>
      <c r="C89" s="23" t="s">
        <v>28</v>
      </c>
      <c r="D89" s="23">
        <v>4</v>
      </c>
      <c r="E89" s="25" t="s">
        <v>30</v>
      </c>
      <c r="F89" s="25" t="s">
        <v>30</v>
      </c>
      <c r="G89" s="23" t="s">
        <v>28</v>
      </c>
      <c r="H89" s="23" t="s">
        <v>163</v>
      </c>
      <c r="I89" s="25">
        <v>1997</v>
      </c>
      <c r="J89" s="35">
        <v>30</v>
      </c>
      <c r="K89" s="35">
        <v>40</v>
      </c>
      <c r="L89" s="35">
        <v>20</v>
      </c>
      <c r="M89" s="25">
        <v>10</v>
      </c>
      <c r="N89" s="25">
        <v>10</v>
      </c>
      <c r="O89" s="25">
        <v>10</v>
      </c>
      <c r="P89" s="25">
        <v>10</v>
      </c>
      <c r="R89" s="30">
        <f t="shared" si="28"/>
        <v>40</v>
      </c>
      <c r="S89" s="30">
        <f t="shared" si="29"/>
        <v>26.761142857142858</v>
      </c>
      <c r="T89" s="30">
        <f t="shared" si="30"/>
        <v>25.395809523809529</v>
      </c>
      <c r="U89" s="25">
        <v>72</v>
      </c>
      <c r="V89" s="31">
        <f t="shared" si="31"/>
        <v>258.40000000000003</v>
      </c>
      <c r="W89" s="25">
        <v>190</v>
      </c>
      <c r="X89" s="25">
        <v>14</v>
      </c>
      <c r="Y89" s="25">
        <v>140</v>
      </c>
      <c r="Z89" s="31">
        <f t="shared" si="32"/>
        <v>200</v>
      </c>
      <c r="AA89" s="31">
        <f t="shared" si="33"/>
        <v>1</v>
      </c>
      <c r="AB89" s="31">
        <f t="shared" si="34"/>
        <v>8</v>
      </c>
      <c r="AC89" s="31">
        <f t="shared" si="35"/>
        <v>6</v>
      </c>
      <c r="AD89" s="31" t="str">
        <f t="shared" si="36"/>
        <v/>
      </c>
      <c r="AE89" s="31" t="str">
        <f t="shared" si="37"/>
        <v/>
      </c>
      <c r="AF89" s="31" t="str">
        <f t="shared" si="38"/>
        <v/>
      </c>
      <c r="AG89" s="25">
        <v>9</v>
      </c>
      <c r="AH89" s="25">
        <v>6</v>
      </c>
      <c r="AI89" s="25">
        <v>0</v>
      </c>
      <c r="AJ89" s="23" t="s">
        <v>206</v>
      </c>
      <c r="AK89" s="23" t="s">
        <v>92</v>
      </c>
      <c r="AL89" s="25">
        <v>280</v>
      </c>
      <c r="AO89" s="32" t="str">
        <f t="shared" si="39"/>
        <v>4 doors</v>
      </c>
      <c r="AQ89" s="23" t="s">
        <v>32</v>
      </c>
      <c r="AR89" s="23" t="str">
        <f t="shared" si="40"/>
        <v>CC</v>
      </c>
      <c r="AS89" s="34">
        <f t="shared" si="41"/>
        <v>1560</v>
      </c>
      <c r="AT89" s="23">
        <v>15</v>
      </c>
      <c r="AU89" s="23">
        <v>60</v>
      </c>
      <c r="AV89" s="23">
        <v>0</v>
      </c>
    </row>
    <row r="90" spans="1:48">
      <c r="A90" s="25">
        <v>280</v>
      </c>
      <c r="B90" s="23" t="s">
        <v>89</v>
      </c>
      <c r="C90" s="23" t="s">
        <v>127</v>
      </c>
      <c r="D90" s="23">
        <v>4</v>
      </c>
      <c r="E90" s="25" t="s">
        <v>30</v>
      </c>
      <c r="F90" s="25" t="s">
        <v>30</v>
      </c>
      <c r="G90" s="23" t="s">
        <v>27</v>
      </c>
      <c r="H90" s="23" t="s">
        <v>240</v>
      </c>
      <c r="I90" s="25">
        <v>1998</v>
      </c>
      <c r="J90" s="35">
        <v>30</v>
      </c>
      <c r="K90" s="35">
        <v>40</v>
      </c>
      <c r="L90" s="35">
        <v>20</v>
      </c>
      <c r="M90" s="25">
        <v>10</v>
      </c>
      <c r="N90" s="25">
        <v>10</v>
      </c>
      <c r="O90" s="25">
        <v>10</v>
      </c>
      <c r="P90" s="25">
        <v>10</v>
      </c>
      <c r="R90" s="30">
        <f t="shared" si="28"/>
        <v>40</v>
      </c>
      <c r="S90" s="30">
        <f t="shared" si="29"/>
        <v>22.777142857142859</v>
      </c>
      <c r="T90" s="30">
        <f t="shared" si="30"/>
        <v>31.070476190476196</v>
      </c>
      <c r="U90" s="25">
        <v>72</v>
      </c>
      <c r="V90" s="31">
        <f t="shared" si="31"/>
        <v>258.40000000000003</v>
      </c>
      <c r="W90" s="25">
        <v>190</v>
      </c>
      <c r="X90" s="25">
        <v>14</v>
      </c>
      <c r="Y90" s="25">
        <v>146</v>
      </c>
      <c r="Z90" s="31">
        <f t="shared" si="32"/>
        <v>200</v>
      </c>
      <c r="AA90" s="31">
        <f t="shared" si="33"/>
        <v>1</v>
      </c>
      <c r="AB90" s="31">
        <f t="shared" si="34"/>
        <v>8</v>
      </c>
      <c r="AC90" s="31">
        <f t="shared" si="35"/>
        <v>6</v>
      </c>
      <c r="AD90" s="31" t="str">
        <f t="shared" si="36"/>
        <v/>
      </c>
      <c r="AE90" s="31" t="str">
        <f t="shared" si="37"/>
        <v/>
      </c>
      <c r="AF90" s="31" t="str">
        <f t="shared" si="38"/>
        <v/>
      </c>
      <c r="AG90" s="25">
        <v>9</v>
      </c>
      <c r="AH90" s="25">
        <v>6</v>
      </c>
      <c r="AI90" s="25">
        <v>0</v>
      </c>
      <c r="AJ90" s="23" t="s">
        <v>206</v>
      </c>
      <c r="AK90" s="23" t="s">
        <v>92</v>
      </c>
      <c r="AL90" s="25">
        <v>280</v>
      </c>
      <c r="AO90" s="32" t="str">
        <f t="shared" si="39"/>
        <v>4 doors</v>
      </c>
      <c r="AQ90" s="23" t="s">
        <v>32</v>
      </c>
      <c r="AR90" s="23" t="str">
        <f t="shared" si="40"/>
        <v>CC</v>
      </c>
      <c r="AS90" s="34">
        <f t="shared" si="41"/>
        <v>1570</v>
      </c>
      <c r="AT90" s="23">
        <v>15</v>
      </c>
      <c r="AU90" s="23">
        <v>70</v>
      </c>
      <c r="AV90" s="23">
        <v>0</v>
      </c>
    </row>
    <row r="91" spans="1:48">
      <c r="A91" s="25">
        <v>293</v>
      </c>
      <c r="D91" s="23">
        <v>5</v>
      </c>
      <c r="E91" s="25" t="s">
        <v>30</v>
      </c>
      <c r="F91" s="25" t="s">
        <v>30</v>
      </c>
      <c r="G91" s="23" t="s">
        <v>27</v>
      </c>
      <c r="H91" s="23" t="s">
        <v>173</v>
      </c>
      <c r="I91" s="25">
        <v>1988</v>
      </c>
      <c r="J91" s="35">
        <v>30</v>
      </c>
      <c r="K91" s="35">
        <v>40</v>
      </c>
      <c r="L91" s="35">
        <v>20</v>
      </c>
      <c r="M91" s="25">
        <v>10</v>
      </c>
      <c r="N91" s="25">
        <v>10</v>
      </c>
      <c r="O91" s="25">
        <v>10</v>
      </c>
      <c r="P91" s="25">
        <v>10</v>
      </c>
      <c r="Q91" s="25">
        <v>10</v>
      </c>
      <c r="R91" s="30">
        <f t="shared" si="28"/>
        <v>50</v>
      </c>
      <c r="S91" s="30">
        <f t="shared" si="29"/>
        <v>26.127428571428574</v>
      </c>
      <c r="T91" s="30">
        <f t="shared" si="30"/>
        <v>33.110095238095234</v>
      </c>
      <c r="U91" s="25">
        <v>62</v>
      </c>
      <c r="V91" s="31">
        <f t="shared" si="31"/>
        <v>261.12</v>
      </c>
      <c r="W91" s="25">
        <v>192</v>
      </c>
      <c r="X91" s="25">
        <v>19</v>
      </c>
      <c r="Y91" s="25">
        <v>229</v>
      </c>
      <c r="Z91" s="31">
        <f t="shared" si="32"/>
        <v>200</v>
      </c>
      <c r="AA91" s="31">
        <f t="shared" si="33"/>
        <v>1</v>
      </c>
      <c r="AB91" s="31">
        <f t="shared" si="34"/>
        <v>8</v>
      </c>
      <c r="AC91" s="31">
        <f t="shared" si="35"/>
        <v>5</v>
      </c>
      <c r="AD91" s="31" t="str">
        <f t="shared" si="36"/>
        <v/>
      </c>
      <c r="AE91" s="31">
        <f t="shared" si="37"/>
        <v>6</v>
      </c>
      <c r="AF91" s="31" t="str">
        <f t="shared" si="38"/>
        <v/>
      </c>
      <c r="AG91" s="25">
        <v>9</v>
      </c>
      <c r="AH91" s="25">
        <v>5</v>
      </c>
      <c r="AI91" s="25">
        <v>6</v>
      </c>
      <c r="AJ91" s="23" t="s">
        <v>206</v>
      </c>
      <c r="AK91" s="23" t="s">
        <v>92</v>
      </c>
      <c r="AL91" s="25">
        <v>293</v>
      </c>
      <c r="AO91" s="32" t="str">
        <f t="shared" si="39"/>
        <v>5 doors</v>
      </c>
      <c r="AQ91" s="23" t="s">
        <v>32</v>
      </c>
      <c r="AR91" s="23" t="str">
        <f t="shared" si="40"/>
        <v>CC</v>
      </c>
      <c r="AS91" s="34">
        <f t="shared" si="41"/>
        <v>1590</v>
      </c>
      <c r="AT91" s="23">
        <v>15</v>
      </c>
      <c r="AU91" s="23">
        <v>90</v>
      </c>
      <c r="AV91" s="23">
        <v>0</v>
      </c>
    </row>
    <row r="92" spans="1:48">
      <c r="A92" s="25">
        <v>282</v>
      </c>
      <c r="D92" s="23">
        <v>4</v>
      </c>
      <c r="E92" s="25" t="s">
        <v>30</v>
      </c>
      <c r="F92" s="25" t="s">
        <v>30</v>
      </c>
      <c r="G92" s="23" t="s">
        <v>27</v>
      </c>
      <c r="H92" s="23" t="s">
        <v>170</v>
      </c>
      <c r="I92" s="25">
        <v>1977</v>
      </c>
      <c r="J92" s="35">
        <v>30</v>
      </c>
      <c r="K92" s="35">
        <v>40</v>
      </c>
      <c r="L92" s="35">
        <v>20</v>
      </c>
      <c r="M92" s="25">
        <v>10</v>
      </c>
      <c r="N92" s="25">
        <v>10</v>
      </c>
      <c r="O92" s="25">
        <v>10</v>
      </c>
      <c r="P92" s="25">
        <v>10</v>
      </c>
      <c r="R92" s="30">
        <f t="shared" si="28"/>
        <v>40</v>
      </c>
      <c r="S92" s="30">
        <f t="shared" si="29"/>
        <v>21.373142857142859</v>
      </c>
      <c r="T92" s="30">
        <f t="shared" si="30"/>
        <v>27.402476190476193</v>
      </c>
      <c r="U92" s="25">
        <v>62</v>
      </c>
      <c r="V92" s="31">
        <f t="shared" si="31"/>
        <v>220.32000000000002</v>
      </c>
      <c r="W92" s="25">
        <v>162</v>
      </c>
      <c r="X92" s="25">
        <v>15</v>
      </c>
      <c r="Y92" s="25">
        <v>152</v>
      </c>
      <c r="Z92" s="31">
        <f t="shared" si="32"/>
        <v>200</v>
      </c>
      <c r="AA92" s="31">
        <f t="shared" si="33"/>
        <v>2</v>
      </c>
      <c r="AB92" s="31">
        <f t="shared" si="34"/>
        <v>8</v>
      </c>
      <c r="AC92" s="31">
        <f t="shared" si="35"/>
        <v>7</v>
      </c>
      <c r="AD92" s="31" t="str">
        <f t="shared" si="36"/>
        <v/>
      </c>
      <c r="AE92" s="31" t="str">
        <f t="shared" si="37"/>
        <v/>
      </c>
      <c r="AF92" s="31" t="str">
        <f t="shared" si="38"/>
        <v/>
      </c>
      <c r="AG92" s="25">
        <v>10</v>
      </c>
      <c r="AH92" s="25">
        <v>7</v>
      </c>
      <c r="AI92" s="25">
        <v>0</v>
      </c>
      <c r="AJ92" s="23" t="s">
        <v>206</v>
      </c>
      <c r="AK92" s="23" t="s">
        <v>92</v>
      </c>
      <c r="AL92" s="25">
        <v>282</v>
      </c>
      <c r="AO92" s="32" t="str">
        <f t="shared" si="39"/>
        <v>4 doors</v>
      </c>
      <c r="AQ92" s="23" t="s">
        <v>32</v>
      </c>
      <c r="AR92" s="23" t="str">
        <f t="shared" si="40"/>
        <v>CC</v>
      </c>
      <c r="AS92" s="34">
        <f t="shared" si="41"/>
        <v>1600</v>
      </c>
      <c r="AT92" s="23">
        <v>16</v>
      </c>
      <c r="AU92" s="23">
        <v>0</v>
      </c>
      <c r="AV92" s="23">
        <v>0</v>
      </c>
    </row>
    <row r="93" spans="1:48">
      <c r="A93" s="25">
        <v>282</v>
      </c>
      <c r="D93" s="23">
        <v>4</v>
      </c>
      <c r="E93" s="25" t="s">
        <v>85</v>
      </c>
      <c r="F93" s="25" t="s">
        <v>85</v>
      </c>
      <c r="G93" s="23" t="s">
        <v>27</v>
      </c>
      <c r="H93" s="23" t="s">
        <v>170</v>
      </c>
      <c r="I93" s="25">
        <v>1977</v>
      </c>
      <c r="J93" s="35">
        <v>30</v>
      </c>
      <c r="K93" s="35">
        <v>40</v>
      </c>
      <c r="L93" s="35">
        <v>20</v>
      </c>
      <c r="M93" s="25">
        <v>10</v>
      </c>
      <c r="N93" s="25">
        <v>10</v>
      </c>
      <c r="O93" s="25">
        <v>10</v>
      </c>
      <c r="P93" s="25">
        <v>10</v>
      </c>
      <c r="R93" s="30">
        <f t="shared" si="28"/>
        <v>40</v>
      </c>
      <c r="S93" s="30">
        <f t="shared" si="29"/>
        <v>21.373142857142859</v>
      </c>
      <c r="T93" s="30">
        <f t="shared" si="30"/>
        <v>27.402476190476193</v>
      </c>
      <c r="U93" s="25">
        <v>62</v>
      </c>
      <c r="V93" s="31">
        <f t="shared" si="31"/>
        <v>220.32000000000002</v>
      </c>
      <c r="W93" s="25">
        <v>162</v>
      </c>
      <c r="X93" s="25">
        <v>15</v>
      </c>
      <c r="Y93" s="25">
        <v>152</v>
      </c>
      <c r="Z93" s="31">
        <f t="shared" si="32"/>
        <v>200</v>
      </c>
      <c r="AA93" s="31">
        <f t="shared" si="33"/>
        <v>2</v>
      </c>
      <c r="AB93" s="31">
        <f t="shared" si="34"/>
        <v>8</v>
      </c>
      <c r="AC93" s="31">
        <f t="shared" si="35"/>
        <v>7</v>
      </c>
      <c r="AD93" s="31" t="str">
        <f t="shared" si="36"/>
        <v/>
      </c>
      <c r="AE93" s="31" t="str">
        <f t="shared" si="37"/>
        <v/>
      </c>
      <c r="AF93" s="31" t="str">
        <f t="shared" si="38"/>
        <v/>
      </c>
      <c r="AG93" s="25">
        <v>10</v>
      </c>
      <c r="AH93" s="25">
        <v>7</v>
      </c>
      <c r="AI93" s="25">
        <v>0</v>
      </c>
      <c r="AJ93" s="23" t="s">
        <v>206</v>
      </c>
      <c r="AK93" s="23" t="s">
        <v>92</v>
      </c>
      <c r="AL93" s="25">
        <v>282</v>
      </c>
      <c r="AO93" s="32" t="str">
        <f t="shared" si="39"/>
        <v>4 doors</v>
      </c>
      <c r="AQ93" s="23" t="s">
        <v>32</v>
      </c>
      <c r="AR93" s="23" t="str">
        <f t="shared" si="40"/>
        <v>Hungary</v>
      </c>
      <c r="AS93" s="34">
        <f t="shared" si="41"/>
        <v>1600.01</v>
      </c>
      <c r="AT93" s="23">
        <v>16</v>
      </c>
      <c r="AU93" s="23">
        <v>0</v>
      </c>
      <c r="AV93" s="23">
        <v>1</v>
      </c>
    </row>
    <row r="94" spans="1:48">
      <c r="A94" s="25">
        <v>284</v>
      </c>
      <c r="D94" s="23">
        <v>4</v>
      </c>
      <c r="E94" s="25" t="s">
        <v>30</v>
      </c>
      <c r="F94" s="25" t="s">
        <v>30</v>
      </c>
      <c r="G94" s="23" t="s">
        <v>27</v>
      </c>
      <c r="H94" s="23" t="s">
        <v>172</v>
      </c>
      <c r="I94" s="25">
        <v>1984</v>
      </c>
      <c r="J94" s="35">
        <v>30</v>
      </c>
      <c r="K94" s="35">
        <v>40</v>
      </c>
      <c r="L94" s="35">
        <v>20</v>
      </c>
      <c r="M94" s="25">
        <v>12</v>
      </c>
      <c r="N94" s="25">
        <v>12</v>
      </c>
      <c r="O94" s="25">
        <v>12</v>
      </c>
      <c r="P94" s="25">
        <v>6</v>
      </c>
      <c r="R94" s="30">
        <f t="shared" si="28"/>
        <v>42</v>
      </c>
      <c r="S94" s="30">
        <f t="shared" si="29"/>
        <v>22.832000000000001</v>
      </c>
      <c r="T94" s="30">
        <f t="shared" si="30"/>
        <v>29.490666666666669</v>
      </c>
      <c r="U94" s="25">
        <v>67</v>
      </c>
      <c r="V94" s="31">
        <f t="shared" si="31"/>
        <v>236.64000000000001</v>
      </c>
      <c r="W94" s="25">
        <v>174</v>
      </c>
      <c r="X94" s="25">
        <v>16</v>
      </c>
      <c r="Y94" s="25">
        <v>184</v>
      </c>
      <c r="Z94" s="31">
        <f t="shared" si="32"/>
        <v>200</v>
      </c>
      <c r="AA94" s="31">
        <f t="shared" si="33"/>
        <v>2</v>
      </c>
      <c r="AB94" s="31">
        <f t="shared" si="34"/>
        <v>8</v>
      </c>
      <c r="AC94" s="31">
        <f t="shared" si="35"/>
        <v>7</v>
      </c>
      <c r="AD94" s="31" t="str">
        <f t="shared" si="36"/>
        <v/>
      </c>
      <c r="AE94" s="31" t="str">
        <f t="shared" si="37"/>
        <v/>
      </c>
      <c r="AF94" s="31" t="str">
        <f t="shared" si="38"/>
        <v/>
      </c>
      <c r="AG94" s="25">
        <v>10</v>
      </c>
      <c r="AH94" s="25">
        <v>7</v>
      </c>
      <c r="AI94" s="25">
        <v>0</v>
      </c>
      <c r="AJ94" s="23" t="s">
        <v>206</v>
      </c>
      <c r="AK94" s="23" t="s">
        <v>92</v>
      </c>
      <c r="AL94" s="25">
        <v>284</v>
      </c>
      <c r="AO94" s="32" t="str">
        <f t="shared" si="39"/>
        <v>4 doors</v>
      </c>
      <c r="AQ94" s="23" t="s">
        <v>32</v>
      </c>
      <c r="AR94" s="23" t="str">
        <f t="shared" si="40"/>
        <v>CC</v>
      </c>
      <c r="AS94" s="34">
        <f t="shared" si="41"/>
        <v>1800</v>
      </c>
      <c r="AT94" s="23">
        <v>18</v>
      </c>
      <c r="AU94" s="23">
        <v>0</v>
      </c>
      <c r="AV94" s="23">
        <v>0</v>
      </c>
    </row>
    <row r="95" spans="1:48">
      <c r="A95" s="25">
        <v>284</v>
      </c>
      <c r="D95" s="23">
        <v>4</v>
      </c>
      <c r="E95" s="25" t="s">
        <v>42</v>
      </c>
      <c r="F95" s="25" t="s">
        <v>42</v>
      </c>
      <c r="G95" s="23" t="s">
        <v>27</v>
      </c>
      <c r="H95" s="23" t="s">
        <v>172</v>
      </c>
      <c r="I95" s="25">
        <v>1984</v>
      </c>
      <c r="J95" s="35">
        <v>30</v>
      </c>
      <c r="K95" s="35">
        <v>40</v>
      </c>
      <c r="L95" s="35">
        <v>20</v>
      </c>
      <c r="M95" s="25">
        <v>10</v>
      </c>
      <c r="N95" s="25">
        <v>10</v>
      </c>
      <c r="O95" s="25">
        <v>10</v>
      </c>
      <c r="P95" s="25">
        <v>6</v>
      </c>
      <c r="R95" s="30">
        <f t="shared" si="28"/>
        <v>36</v>
      </c>
      <c r="S95" s="30">
        <f t="shared" si="29"/>
        <v>22.403428571428574</v>
      </c>
      <c r="T95" s="30">
        <f t="shared" si="30"/>
        <v>29.062095238095242</v>
      </c>
      <c r="U95" s="25">
        <v>67</v>
      </c>
      <c r="V95" s="31">
        <f t="shared" si="31"/>
        <v>236.64000000000001</v>
      </c>
      <c r="W95" s="25">
        <v>174</v>
      </c>
      <c r="X95" s="25">
        <v>16</v>
      </c>
      <c r="Y95" s="25">
        <v>184</v>
      </c>
      <c r="Z95" s="31">
        <f t="shared" si="32"/>
        <v>200</v>
      </c>
      <c r="AA95" s="31">
        <f t="shared" si="33"/>
        <v>2</v>
      </c>
      <c r="AB95" s="31">
        <f t="shared" si="34"/>
        <v>8</v>
      </c>
      <c r="AC95" s="31">
        <f t="shared" si="35"/>
        <v>7</v>
      </c>
      <c r="AD95" s="31" t="str">
        <f t="shared" si="36"/>
        <v/>
      </c>
      <c r="AE95" s="31" t="str">
        <f t="shared" si="37"/>
        <v/>
      </c>
      <c r="AF95" s="31" t="str">
        <f t="shared" si="38"/>
        <v/>
      </c>
      <c r="AG95" s="25">
        <v>10</v>
      </c>
      <c r="AH95" s="25">
        <v>7</v>
      </c>
      <c r="AI95" s="25">
        <v>0</v>
      </c>
      <c r="AJ95" s="23" t="s">
        <v>206</v>
      </c>
      <c r="AK95" s="23" t="s">
        <v>92</v>
      </c>
      <c r="AL95" s="25">
        <v>284</v>
      </c>
      <c r="AO95" s="32" t="str">
        <f t="shared" si="39"/>
        <v>4 doors</v>
      </c>
      <c r="AQ95" s="23" t="s">
        <v>32</v>
      </c>
      <c r="AR95" s="23" t="str">
        <f t="shared" si="40"/>
        <v>CC</v>
      </c>
      <c r="AS95" s="34">
        <f t="shared" si="41"/>
        <v>1800.01</v>
      </c>
      <c r="AT95" s="23">
        <v>18</v>
      </c>
      <c r="AU95" s="23">
        <v>0</v>
      </c>
      <c r="AV95" s="23">
        <v>1</v>
      </c>
    </row>
    <row r="96" spans="1:48">
      <c r="A96" s="25">
        <v>284</v>
      </c>
      <c r="D96" s="23">
        <v>4</v>
      </c>
      <c r="E96" s="25" t="s">
        <v>96</v>
      </c>
      <c r="F96" s="25" t="s">
        <v>30</v>
      </c>
      <c r="G96" s="23" t="s">
        <v>27</v>
      </c>
      <c r="H96" s="23" t="s">
        <v>172</v>
      </c>
      <c r="I96" s="25">
        <v>1984</v>
      </c>
      <c r="J96" s="35">
        <v>30</v>
      </c>
      <c r="K96" s="35">
        <v>40</v>
      </c>
      <c r="L96" s="35">
        <v>20</v>
      </c>
      <c r="M96" s="25">
        <v>10</v>
      </c>
      <c r="N96" s="25">
        <v>10</v>
      </c>
      <c r="O96" s="25">
        <v>10</v>
      </c>
      <c r="P96" s="25">
        <v>6</v>
      </c>
      <c r="R96" s="30">
        <f t="shared" si="28"/>
        <v>36</v>
      </c>
      <c r="S96" s="30">
        <f t="shared" si="29"/>
        <v>22.403428571428574</v>
      </c>
      <c r="T96" s="30">
        <f t="shared" si="30"/>
        <v>29.062095238095242</v>
      </c>
      <c r="U96" s="25">
        <v>67</v>
      </c>
      <c r="V96" s="31">
        <f t="shared" si="31"/>
        <v>236.64000000000001</v>
      </c>
      <c r="W96" s="25">
        <v>174</v>
      </c>
      <c r="X96" s="25">
        <v>16</v>
      </c>
      <c r="Y96" s="25">
        <v>184</v>
      </c>
      <c r="Z96" s="31">
        <f t="shared" si="32"/>
        <v>200</v>
      </c>
      <c r="AA96" s="31">
        <f t="shared" si="33"/>
        <v>2</v>
      </c>
      <c r="AB96" s="31">
        <f t="shared" si="34"/>
        <v>8</v>
      </c>
      <c r="AC96" s="31">
        <f t="shared" si="35"/>
        <v>7</v>
      </c>
      <c r="AD96" s="31" t="str">
        <f t="shared" si="36"/>
        <v/>
      </c>
      <c r="AE96" s="31" t="str">
        <f t="shared" si="37"/>
        <v/>
      </c>
      <c r="AF96" s="31" t="str">
        <f t="shared" si="38"/>
        <v/>
      </c>
      <c r="AG96" s="25">
        <v>10</v>
      </c>
      <c r="AH96" s="25">
        <v>7</v>
      </c>
      <c r="AI96" s="25">
        <v>0</v>
      </c>
      <c r="AJ96" s="23" t="s">
        <v>206</v>
      </c>
      <c r="AK96" s="23" t="s">
        <v>92</v>
      </c>
      <c r="AL96" s="25">
        <v>284</v>
      </c>
      <c r="AO96" s="32" t="str">
        <f t="shared" si="39"/>
        <v>4 doors</v>
      </c>
      <c r="AQ96" s="23" t="s">
        <v>32</v>
      </c>
      <c r="AR96" s="23" t="str">
        <f t="shared" si="40"/>
        <v>Hungary</v>
      </c>
      <c r="AS96" s="34">
        <f t="shared" si="41"/>
        <v>1800.02</v>
      </c>
      <c r="AT96" s="23">
        <v>18</v>
      </c>
      <c r="AU96" s="23">
        <v>0</v>
      </c>
      <c r="AV96" s="23">
        <v>2</v>
      </c>
    </row>
    <row r="97" spans="1:48">
      <c r="A97" s="25">
        <v>284</v>
      </c>
      <c r="D97" s="23">
        <v>4</v>
      </c>
      <c r="E97" s="25" t="s">
        <v>97</v>
      </c>
      <c r="F97" s="25" t="s">
        <v>42</v>
      </c>
      <c r="G97" s="23" t="s">
        <v>27</v>
      </c>
      <c r="H97" s="23" t="s">
        <v>172</v>
      </c>
      <c r="I97" s="25">
        <v>1984</v>
      </c>
      <c r="J97" s="35">
        <v>30</v>
      </c>
      <c r="K97" s="35">
        <v>40</v>
      </c>
      <c r="L97" s="35">
        <v>20</v>
      </c>
      <c r="M97" s="25">
        <v>10</v>
      </c>
      <c r="N97" s="25">
        <v>10</v>
      </c>
      <c r="O97" s="25">
        <v>10</v>
      </c>
      <c r="P97" s="25">
        <v>6</v>
      </c>
      <c r="R97" s="30">
        <f t="shared" si="28"/>
        <v>36</v>
      </c>
      <c r="S97" s="30">
        <f t="shared" si="29"/>
        <v>22.403428571428574</v>
      </c>
      <c r="T97" s="30">
        <f t="shared" si="30"/>
        <v>29.062095238095242</v>
      </c>
      <c r="U97" s="25">
        <v>67</v>
      </c>
      <c r="V97" s="31">
        <f t="shared" si="31"/>
        <v>236.64000000000001</v>
      </c>
      <c r="W97" s="25">
        <v>174</v>
      </c>
      <c r="X97" s="25">
        <v>16</v>
      </c>
      <c r="Y97" s="25">
        <v>184</v>
      </c>
      <c r="Z97" s="31">
        <f t="shared" si="32"/>
        <v>200</v>
      </c>
      <c r="AA97" s="31">
        <f t="shared" si="33"/>
        <v>2</v>
      </c>
      <c r="AB97" s="31">
        <f t="shared" si="34"/>
        <v>8</v>
      </c>
      <c r="AC97" s="31">
        <f t="shared" si="35"/>
        <v>7</v>
      </c>
      <c r="AD97" s="31" t="str">
        <f t="shared" si="36"/>
        <v/>
      </c>
      <c r="AE97" s="31" t="str">
        <f t="shared" si="37"/>
        <v/>
      </c>
      <c r="AF97" s="31" t="str">
        <f t="shared" si="38"/>
        <v/>
      </c>
      <c r="AG97" s="25">
        <v>10</v>
      </c>
      <c r="AH97" s="25">
        <v>7</v>
      </c>
      <c r="AI97" s="25">
        <v>0</v>
      </c>
      <c r="AJ97" s="23" t="s">
        <v>206</v>
      </c>
      <c r="AK97" s="23" t="s">
        <v>92</v>
      </c>
      <c r="AL97" s="25">
        <v>284</v>
      </c>
      <c r="AO97" s="32" t="str">
        <f t="shared" si="39"/>
        <v>4 doors</v>
      </c>
      <c r="AQ97" s="23" t="s">
        <v>32</v>
      </c>
      <c r="AR97" s="23" t="str">
        <f t="shared" si="40"/>
        <v>Hungary</v>
      </c>
      <c r="AS97" s="34">
        <f t="shared" si="41"/>
        <v>1800.03</v>
      </c>
      <c r="AT97" s="23">
        <v>18</v>
      </c>
      <c r="AU97" s="23">
        <v>0</v>
      </c>
      <c r="AV97" s="23">
        <v>3</v>
      </c>
    </row>
    <row r="98" spans="1:48">
      <c r="A98" s="25">
        <v>283</v>
      </c>
      <c r="D98" s="23">
        <v>2</v>
      </c>
      <c r="E98" s="25" t="s">
        <v>30</v>
      </c>
      <c r="F98" s="25" t="s">
        <v>30</v>
      </c>
      <c r="G98" s="23" t="s">
        <v>27</v>
      </c>
      <c r="H98" s="23" t="s">
        <v>171</v>
      </c>
      <c r="I98" s="25">
        <v>1987</v>
      </c>
      <c r="J98" s="35">
        <v>30</v>
      </c>
      <c r="K98" s="35">
        <v>40</v>
      </c>
      <c r="L98" s="35">
        <v>20</v>
      </c>
      <c r="M98" s="25">
        <v>10</v>
      </c>
      <c r="N98" s="25">
        <v>10</v>
      </c>
      <c r="R98" s="30">
        <f t="shared" si="28"/>
        <v>20</v>
      </c>
      <c r="S98" s="30">
        <f t="shared" si="29"/>
        <v>21.440571428571428</v>
      </c>
      <c r="T98" s="30">
        <f t="shared" si="30"/>
        <v>28.78590476190476</v>
      </c>
      <c r="U98" s="25">
        <v>89</v>
      </c>
      <c r="V98" s="31">
        <f t="shared" si="31"/>
        <v>250.24</v>
      </c>
      <c r="W98" s="25">
        <v>184</v>
      </c>
      <c r="X98" s="25">
        <v>15</v>
      </c>
      <c r="Y98" s="25">
        <v>125</v>
      </c>
      <c r="Z98" s="31">
        <f t="shared" si="32"/>
        <v>200</v>
      </c>
      <c r="AA98" s="31">
        <f t="shared" si="33"/>
        <v>2</v>
      </c>
      <c r="AB98" s="31">
        <f t="shared" si="34"/>
        <v>8</v>
      </c>
      <c r="AC98" s="31">
        <f t="shared" si="35"/>
        <v>7</v>
      </c>
      <c r="AD98" s="31" t="str">
        <f t="shared" si="36"/>
        <v/>
      </c>
      <c r="AE98" s="31" t="str">
        <f t="shared" si="37"/>
        <v/>
      </c>
      <c r="AF98" s="31" t="str">
        <f t="shared" si="38"/>
        <v/>
      </c>
      <c r="AG98" s="25">
        <v>10</v>
      </c>
      <c r="AH98" s="25">
        <v>7</v>
      </c>
      <c r="AI98" s="25">
        <v>0</v>
      </c>
      <c r="AJ98" s="23" t="s">
        <v>206</v>
      </c>
      <c r="AK98" s="23" t="s">
        <v>92</v>
      </c>
      <c r="AL98" s="25">
        <v>283</v>
      </c>
      <c r="AO98" s="32" t="str">
        <f t="shared" si="39"/>
        <v>2 doors</v>
      </c>
      <c r="AQ98" s="23" t="s">
        <v>270</v>
      </c>
      <c r="AR98" s="23" t="str">
        <f t="shared" si="40"/>
        <v>CC</v>
      </c>
      <c r="AS98" s="34">
        <f t="shared" si="41"/>
        <v>1980</v>
      </c>
      <c r="AT98" s="23">
        <v>19</v>
      </c>
      <c r="AU98" s="23">
        <v>80</v>
      </c>
      <c r="AV98" s="23">
        <v>0</v>
      </c>
    </row>
    <row r="99" spans="1:48">
      <c r="A99" s="25">
        <v>315</v>
      </c>
      <c r="D99" s="23">
        <v>2</v>
      </c>
      <c r="E99" s="25" t="s">
        <v>30</v>
      </c>
      <c r="F99" s="25" t="s">
        <v>30</v>
      </c>
      <c r="G99" s="23" t="s">
        <v>27</v>
      </c>
      <c r="H99" s="23" t="s">
        <v>189</v>
      </c>
      <c r="I99" s="25">
        <v>1992</v>
      </c>
      <c r="J99" s="35">
        <v>30</v>
      </c>
      <c r="K99" s="35">
        <v>40</v>
      </c>
      <c r="L99" s="35">
        <v>20</v>
      </c>
      <c r="M99" s="25">
        <v>4</v>
      </c>
      <c r="N99" s="25">
        <v>4</v>
      </c>
      <c r="R99" s="30">
        <f t="shared" ref="R99:R130" si="56">SUM(M99:Q99)</f>
        <v>8</v>
      </c>
      <c r="S99" s="30">
        <f t="shared" ref="S99:S130" si="57">IF(OR(G99="diesel", G99="petrol"), ((X99+(V99/10))/2)+(R99/14), IF(OR(G99="cng", G99="hybrid"), ((X99+(V99/10))/2*1.2)+(R99/14), IF(OR(G99="hydrogen", G99="electric"), ((X99+(V99/10))/2*1.5)+(R99/14), 0)))</f>
        <v>13.887428571428572</v>
      </c>
      <c r="T99" s="30">
        <f t="shared" ref="T99:T130" si="58">IF(G99="petrol", ((X99+(Y99/15)+V99)/10*1.5)+(R99/14), IF(G99="diesel", ((X99+(Y99/15)+V99)/10)+(R99/14), IF(OR(G99="cng", G99="hybrid"), ((X99+(Y99/15)+V99)/10*0.8)+(R99/14), IF(OR(G99="hydrogen", G99="electric"), ((X99+(Y99/15)+V99)/10*0.5)+(R99/14), 0))))</f>
        <v>20.216761904761906</v>
      </c>
      <c r="U99" s="25">
        <v>118</v>
      </c>
      <c r="V99" s="31">
        <f t="shared" ref="V99:V130" si="59">W99*1.36</f>
        <v>186.32000000000002</v>
      </c>
      <c r="W99" s="25">
        <v>137</v>
      </c>
      <c r="X99" s="25">
        <v>8</v>
      </c>
      <c r="Y99" s="25">
        <v>32</v>
      </c>
      <c r="Z99" s="31">
        <f t="shared" ref="Z99:Z130" si="60">IF(AQ99="Regional", 185, IF(AQ99="Intercity", 150, IF(AQ99="Tourist", 100, 200)))</f>
        <v>100</v>
      </c>
      <c r="AA99" s="31">
        <f t="shared" ref="AA99:AA130" si="61">IF(AG99&gt;8, AG99-8, AG99)</f>
        <v>7</v>
      </c>
      <c r="AB99" s="31" t="str">
        <f t="shared" ref="AB99:AB130" si="62">IF(AG99&gt;8, 8, "")</f>
        <v/>
      </c>
      <c r="AC99" s="31" t="str">
        <f t="shared" ref="AC99:AC130" si="63">IF(AH99&gt;8, AH99-8, IF(AH99=0, "", AH99))</f>
        <v/>
      </c>
      <c r="AD99" s="31" t="str">
        <f t="shared" ref="AD99:AD130" si="64">IF(AH99&gt;8, 8, "")</f>
        <v/>
      </c>
      <c r="AE99" s="31" t="str">
        <f t="shared" ref="AE99:AE130" si="65">IF(AI99&gt;8, AI99-8, IF(AI99=0, "", AI99))</f>
        <v/>
      </c>
      <c r="AF99" s="31" t="str">
        <f t="shared" ref="AF99:AF130" si="66">IF(AI99&gt;8, 8, "")</f>
        <v/>
      </c>
      <c r="AG99" s="25">
        <v>7</v>
      </c>
      <c r="AH99" s="25">
        <v>0</v>
      </c>
      <c r="AI99" s="25">
        <v>0</v>
      </c>
      <c r="AJ99" s="23" t="s">
        <v>208</v>
      </c>
      <c r="AK99" s="23" t="s">
        <v>92</v>
      </c>
      <c r="AL99" s="25">
        <v>315</v>
      </c>
      <c r="AO99" s="32" t="str">
        <f t="shared" ref="AO99:AO130" si="67">IF(Q99&gt;0, "5 doors", IF(P99&gt;0, "4 doors", IF(O99&gt;0, "3 doors", IF(N99&gt;0, "2 doors", "1 door"))))</f>
        <v>2 doors</v>
      </c>
      <c r="AQ99" s="23" t="s">
        <v>48</v>
      </c>
      <c r="AR99" s="23" t="str">
        <f t="shared" ref="AR99:AR130" si="68">IF(E99="CC1", "CC", IF(E99="CC2", "CC", IF(E99="CC3", "CC", "Hungary")))</f>
        <v>CC</v>
      </c>
      <c r="AS99" s="34">
        <f t="shared" ref="AS99:AS130" si="69">(AT99*100)+AU99+(AV99/100)</f>
        <v>3000</v>
      </c>
      <c r="AT99" s="23">
        <v>30</v>
      </c>
      <c r="AU99" s="23">
        <v>0</v>
      </c>
      <c r="AV99" s="23">
        <v>0</v>
      </c>
    </row>
    <row r="100" spans="1:48">
      <c r="A100" s="25">
        <v>325</v>
      </c>
      <c r="D100" s="23">
        <v>2</v>
      </c>
      <c r="E100" s="25" t="s">
        <v>30</v>
      </c>
      <c r="F100" s="25" t="s">
        <v>30</v>
      </c>
      <c r="G100" s="23" t="s">
        <v>27</v>
      </c>
      <c r="H100" s="23" t="s">
        <v>248</v>
      </c>
      <c r="I100" s="25">
        <v>1986</v>
      </c>
      <c r="J100" s="35">
        <v>30</v>
      </c>
      <c r="K100" s="35">
        <v>40</v>
      </c>
      <c r="L100" s="35">
        <v>20</v>
      </c>
      <c r="M100" s="25">
        <v>4</v>
      </c>
      <c r="N100" s="25">
        <v>4</v>
      </c>
      <c r="R100" s="30">
        <f t="shared" ref="R100" si="70">SUM(M100:Q100)</f>
        <v>8</v>
      </c>
      <c r="S100" s="30">
        <f t="shared" ref="S100" si="71">IF(OR(G100="diesel", G100="petrol"), ((X100+(V100/10))/2)+(R100/14), IF(OR(G100="cng", G100="hybrid"), ((X100+(V100/10))/2*1.2)+(R100/14), IF(OR(G100="hydrogen", G100="electric"), ((X100+(V100/10))/2*1.5)+(R100/14), 0)))</f>
        <v>14.543428571428572</v>
      </c>
      <c r="T100" s="30">
        <f t="shared" ref="T100" si="72">IF(G100="petrol", ((X100+(Y100/15)+V100)/10*1.5)+(R100/14), IF(G100="diesel", ((X100+(Y100/15)+V100)/10)+(R100/14), IF(OR(G100="cng", G100="hybrid"), ((X100+(Y100/15)+V100)/10*0.8)+(R100/14), IF(OR(G100="hydrogen", G100="electric"), ((X100+(Y100/15)+V100)/10*0.5)+(R100/14), 0))))</f>
        <v>22.415428571428574</v>
      </c>
      <c r="U100" s="25">
        <v>113</v>
      </c>
      <c r="V100" s="31">
        <f t="shared" ref="V100" si="73">W100*1.36</f>
        <v>209.44000000000003</v>
      </c>
      <c r="W100" s="25">
        <v>154</v>
      </c>
      <c r="X100" s="25">
        <v>7</v>
      </c>
      <c r="Y100" s="25">
        <v>30</v>
      </c>
      <c r="Z100" s="31">
        <f t="shared" ref="Z100" si="74">IF(AQ100="Regional", 185, IF(AQ100="Intercity", 150, IF(AQ100="Tourist", 100, 200)))</f>
        <v>100</v>
      </c>
      <c r="AA100" s="31">
        <f t="shared" si="61"/>
        <v>8</v>
      </c>
      <c r="AB100" s="31" t="str">
        <f t="shared" ref="AB100" si="75">IF(AG100&gt;8, 8, "")</f>
        <v/>
      </c>
      <c r="AC100" s="31" t="str">
        <f t="shared" ref="AC100" si="76">IF(AH100&gt;8, AH100-8, IF(AH100=0, "", AH100))</f>
        <v/>
      </c>
      <c r="AD100" s="31" t="str">
        <f t="shared" ref="AD100" si="77">IF(AH100&gt;8, 8, "")</f>
        <v/>
      </c>
      <c r="AE100" s="31" t="str">
        <f t="shared" ref="AE100" si="78">IF(AI100&gt;8, AI100-8, IF(AI100=0, "", AI100))</f>
        <v/>
      </c>
      <c r="AF100" s="31" t="str">
        <f t="shared" ref="AF100" si="79">IF(AI100&gt;8, 8, "")</f>
        <v/>
      </c>
      <c r="AG100" s="25">
        <v>8</v>
      </c>
      <c r="AH100" s="25">
        <v>0</v>
      </c>
      <c r="AI100" s="25">
        <v>0</v>
      </c>
      <c r="AJ100" s="23" t="s">
        <v>208</v>
      </c>
      <c r="AK100" s="23" t="s">
        <v>92</v>
      </c>
      <c r="AL100" s="25">
        <v>325</v>
      </c>
      <c r="AO100" s="32" t="str">
        <f t="shared" ref="AO100" si="80">IF(Q100&gt;0, "5 doors", IF(P100&gt;0, "4 doors", IF(O100&gt;0, "3 doors", IF(N100&gt;0, "2 doors", "1 door"))))</f>
        <v>2 doors</v>
      </c>
      <c r="AQ100" s="23" t="s">
        <v>48</v>
      </c>
      <c r="AR100" s="23" t="str">
        <f t="shared" ref="AR100" si="81">IF(E100="CC1", "CC", IF(E100="CC2", "CC", IF(E100="CC3", "CC", "Hungary")))</f>
        <v>CC</v>
      </c>
      <c r="AS100" s="34">
        <f t="shared" ref="AS100" si="82">(AT100*100)+AU100+(AV100/100)</f>
        <v>3010</v>
      </c>
      <c r="AT100" s="23">
        <v>30</v>
      </c>
      <c r="AU100" s="23">
        <v>10</v>
      </c>
      <c r="AV100" s="23">
        <v>0</v>
      </c>
    </row>
    <row r="101" spans="1:48">
      <c r="A101" s="25">
        <v>350</v>
      </c>
      <c r="D101" s="23">
        <v>2</v>
      </c>
      <c r="E101" s="25" t="s">
        <v>30</v>
      </c>
      <c r="F101" s="25" t="s">
        <v>30</v>
      </c>
      <c r="G101" s="23" t="s">
        <v>27</v>
      </c>
      <c r="H101" s="23" t="s">
        <v>190</v>
      </c>
      <c r="I101" s="25">
        <v>1988</v>
      </c>
      <c r="J101" s="35">
        <v>30</v>
      </c>
      <c r="K101" s="35">
        <v>40</v>
      </c>
      <c r="L101" s="35">
        <v>20</v>
      </c>
      <c r="M101" s="25">
        <v>4</v>
      </c>
      <c r="N101" s="25">
        <v>4</v>
      </c>
      <c r="R101" s="30">
        <f t="shared" si="56"/>
        <v>8</v>
      </c>
      <c r="S101" s="30">
        <f t="shared" si="57"/>
        <v>20.851428571428574</v>
      </c>
      <c r="T101" s="30">
        <f t="shared" si="58"/>
        <v>30.664761904761907</v>
      </c>
      <c r="U101" s="25">
        <v>117</v>
      </c>
      <c r="V101" s="31">
        <f t="shared" si="59"/>
        <v>285.60000000000002</v>
      </c>
      <c r="W101" s="25">
        <v>210</v>
      </c>
      <c r="X101" s="25">
        <v>12</v>
      </c>
      <c r="Y101" s="25">
        <v>50</v>
      </c>
      <c r="Z101" s="31">
        <f t="shared" si="60"/>
        <v>100</v>
      </c>
      <c r="AA101" s="31">
        <f t="shared" si="61"/>
        <v>3</v>
      </c>
      <c r="AB101" s="31">
        <f t="shared" si="62"/>
        <v>8</v>
      </c>
      <c r="AC101" s="31" t="str">
        <f t="shared" si="63"/>
        <v/>
      </c>
      <c r="AD101" s="31" t="str">
        <f t="shared" si="64"/>
        <v/>
      </c>
      <c r="AE101" s="31" t="str">
        <f t="shared" si="65"/>
        <v/>
      </c>
      <c r="AF101" s="31" t="str">
        <f t="shared" si="66"/>
        <v/>
      </c>
      <c r="AG101" s="25">
        <v>11</v>
      </c>
      <c r="AH101" s="25">
        <v>0</v>
      </c>
      <c r="AI101" s="25">
        <v>0</v>
      </c>
      <c r="AJ101" s="23" t="s">
        <v>208</v>
      </c>
      <c r="AK101" s="23" t="s">
        <v>92</v>
      </c>
      <c r="AL101" s="25">
        <v>350</v>
      </c>
      <c r="AO101" s="32" t="str">
        <f t="shared" si="67"/>
        <v>2 doors</v>
      </c>
      <c r="AQ101" s="23" t="s">
        <v>48</v>
      </c>
      <c r="AR101" s="23" t="str">
        <f t="shared" si="68"/>
        <v>CC</v>
      </c>
      <c r="AS101" s="34">
        <f t="shared" si="69"/>
        <v>3100</v>
      </c>
      <c r="AT101" s="23">
        <v>31</v>
      </c>
      <c r="AU101" s="23">
        <v>0</v>
      </c>
      <c r="AV101" s="23">
        <v>0</v>
      </c>
    </row>
    <row r="102" spans="1:48">
      <c r="A102" s="25">
        <v>386</v>
      </c>
      <c r="D102" s="23">
        <v>2</v>
      </c>
      <c r="E102" s="25" t="s">
        <v>30</v>
      </c>
      <c r="F102" s="25" t="s">
        <v>30</v>
      </c>
      <c r="G102" s="23" t="s">
        <v>27</v>
      </c>
      <c r="H102" s="23" t="s">
        <v>226</v>
      </c>
      <c r="I102" s="25">
        <v>1986</v>
      </c>
      <c r="J102" s="35">
        <v>30</v>
      </c>
      <c r="K102" s="35">
        <v>40</v>
      </c>
      <c r="L102" s="35">
        <v>20</v>
      </c>
      <c r="M102" s="25">
        <v>4</v>
      </c>
      <c r="N102" s="25">
        <v>4</v>
      </c>
      <c r="R102" s="30">
        <f t="shared" si="56"/>
        <v>8</v>
      </c>
      <c r="S102" s="30">
        <f t="shared" si="57"/>
        <v>22.551428571428573</v>
      </c>
      <c r="T102" s="30">
        <f t="shared" si="58"/>
        <v>34.058095238095234</v>
      </c>
      <c r="U102" s="25">
        <v>113</v>
      </c>
      <c r="V102" s="31">
        <f t="shared" si="59"/>
        <v>319.60000000000002</v>
      </c>
      <c r="W102" s="25">
        <v>235</v>
      </c>
      <c r="X102" s="25">
        <v>12</v>
      </c>
      <c r="Y102" s="25">
        <v>49</v>
      </c>
      <c r="Z102" s="31">
        <f t="shared" si="60"/>
        <v>150</v>
      </c>
      <c r="AA102" s="31">
        <f t="shared" si="61"/>
        <v>3</v>
      </c>
      <c r="AB102" s="31">
        <f t="shared" si="62"/>
        <v>8</v>
      </c>
      <c r="AC102" s="31" t="str">
        <f t="shared" si="63"/>
        <v/>
      </c>
      <c r="AD102" s="31" t="str">
        <f t="shared" si="64"/>
        <v/>
      </c>
      <c r="AE102" s="31" t="str">
        <f t="shared" si="65"/>
        <v/>
      </c>
      <c r="AF102" s="31" t="str">
        <f t="shared" si="66"/>
        <v/>
      </c>
      <c r="AG102" s="25">
        <v>11</v>
      </c>
      <c r="AH102" s="25">
        <v>0</v>
      </c>
      <c r="AI102" s="25">
        <v>0</v>
      </c>
      <c r="AJ102" s="23" t="s">
        <v>208</v>
      </c>
      <c r="AK102" s="23" t="s">
        <v>92</v>
      </c>
      <c r="AL102" s="25">
        <v>386</v>
      </c>
      <c r="AO102" s="32" t="str">
        <f t="shared" si="67"/>
        <v>2 doors</v>
      </c>
      <c r="AQ102" s="23" t="s">
        <v>47</v>
      </c>
      <c r="AR102" s="23" t="str">
        <f t="shared" si="68"/>
        <v>CC</v>
      </c>
      <c r="AS102" s="34">
        <f t="shared" si="69"/>
        <v>3200</v>
      </c>
      <c r="AT102" s="23">
        <v>32</v>
      </c>
      <c r="AU102" s="23">
        <v>0</v>
      </c>
      <c r="AV102" s="23">
        <v>0</v>
      </c>
    </row>
    <row r="103" spans="1:48">
      <c r="A103" s="25">
        <v>397</v>
      </c>
      <c r="D103" s="23">
        <v>2</v>
      </c>
      <c r="E103" s="25" t="s">
        <v>30</v>
      </c>
      <c r="F103" s="25" t="s">
        <v>30</v>
      </c>
      <c r="G103" s="23" t="s">
        <v>27</v>
      </c>
      <c r="H103" s="23" t="s">
        <v>191</v>
      </c>
      <c r="I103" s="25">
        <v>1993</v>
      </c>
      <c r="J103" s="35">
        <v>30</v>
      </c>
      <c r="K103" s="35">
        <v>40</v>
      </c>
      <c r="L103" s="35">
        <v>20</v>
      </c>
      <c r="M103" s="25">
        <v>4</v>
      </c>
      <c r="N103" s="25">
        <v>6</v>
      </c>
      <c r="R103" s="30">
        <f t="shared" si="56"/>
        <v>10</v>
      </c>
      <c r="S103" s="30">
        <f t="shared" si="57"/>
        <v>27.370285714285714</v>
      </c>
      <c r="T103" s="30">
        <f t="shared" si="58"/>
        <v>39.132952380952382</v>
      </c>
      <c r="U103" s="25">
        <v>123</v>
      </c>
      <c r="V103" s="31">
        <f t="shared" si="59"/>
        <v>363.12</v>
      </c>
      <c r="W103" s="25">
        <v>267</v>
      </c>
      <c r="X103" s="25">
        <v>17</v>
      </c>
      <c r="Y103" s="25">
        <v>61</v>
      </c>
      <c r="Z103" s="31">
        <f t="shared" si="60"/>
        <v>150</v>
      </c>
      <c r="AA103" s="31">
        <f t="shared" si="61"/>
        <v>3</v>
      </c>
      <c r="AB103" s="31">
        <f t="shared" si="62"/>
        <v>8</v>
      </c>
      <c r="AC103" s="31" t="str">
        <f t="shared" si="63"/>
        <v/>
      </c>
      <c r="AD103" s="31" t="str">
        <f t="shared" si="64"/>
        <v/>
      </c>
      <c r="AE103" s="31" t="str">
        <f t="shared" si="65"/>
        <v/>
      </c>
      <c r="AF103" s="31" t="str">
        <f t="shared" si="66"/>
        <v/>
      </c>
      <c r="AG103" s="25">
        <v>11</v>
      </c>
      <c r="AH103" s="25">
        <v>0</v>
      </c>
      <c r="AI103" s="25">
        <v>0</v>
      </c>
      <c r="AJ103" s="23" t="s">
        <v>208</v>
      </c>
      <c r="AK103" s="23" t="s">
        <v>92</v>
      </c>
      <c r="AL103" s="25">
        <v>397</v>
      </c>
      <c r="AO103" s="32" t="str">
        <f t="shared" si="67"/>
        <v>2 doors</v>
      </c>
      <c r="AQ103" s="23" t="s">
        <v>47</v>
      </c>
      <c r="AR103" s="23" t="str">
        <f t="shared" si="68"/>
        <v>CC</v>
      </c>
      <c r="AS103" s="34">
        <f t="shared" si="69"/>
        <v>3300</v>
      </c>
      <c r="AT103" s="23">
        <v>33</v>
      </c>
      <c r="AU103" s="23">
        <v>0</v>
      </c>
      <c r="AV103" s="23">
        <v>0</v>
      </c>
    </row>
    <row r="104" spans="1:48">
      <c r="A104" s="25">
        <v>397</v>
      </c>
      <c r="D104" s="23">
        <v>2</v>
      </c>
      <c r="E104" s="25" t="s">
        <v>211</v>
      </c>
      <c r="F104" s="25" t="s">
        <v>211</v>
      </c>
      <c r="G104" s="23" t="s">
        <v>27</v>
      </c>
      <c r="H104" s="23" t="s">
        <v>191</v>
      </c>
      <c r="I104" s="25">
        <v>1993</v>
      </c>
      <c r="J104" s="35">
        <v>30</v>
      </c>
      <c r="K104" s="35">
        <v>40</v>
      </c>
      <c r="L104" s="35">
        <v>20</v>
      </c>
      <c r="M104" s="25">
        <v>4</v>
      </c>
      <c r="N104" s="25">
        <v>6</v>
      </c>
      <c r="R104" s="30">
        <f t="shared" si="56"/>
        <v>10</v>
      </c>
      <c r="S104" s="30">
        <f t="shared" si="57"/>
        <v>27.370285714285714</v>
      </c>
      <c r="T104" s="30">
        <f t="shared" si="58"/>
        <v>39.132952380952382</v>
      </c>
      <c r="U104" s="25">
        <v>123</v>
      </c>
      <c r="V104" s="31">
        <f t="shared" si="59"/>
        <v>363.12</v>
      </c>
      <c r="W104" s="25">
        <v>267</v>
      </c>
      <c r="X104" s="25">
        <v>17</v>
      </c>
      <c r="Y104" s="25">
        <v>61</v>
      </c>
      <c r="Z104" s="31">
        <f t="shared" si="60"/>
        <v>150</v>
      </c>
      <c r="AA104" s="31">
        <f t="shared" si="61"/>
        <v>3</v>
      </c>
      <c r="AB104" s="31">
        <f t="shared" si="62"/>
        <v>8</v>
      </c>
      <c r="AC104" s="31" t="str">
        <f t="shared" si="63"/>
        <v/>
      </c>
      <c r="AD104" s="31" t="str">
        <f t="shared" si="64"/>
        <v/>
      </c>
      <c r="AE104" s="31" t="str">
        <f t="shared" si="65"/>
        <v/>
      </c>
      <c r="AF104" s="31" t="str">
        <f t="shared" si="66"/>
        <v/>
      </c>
      <c r="AG104" s="25">
        <v>11</v>
      </c>
      <c r="AH104" s="25">
        <v>0</v>
      </c>
      <c r="AI104" s="25">
        <v>0</v>
      </c>
      <c r="AJ104" s="23" t="s">
        <v>208</v>
      </c>
      <c r="AK104" s="23" t="s">
        <v>92</v>
      </c>
      <c r="AL104" s="25">
        <v>397</v>
      </c>
      <c r="AO104" s="32" t="str">
        <f t="shared" si="67"/>
        <v>2 doors</v>
      </c>
      <c r="AQ104" s="23" t="s">
        <v>47</v>
      </c>
      <c r="AR104" s="23" t="str">
        <f t="shared" si="68"/>
        <v>Hungary</v>
      </c>
      <c r="AS104" s="34">
        <f t="shared" si="69"/>
        <v>3300.01</v>
      </c>
      <c r="AT104" s="23">
        <v>33</v>
      </c>
      <c r="AU104" s="23">
        <v>0</v>
      </c>
      <c r="AV104" s="23">
        <v>1</v>
      </c>
    </row>
    <row r="105" spans="1:48">
      <c r="A105" s="25">
        <v>405</v>
      </c>
      <c r="D105" s="23">
        <v>2</v>
      </c>
      <c r="E105" s="25" t="s">
        <v>30</v>
      </c>
      <c r="F105" s="25" t="s">
        <v>30</v>
      </c>
      <c r="G105" s="23" t="s">
        <v>27</v>
      </c>
      <c r="H105" s="23" t="s">
        <v>174</v>
      </c>
      <c r="I105" s="25">
        <v>1993</v>
      </c>
      <c r="J105" s="35">
        <v>30</v>
      </c>
      <c r="K105" s="35">
        <v>40</v>
      </c>
      <c r="L105" s="35">
        <v>20</v>
      </c>
      <c r="M105" s="25">
        <v>8</v>
      </c>
      <c r="N105" s="25">
        <v>12</v>
      </c>
      <c r="R105" s="30">
        <f t="shared" si="56"/>
        <v>20</v>
      </c>
      <c r="S105" s="30">
        <f t="shared" si="57"/>
        <v>10.796571428571429</v>
      </c>
      <c r="T105" s="30">
        <f t="shared" si="58"/>
        <v>15.971238095238096</v>
      </c>
      <c r="U105" s="25">
        <v>76</v>
      </c>
      <c r="V105" s="31">
        <f t="shared" si="59"/>
        <v>137.36000000000001</v>
      </c>
      <c r="W105" s="25">
        <v>101</v>
      </c>
      <c r="X105" s="25">
        <v>5</v>
      </c>
      <c r="Y105" s="25">
        <v>46</v>
      </c>
      <c r="Z105" s="31">
        <f t="shared" si="60"/>
        <v>200</v>
      </c>
      <c r="AA105" s="31">
        <f t="shared" si="61"/>
        <v>7</v>
      </c>
      <c r="AB105" s="31" t="str">
        <f t="shared" si="62"/>
        <v/>
      </c>
      <c r="AC105" s="31" t="str">
        <f t="shared" si="63"/>
        <v/>
      </c>
      <c r="AD105" s="31" t="str">
        <f t="shared" si="64"/>
        <v/>
      </c>
      <c r="AE105" s="31" t="str">
        <f t="shared" si="65"/>
        <v/>
      </c>
      <c r="AF105" s="31" t="str">
        <f t="shared" si="66"/>
        <v/>
      </c>
      <c r="AG105" s="25">
        <v>7</v>
      </c>
      <c r="AH105" s="25">
        <v>0</v>
      </c>
      <c r="AI105" s="25">
        <v>0</v>
      </c>
      <c r="AJ105" s="23" t="s">
        <v>207</v>
      </c>
      <c r="AK105" s="23" t="s">
        <v>92</v>
      </c>
      <c r="AL105" s="25">
        <v>405</v>
      </c>
      <c r="AO105" s="32" t="str">
        <f t="shared" si="67"/>
        <v>2 doors</v>
      </c>
      <c r="AQ105" s="23" t="s">
        <v>32</v>
      </c>
      <c r="AR105" s="23" t="str">
        <f t="shared" si="68"/>
        <v>CC</v>
      </c>
      <c r="AS105" s="34">
        <f t="shared" si="69"/>
        <v>5000</v>
      </c>
      <c r="AT105" s="23">
        <v>50</v>
      </c>
      <c r="AU105" s="23">
        <v>0</v>
      </c>
      <c r="AV105" s="23">
        <v>0</v>
      </c>
    </row>
    <row r="106" spans="1:48">
      <c r="A106" s="25">
        <v>405</v>
      </c>
      <c r="D106" s="23">
        <v>2</v>
      </c>
      <c r="E106" s="25" t="s">
        <v>85</v>
      </c>
      <c r="F106" s="25" t="s">
        <v>85</v>
      </c>
      <c r="G106" s="23" t="s">
        <v>27</v>
      </c>
      <c r="H106" s="23" t="s">
        <v>174</v>
      </c>
      <c r="I106" s="25">
        <v>1993</v>
      </c>
      <c r="J106" s="35">
        <v>30</v>
      </c>
      <c r="K106" s="35">
        <v>40</v>
      </c>
      <c r="L106" s="35">
        <v>20</v>
      </c>
      <c r="M106" s="25">
        <v>8</v>
      </c>
      <c r="N106" s="25">
        <v>12</v>
      </c>
      <c r="R106" s="30">
        <f t="shared" si="56"/>
        <v>20</v>
      </c>
      <c r="S106" s="30">
        <f t="shared" si="57"/>
        <v>10.796571428571429</v>
      </c>
      <c r="T106" s="30">
        <f t="shared" si="58"/>
        <v>15.971238095238096</v>
      </c>
      <c r="U106" s="25">
        <v>76</v>
      </c>
      <c r="V106" s="31">
        <f t="shared" si="59"/>
        <v>137.36000000000001</v>
      </c>
      <c r="W106" s="25">
        <v>101</v>
      </c>
      <c r="X106" s="25">
        <v>5</v>
      </c>
      <c r="Y106" s="25">
        <v>46</v>
      </c>
      <c r="Z106" s="31">
        <f t="shared" si="60"/>
        <v>200</v>
      </c>
      <c r="AA106" s="31">
        <f t="shared" si="61"/>
        <v>7</v>
      </c>
      <c r="AB106" s="31" t="str">
        <f t="shared" si="62"/>
        <v/>
      </c>
      <c r="AC106" s="31" t="str">
        <f t="shared" si="63"/>
        <v/>
      </c>
      <c r="AD106" s="31" t="str">
        <f t="shared" si="64"/>
        <v/>
      </c>
      <c r="AE106" s="31" t="str">
        <f t="shared" si="65"/>
        <v/>
      </c>
      <c r="AF106" s="31" t="str">
        <f t="shared" si="66"/>
        <v/>
      </c>
      <c r="AG106" s="25">
        <v>7</v>
      </c>
      <c r="AH106" s="25">
        <v>0</v>
      </c>
      <c r="AI106" s="25">
        <v>0</v>
      </c>
      <c r="AJ106" s="23" t="s">
        <v>207</v>
      </c>
      <c r="AK106" s="23" t="s">
        <v>92</v>
      </c>
      <c r="AL106" s="25">
        <v>405</v>
      </c>
      <c r="AO106" s="32" t="str">
        <f t="shared" si="67"/>
        <v>2 doors</v>
      </c>
      <c r="AQ106" s="23" t="s">
        <v>32</v>
      </c>
      <c r="AR106" s="23" t="str">
        <f t="shared" si="68"/>
        <v>Hungary</v>
      </c>
      <c r="AS106" s="34">
        <f t="shared" si="69"/>
        <v>5000.01</v>
      </c>
      <c r="AT106" s="23">
        <v>50</v>
      </c>
      <c r="AU106" s="23">
        <v>0</v>
      </c>
      <c r="AV106" s="23">
        <v>1</v>
      </c>
    </row>
    <row r="107" spans="1:48">
      <c r="A107" s="25">
        <v>415</v>
      </c>
      <c r="B107" s="23" t="s">
        <v>89</v>
      </c>
      <c r="C107" s="23" t="s">
        <v>246</v>
      </c>
      <c r="D107" s="23">
        <v>3</v>
      </c>
      <c r="E107" s="25" t="s">
        <v>30</v>
      </c>
      <c r="F107" s="25" t="s">
        <v>30</v>
      </c>
      <c r="G107" s="23" t="s">
        <v>27</v>
      </c>
      <c r="H107" s="23" t="s">
        <v>178</v>
      </c>
      <c r="I107" s="25">
        <v>1984</v>
      </c>
      <c r="J107" s="35">
        <v>30</v>
      </c>
      <c r="K107" s="35">
        <v>40</v>
      </c>
      <c r="L107" s="35">
        <v>20</v>
      </c>
      <c r="M107" s="25">
        <v>10</v>
      </c>
      <c r="N107" s="25">
        <v>10</v>
      </c>
      <c r="O107" s="25">
        <v>8</v>
      </c>
      <c r="R107" s="30">
        <f t="shared" si="56"/>
        <v>28</v>
      </c>
      <c r="S107" s="30">
        <f t="shared" si="57"/>
        <v>19.968</v>
      </c>
      <c r="T107" s="30">
        <f t="shared" si="58"/>
        <v>27.749333333333333</v>
      </c>
      <c r="U107" s="25">
        <v>71</v>
      </c>
      <c r="V107" s="31">
        <f t="shared" si="59"/>
        <v>239.36</v>
      </c>
      <c r="W107" s="25">
        <v>176</v>
      </c>
      <c r="X107" s="25">
        <v>12</v>
      </c>
      <c r="Y107" s="25">
        <v>92</v>
      </c>
      <c r="Z107" s="31">
        <f t="shared" si="60"/>
        <v>200</v>
      </c>
      <c r="AA107" s="31">
        <f t="shared" si="61"/>
        <v>3</v>
      </c>
      <c r="AB107" s="31">
        <f t="shared" si="62"/>
        <v>8</v>
      </c>
      <c r="AC107" s="31" t="str">
        <f t="shared" si="63"/>
        <v/>
      </c>
      <c r="AD107" s="31" t="str">
        <f t="shared" si="64"/>
        <v/>
      </c>
      <c r="AE107" s="31" t="str">
        <f t="shared" si="65"/>
        <v/>
      </c>
      <c r="AF107" s="31" t="str">
        <f t="shared" si="66"/>
        <v/>
      </c>
      <c r="AG107" s="25">
        <v>11</v>
      </c>
      <c r="AH107" s="25">
        <v>0</v>
      </c>
      <c r="AI107" s="25">
        <v>0</v>
      </c>
      <c r="AJ107" s="23" t="s">
        <v>207</v>
      </c>
      <c r="AK107" s="23" t="s">
        <v>92</v>
      </c>
      <c r="AL107" s="25">
        <v>415</v>
      </c>
      <c r="AO107" s="32" t="str">
        <f t="shared" si="67"/>
        <v>3 doors</v>
      </c>
      <c r="AQ107" s="23" t="s">
        <v>32</v>
      </c>
      <c r="AR107" s="23" t="str">
        <f t="shared" si="68"/>
        <v>CC</v>
      </c>
      <c r="AS107" s="34">
        <f t="shared" si="69"/>
        <v>5100</v>
      </c>
      <c r="AT107" s="23">
        <v>51</v>
      </c>
      <c r="AU107" s="23">
        <v>0</v>
      </c>
      <c r="AV107" s="23">
        <v>0</v>
      </c>
    </row>
    <row r="108" spans="1:48">
      <c r="A108" s="25">
        <v>415</v>
      </c>
      <c r="B108" s="23" t="s">
        <v>89</v>
      </c>
      <c r="C108" s="23" t="s">
        <v>128</v>
      </c>
      <c r="D108" s="23">
        <v>3</v>
      </c>
      <c r="E108" s="25" t="s">
        <v>42</v>
      </c>
      <c r="F108" s="25" t="s">
        <v>42</v>
      </c>
      <c r="G108" s="23" t="s">
        <v>27</v>
      </c>
      <c r="H108" s="23" t="s">
        <v>178</v>
      </c>
      <c r="I108" s="25">
        <v>1984</v>
      </c>
      <c r="J108" s="35">
        <v>30</v>
      </c>
      <c r="K108" s="35">
        <v>40</v>
      </c>
      <c r="L108" s="35">
        <v>20</v>
      </c>
      <c r="M108" s="25">
        <v>10</v>
      </c>
      <c r="N108" s="25">
        <v>10</v>
      </c>
      <c r="O108" s="25">
        <v>8</v>
      </c>
      <c r="R108" s="30">
        <f t="shared" si="56"/>
        <v>28</v>
      </c>
      <c r="S108" s="30">
        <f t="shared" si="57"/>
        <v>19.968</v>
      </c>
      <c r="T108" s="30">
        <f t="shared" si="58"/>
        <v>27.749333333333333</v>
      </c>
      <c r="U108" s="25">
        <v>71</v>
      </c>
      <c r="V108" s="31">
        <f t="shared" si="59"/>
        <v>239.36</v>
      </c>
      <c r="W108" s="25">
        <v>176</v>
      </c>
      <c r="X108" s="25">
        <v>12</v>
      </c>
      <c r="Y108" s="25">
        <v>92</v>
      </c>
      <c r="Z108" s="31">
        <f t="shared" si="60"/>
        <v>200</v>
      </c>
      <c r="AA108" s="31">
        <f t="shared" si="61"/>
        <v>3</v>
      </c>
      <c r="AB108" s="31">
        <f t="shared" si="62"/>
        <v>8</v>
      </c>
      <c r="AC108" s="31" t="str">
        <f t="shared" si="63"/>
        <v/>
      </c>
      <c r="AD108" s="31" t="str">
        <f t="shared" si="64"/>
        <v/>
      </c>
      <c r="AE108" s="31" t="str">
        <f t="shared" si="65"/>
        <v/>
      </c>
      <c r="AF108" s="31" t="str">
        <f t="shared" si="66"/>
        <v/>
      </c>
      <c r="AG108" s="25">
        <v>11</v>
      </c>
      <c r="AH108" s="25">
        <v>0</v>
      </c>
      <c r="AI108" s="25">
        <v>0</v>
      </c>
      <c r="AJ108" s="23" t="s">
        <v>207</v>
      </c>
      <c r="AK108" s="23" t="s">
        <v>92</v>
      </c>
      <c r="AL108" s="25">
        <v>415</v>
      </c>
      <c r="AO108" s="32" t="str">
        <f t="shared" si="67"/>
        <v>3 doors</v>
      </c>
      <c r="AP108" s="23" t="s">
        <v>210</v>
      </c>
      <c r="AQ108" s="23" t="s">
        <v>32</v>
      </c>
      <c r="AR108" s="23" t="str">
        <f t="shared" si="68"/>
        <v>CC</v>
      </c>
      <c r="AS108" s="34">
        <f t="shared" si="69"/>
        <v>5100.01</v>
      </c>
      <c r="AT108" s="23">
        <v>51</v>
      </c>
      <c r="AU108" s="23">
        <v>0</v>
      </c>
      <c r="AV108" s="23">
        <v>1</v>
      </c>
    </row>
    <row r="109" spans="1:48">
      <c r="A109" s="25">
        <v>415</v>
      </c>
      <c r="B109" s="23" t="s">
        <v>89</v>
      </c>
      <c r="C109" s="23" t="s">
        <v>246</v>
      </c>
      <c r="D109" s="23">
        <v>3</v>
      </c>
      <c r="E109" s="25" t="s">
        <v>85</v>
      </c>
      <c r="F109" s="25" t="s">
        <v>85</v>
      </c>
      <c r="G109" s="23" t="s">
        <v>27</v>
      </c>
      <c r="H109" s="23" t="s">
        <v>178</v>
      </c>
      <c r="I109" s="25">
        <v>1984</v>
      </c>
      <c r="J109" s="35">
        <v>30</v>
      </c>
      <c r="K109" s="35">
        <v>40</v>
      </c>
      <c r="L109" s="35">
        <v>20</v>
      </c>
      <c r="M109" s="25">
        <v>10</v>
      </c>
      <c r="N109" s="25">
        <v>10</v>
      </c>
      <c r="O109" s="25">
        <v>8</v>
      </c>
      <c r="R109" s="30">
        <f t="shared" si="56"/>
        <v>28</v>
      </c>
      <c r="S109" s="30">
        <f t="shared" si="57"/>
        <v>19.968</v>
      </c>
      <c r="T109" s="30">
        <f t="shared" si="58"/>
        <v>27.749333333333333</v>
      </c>
      <c r="U109" s="25">
        <v>71</v>
      </c>
      <c r="V109" s="31">
        <f t="shared" si="59"/>
        <v>239.36</v>
      </c>
      <c r="W109" s="25">
        <v>176</v>
      </c>
      <c r="X109" s="25">
        <v>12</v>
      </c>
      <c r="Y109" s="25">
        <v>92</v>
      </c>
      <c r="Z109" s="31">
        <f t="shared" si="60"/>
        <v>200</v>
      </c>
      <c r="AA109" s="31">
        <f t="shared" si="61"/>
        <v>3</v>
      </c>
      <c r="AB109" s="31">
        <f t="shared" si="62"/>
        <v>8</v>
      </c>
      <c r="AC109" s="31" t="str">
        <f t="shared" si="63"/>
        <v/>
      </c>
      <c r="AD109" s="31" t="str">
        <f t="shared" si="64"/>
        <v/>
      </c>
      <c r="AE109" s="31" t="str">
        <f t="shared" si="65"/>
        <v/>
      </c>
      <c r="AF109" s="31" t="str">
        <f t="shared" si="66"/>
        <v/>
      </c>
      <c r="AG109" s="25">
        <v>11</v>
      </c>
      <c r="AH109" s="25">
        <v>0</v>
      </c>
      <c r="AI109" s="25">
        <v>0</v>
      </c>
      <c r="AJ109" s="23" t="s">
        <v>207</v>
      </c>
      <c r="AK109" s="23" t="s">
        <v>92</v>
      </c>
      <c r="AL109" s="25">
        <v>415</v>
      </c>
      <c r="AO109" s="32" t="str">
        <f t="shared" si="67"/>
        <v>3 doors</v>
      </c>
      <c r="AQ109" s="23" t="s">
        <v>32</v>
      </c>
      <c r="AR109" s="23" t="str">
        <f t="shared" si="68"/>
        <v>Hungary</v>
      </c>
      <c r="AS109" s="34">
        <f t="shared" si="69"/>
        <v>5100.0200000000004</v>
      </c>
      <c r="AT109" s="23">
        <v>51</v>
      </c>
      <c r="AU109" s="23">
        <v>0</v>
      </c>
      <c r="AV109" s="23">
        <v>2</v>
      </c>
    </row>
    <row r="110" spans="1:48">
      <c r="A110" s="25">
        <v>415</v>
      </c>
      <c r="B110" s="23" t="s">
        <v>89</v>
      </c>
      <c r="D110" s="23">
        <v>3</v>
      </c>
      <c r="E110" s="25" t="s">
        <v>30</v>
      </c>
      <c r="F110" s="25" t="s">
        <v>30</v>
      </c>
      <c r="G110" s="23" t="s">
        <v>27</v>
      </c>
      <c r="H110" s="23" t="s">
        <v>179</v>
      </c>
      <c r="I110" s="25">
        <v>1992</v>
      </c>
      <c r="J110" s="35">
        <v>30</v>
      </c>
      <c r="K110" s="35">
        <v>40</v>
      </c>
      <c r="L110" s="35">
        <v>20</v>
      </c>
      <c r="M110" s="25">
        <v>10</v>
      </c>
      <c r="N110" s="25">
        <v>10</v>
      </c>
      <c r="O110" s="25">
        <v>6</v>
      </c>
      <c r="R110" s="30">
        <f t="shared" si="56"/>
        <v>26</v>
      </c>
      <c r="S110" s="30">
        <f t="shared" si="57"/>
        <v>20.369142857142858</v>
      </c>
      <c r="T110" s="30">
        <f t="shared" si="58"/>
        <v>28.72780952380953</v>
      </c>
      <c r="U110" s="25">
        <v>72</v>
      </c>
      <c r="V110" s="31">
        <f t="shared" si="59"/>
        <v>250.24</v>
      </c>
      <c r="W110" s="25">
        <v>184</v>
      </c>
      <c r="X110" s="25">
        <v>12</v>
      </c>
      <c r="Y110" s="25">
        <v>97</v>
      </c>
      <c r="Z110" s="31">
        <f t="shared" si="60"/>
        <v>200</v>
      </c>
      <c r="AA110" s="31">
        <f t="shared" si="61"/>
        <v>3</v>
      </c>
      <c r="AB110" s="31">
        <f t="shared" si="62"/>
        <v>8</v>
      </c>
      <c r="AC110" s="31" t="str">
        <f t="shared" si="63"/>
        <v/>
      </c>
      <c r="AD110" s="31" t="str">
        <f t="shared" si="64"/>
        <v/>
      </c>
      <c r="AE110" s="31" t="str">
        <f t="shared" si="65"/>
        <v/>
      </c>
      <c r="AF110" s="31" t="str">
        <f t="shared" si="66"/>
        <v/>
      </c>
      <c r="AG110" s="25">
        <v>11</v>
      </c>
      <c r="AH110" s="25">
        <v>0</v>
      </c>
      <c r="AI110" s="25">
        <v>0</v>
      </c>
      <c r="AJ110" s="23" t="s">
        <v>207</v>
      </c>
      <c r="AK110" s="23" t="s">
        <v>92</v>
      </c>
      <c r="AL110" s="25">
        <v>415</v>
      </c>
      <c r="AO110" s="32" t="str">
        <f t="shared" si="67"/>
        <v>3 doors</v>
      </c>
      <c r="AQ110" s="23" t="s">
        <v>32</v>
      </c>
      <c r="AR110" s="23" t="str">
        <f t="shared" si="68"/>
        <v>CC</v>
      </c>
      <c r="AS110" s="34">
        <f t="shared" si="69"/>
        <v>5120</v>
      </c>
      <c r="AT110" s="23">
        <v>51</v>
      </c>
      <c r="AU110" s="23">
        <v>20</v>
      </c>
      <c r="AV110" s="23">
        <v>0</v>
      </c>
    </row>
    <row r="111" spans="1:48">
      <c r="A111" s="25">
        <v>415</v>
      </c>
      <c r="B111" s="23" t="s">
        <v>89</v>
      </c>
      <c r="D111" s="23">
        <v>3</v>
      </c>
      <c r="E111" s="25" t="s">
        <v>85</v>
      </c>
      <c r="F111" s="25" t="s">
        <v>85</v>
      </c>
      <c r="G111" s="23" t="s">
        <v>27</v>
      </c>
      <c r="H111" s="23" t="s">
        <v>179</v>
      </c>
      <c r="I111" s="25">
        <v>1992</v>
      </c>
      <c r="J111" s="35">
        <v>30</v>
      </c>
      <c r="K111" s="35">
        <v>40</v>
      </c>
      <c r="L111" s="35">
        <v>20</v>
      </c>
      <c r="M111" s="25">
        <v>10</v>
      </c>
      <c r="N111" s="25">
        <v>10</v>
      </c>
      <c r="O111" s="25">
        <v>6</v>
      </c>
      <c r="R111" s="30">
        <f t="shared" si="56"/>
        <v>26</v>
      </c>
      <c r="S111" s="30">
        <f t="shared" si="57"/>
        <v>20.369142857142858</v>
      </c>
      <c r="T111" s="30">
        <f t="shared" si="58"/>
        <v>28.72780952380953</v>
      </c>
      <c r="U111" s="25">
        <v>72</v>
      </c>
      <c r="V111" s="31">
        <f t="shared" si="59"/>
        <v>250.24</v>
      </c>
      <c r="W111" s="25">
        <v>184</v>
      </c>
      <c r="X111" s="25">
        <v>12</v>
      </c>
      <c r="Y111" s="25">
        <v>97</v>
      </c>
      <c r="Z111" s="31">
        <f t="shared" si="60"/>
        <v>200</v>
      </c>
      <c r="AA111" s="31">
        <f t="shared" si="61"/>
        <v>3</v>
      </c>
      <c r="AB111" s="31">
        <f t="shared" si="62"/>
        <v>8</v>
      </c>
      <c r="AC111" s="31" t="str">
        <f t="shared" si="63"/>
        <v/>
      </c>
      <c r="AD111" s="31" t="str">
        <f t="shared" si="64"/>
        <v/>
      </c>
      <c r="AE111" s="31" t="str">
        <f t="shared" si="65"/>
        <v/>
      </c>
      <c r="AF111" s="31" t="str">
        <f t="shared" si="66"/>
        <v/>
      </c>
      <c r="AG111" s="25">
        <v>11</v>
      </c>
      <c r="AH111" s="25">
        <v>0</v>
      </c>
      <c r="AI111" s="25">
        <v>0</v>
      </c>
      <c r="AJ111" s="23" t="s">
        <v>207</v>
      </c>
      <c r="AK111" s="23" t="s">
        <v>92</v>
      </c>
      <c r="AL111" s="25">
        <v>415</v>
      </c>
      <c r="AO111" s="32" t="str">
        <f t="shared" si="67"/>
        <v>3 doors</v>
      </c>
      <c r="AQ111" s="23" t="s">
        <v>32</v>
      </c>
      <c r="AR111" s="23" t="str">
        <f t="shared" si="68"/>
        <v>Hungary</v>
      </c>
      <c r="AS111" s="34">
        <f t="shared" si="69"/>
        <v>5120.01</v>
      </c>
      <c r="AT111" s="23">
        <v>51</v>
      </c>
      <c r="AU111" s="23">
        <v>20</v>
      </c>
      <c r="AV111" s="23">
        <v>1</v>
      </c>
    </row>
    <row r="112" spans="1:48">
      <c r="A112" s="25">
        <v>415</v>
      </c>
      <c r="B112" s="23" t="s">
        <v>125</v>
      </c>
      <c r="D112" s="23">
        <v>2</v>
      </c>
      <c r="E112" s="25" t="s">
        <v>30</v>
      </c>
      <c r="F112" s="25" t="s">
        <v>30</v>
      </c>
      <c r="G112" s="23" t="s">
        <v>27</v>
      </c>
      <c r="H112" s="23" t="s">
        <v>180</v>
      </c>
      <c r="I112" s="25">
        <v>1992</v>
      </c>
      <c r="J112" s="35">
        <v>30</v>
      </c>
      <c r="K112" s="35">
        <v>40</v>
      </c>
      <c r="L112" s="35">
        <v>20</v>
      </c>
      <c r="M112" s="25">
        <v>10</v>
      </c>
      <c r="N112" s="25">
        <v>10</v>
      </c>
      <c r="R112" s="30">
        <f t="shared" si="56"/>
        <v>20</v>
      </c>
      <c r="S112" s="30">
        <f t="shared" si="57"/>
        <v>19.940571428571428</v>
      </c>
      <c r="T112" s="30">
        <f t="shared" si="58"/>
        <v>28.172571428571427</v>
      </c>
      <c r="U112" s="25">
        <v>92</v>
      </c>
      <c r="V112" s="31">
        <f t="shared" si="59"/>
        <v>250.24</v>
      </c>
      <c r="W112" s="25">
        <v>184</v>
      </c>
      <c r="X112" s="25">
        <v>12</v>
      </c>
      <c r="Y112" s="25">
        <v>78</v>
      </c>
      <c r="Z112" s="31">
        <f t="shared" si="60"/>
        <v>200</v>
      </c>
      <c r="AA112" s="31">
        <f t="shared" si="61"/>
        <v>3</v>
      </c>
      <c r="AB112" s="31">
        <f t="shared" si="62"/>
        <v>8</v>
      </c>
      <c r="AC112" s="31" t="str">
        <f t="shared" si="63"/>
        <v/>
      </c>
      <c r="AD112" s="31" t="str">
        <f t="shared" si="64"/>
        <v/>
      </c>
      <c r="AE112" s="31" t="str">
        <f t="shared" si="65"/>
        <v/>
      </c>
      <c r="AF112" s="31" t="str">
        <f t="shared" si="66"/>
        <v/>
      </c>
      <c r="AG112" s="25">
        <v>11</v>
      </c>
      <c r="AH112" s="25">
        <v>0</v>
      </c>
      <c r="AI112" s="25">
        <v>0</v>
      </c>
      <c r="AJ112" s="23" t="s">
        <v>207</v>
      </c>
      <c r="AK112" s="23" t="s">
        <v>92</v>
      </c>
      <c r="AL112" s="25">
        <v>415</v>
      </c>
      <c r="AO112" s="32" t="str">
        <f t="shared" si="67"/>
        <v>2 doors</v>
      </c>
      <c r="AQ112" s="23" t="s">
        <v>270</v>
      </c>
      <c r="AR112" s="23" t="str">
        <f t="shared" si="68"/>
        <v>CC</v>
      </c>
      <c r="AS112" s="34">
        <f t="shared" si="69"/>
        <v>5140</v>
      </c>
      <c r="AT112" s="23">
        <v>51</v>
      </c>
      <c r="AU112" s="23">
        <v>40</v>
      </c>
      <c r="AV112" s="23">
        <v>0</v>
      </c>
    </row>
    <row r="113" spans="1:48">
      <c r="A113" s="25">
        <v>415</v>
      </c>
      <c r="B113" s="23" t="s">
        <v>125</v>
      </c>
      <c r="D113" s="23">
        <v>2</v>
      </c>
      <c r="E113" s="25" t="s">
        <v>46</v>
      </c>
      <c r="F113" s="25" t="s">
        <v>46</v>
      </c>
      <c r="G113" s="23" t="s">
        <v>27</v>
      </c>
      <c r="H113" s="23" t="s">
        <v>180</v>
      </c>
      <c r="I113" s="25">
        <v>1992</v>
      </c>
      <c r="J113" s="35">
        <v>30</v>
      </c>
      <c r="K113" s="35">
        <v>40</v>
      </c>
      <c r="L113" s="35">
        <v>20</v>
      </c>
      <c r="M113" s="25">
        <v>10</v>
      </c>
      <c r="N113" s="25">
        <v>10</v>
      </c>
      <c r="R113" s="30">
        <f t="shared" si="56"/>
        <v>20</v>
      </c>
      <c r="S113" s="30">
        <f t="shared" si="57"/>
        <v>19.940571428571428</v>
      </c>
      <c r="T113" s="30">
        <f t="shared" si="58"/>
        <v>28.172571428571427</v>
      </c>
      <c r="U113" s="25">
        <v>92</v>
      </c>
      <c r="V113" s="31">
        <f t="shared" si="59"/>
        <v>250.24</v>
      </c>
      <c r="W113" s="25">
        <v>184</v>
      </c>
      <c r="X113" s="25">
        <v>12</v>
      </c>
      <c r="Y113" s="25">
        <v>78</v>
      </c>
      <c r="Z113" s="31">
        <f t="shared" si="60"/>
        <v>200</v>
      </c>
      <c r="AA113" s="31">
        <f t="shared" si="61"/>
        <v>3</v>
      </c>
      <c r="AB113" s="31">
        <f t="shared" si="62"/>
        <v>8</v>
      </c>
      <c r="AC113" s="31" t="str">
        <f t="shared" si="63"/>
        <v/>
      </c>
      <c r="AD113" s="31" t="str">
        <f t="shared" si="64"/>
        <v/>
      </c>
      <c r="AE113" s="31" t="str">
        <f t="shared" si="65"/>
        <v/>
      </c>
      <c r="AF113" s="31" t="str">
        <f t="shared" si="66"/>
        <v/>
      </c>
      <c r="AG113" s="25">
        <v>11</v>
      </c>
      <c r="AH113" s="25">
        <v>0</v>
      </c>
      <c r="AI113" s="25">
        <v>0</v>
      </c>
      <c r="AJ113" s="23" t="s">
        <v>207</v>
      </c>
      <c r="AK113" s="23" t="s">
        <v>92</v>
      </c>
      <c r="AL113" s="25">
        <v>415</v>
      </c>
      <c r="AO113" s="32" t="str">
        <f t="shared" si="67"/>
        <v>2 doors</v>
      </c>
      <c r="AQ113" s="23" t="s">
        <v>270</v>
      </c>
      <c r="AR113" s="23" t="str">
        <f t="shared" si="68"/>
        <v>Hungary</v>
      </c>
      <c r="AS113" s="34">
        <f t="shared" si="69"/>
        <v>5140.01</v>
      </c>
      <c r="AT113" s="23">
        <v>51</v>
      </c>
      <c r="AU113" s="23">
        <v>40</v>
      </c>
      <c r="AV113" s="23">
        <v>1</v>
      </c>
    </row>
    <row r="114" spans="1:48">
      <c r="A114" s="25">
        <v>415</v>
      </c>
      <c r="B114" s="23" t="s">
        <v>89</v>
      </c>
      <c r="C114" s="23" t="s">
        <v>129</v>
      </c>
      <c r="D114" s="23">
        <v>3</v>
      </c>
      <c r="E114" s="25" t="s">
        <v>30</v>
      </c>
      <c r="F114" s="25" t="s">
        <v>30</v>
      </c>
      <c r="G114" s="23" t="s">
        <v>27</v>
      </c>
      <c r="H114" s="23" t="s">
        <v>181</v>
      </c>
      <c r="I114" s="25">
        <v>1999</v>
      </c>
      <c r="J114" s="35">
        <v>30</v>
      </c>
      <c r="K114" s="35">
        <v>40</v>
      </c>
      <c r="L114" s="35">
        <v>20</v>
      </c>
      <c r="M114" s="25">
        <v>10</v>
      </c>
      <c r="N114" s="25">
        <v>10</v>
      </c>
      <c r="O114" s="25">
        <v>6</v>
      </c>
      <c r="R114" s="30">
        <f t="shared" si="56"/>
        <v>26</v>
      </c>
      <c r="S114" s="30">
        <f t="shared" si="57"/>
        <v>21.797142857142859</v>
      </c>
      <c r="T114" s="30">
        <f t="shared" si="58"/>
        <v>31.610476190476195</v>
      </c>
      <c r="U114" s="25">
        <v>81</v>
      </c>
      <c r="V114" s="31">
        <f t="shared" si="59"/>
        <v>278.8</v>
      </c>
      <c r="W114" s="25">
        <v>205</v>
      </c>
      <c r="X114" s="25">
        <v>12</v>
      </c>
      <c r="Y114" s="25">
        <v>101</v>
      </c>
      <c r="Z114" s="31">
        <f t="shared" si="60"/>
        <v>200</v>
      </c>
      <c r="AA114" s="31">
        <f t="shared" si="61"/>
        <v>3</v>
      </c>
      <c r="AB114" s="31">
        <f t="shared" si="62"/>
        <v>8</v>
      </c>
      <c r="AC114" s="31" t="str">
        <f t="shared" si="63"/>
        <v/>
      </c>
      <c r="AD114" s="31" t="str">
        <f t="shared" si="64"/>
        <v/>
      </c>
      <c r="AE114" s="31" t="str">
        <f t="shared" si="65"/>
        <v/>
      </c>
      <c r="AF114" s="31" t="str">
        <f t="shared" si="66"/>
        <v/>
      </c>
      <c r="AG114" s="25">
        <v>11</v>
      </c>
      <c r="AH114" s="25">
        <v>0</v>
      </c>
      <c r="AI114" s="25">
        <v>0</v>
      </c>
      <c r="AJ114" s="23" t="s">
        <v>207</v>
      </c>
      <c r="AK114" s="23" t="s">
        <v>92</v>
      </c>
      <c r="AL114" s="25">
        <v>415</v>
      </c>
      <c r="AM114" s="28" t="s">
        <v>209</v>
      </c>
      <c r="AO114" s="32" t="str">
        <f t="shared" si="67"/>
        <v>3 doors</v>
      </c>
      <c r="AQ114" s="23" t="s">
        <v>32</v>
      </c>
      <c r="AR114" s="23" t="str">
        <f t="shared" si="68"/>
        <v>CC</v>
      </c>
      <c r="AS114" s="34">
        <f t="shared" si="69"/>
        <v>5160</v>
      </c>
      <c r="AT114" s="23">
        <v>51</v>
      </c>
      <c r="AU114" s="23">
        <v>60</v>
      </c>
      <c r="AV114" s="23">
        <v>0</v>
      </c>
    </row>
    <row r="115" spans="1:48">
      <c r="A115" s="25">
        <v>415</v>
      </c>
      <c r="B115" s="23" t="s">
        <v>89</v>
      </c>
      <c r="C115" s="23" t="s">
        <v>129</v>
      </c>
      <c r="D115" s="23">
        <v>3</v>
      </c>
      <c r="E115" s="25" t="s">
        <v>212</v>
      </c>
      <c r="F115" s="25" t="s">
        <v>212</v>
      </c>
      <c r="G115" s="23" t="s">
        <v>27</v>
      </c>
      <c r="H115" s="23" t="s">
        <v>181</v>
      </c>
      <c r="I115" s="25">
        <v>1999</v>
      </c>
      <c r="J115" s="35">
        <v>30</v>
      </c>
      <c r="K115" s="35">
        <v>40</v>
      </c>
      <c r="L115" s="35">
        <v>20</v>
      </c>
      <c r="M115" s="25">
        <v>10</v>
      </c>
      <c r="N115" s="25">
        <v>10</v>
      </c>
      <c r="O115" s="25">
        <v>6</v>
      </c>
      <c r="R115" s="30">
        <f t="shared" si="56"/>
        <v>26</v>
      </c>
      <c r="S115" s="30">
        <f t="shared" si="57"/>
        <v>21.797142857142859</v>
      </c>
      <c r="T115" s="30">
        <f t="shared" si="58"/>
        <v>31.610476190476195</v>
      </c>
      <c r="U115" s="25">
        <v>81</v>
      </c>
      <c r="V115" s="31">
        <f t="shared" si="59"/>
        <v>278.8</v>
      </c>
      <c r="W115" s="25">
        <v>205</v>
      </c>
      <c r="X115" s="25">
        <v>12</v>
      </c>
      <c r="Y115" s="25">
        <v>101</v>
      </c>
      <c r="Z115" s="31">
        <f t="shared" si="60"/>
        <v>200</v>
      </c>
      <c r="AA115" s="31">
        <f t="shared" si="61"/>
        <v>3</v>
      </c>
      <c r="AB115" s="31">
        <f t="shared" si="62"/>
        <v>8</v>
      </c>
      <c r="AC115" s="31" t="str">
        <f t="shared" si="63"/>
        <v/>
      </c>
      <c r="AD115" s="31" t="str">
        <f t="shared" si="64"/>
        <v/>
      </c>
      <c r="AE115" s="31" t="str">
        <f t="shared" si="65"/>
        <v/>
      </c>
      <c r="AF115" s="31" t="str">
        <f t="shared" si="66"/>
        <v/>
      </c>
      <c r="AG115" s="25">
        <v>11</v>
      </c>
      <c r="AH115" s="25">
        <v>0</v>
      </c>
      <c r="AI115" s="25">
        <v>0</v>
      </c>
      <c r="AJ115" s="23" t="s">
        <v>207</v>
      </c>
      <c r="AK115" s="23" t="s">
        <v>92</v>
      </c>
      <c r="AL115" s="25">
        <v>415</v>
      </c>
      <c r="AM115" s="28" t="s">
        <v>209</v>
      </c>
      <c r="AO115" s="32" t="str">
        <f t="shared" si="67"/>
        <v>3 doors</v>
      </c>
      <c r="AQ115" s="23" t="s">
        <v>32</v>
      </c>
      <c r="AR115" s="23" t="str">
        <f t="shared" si="68"/>
        <v>Hungary</v>
      </c>
      <c r="AS115" s="34">
        <f t="shared" si="69"/>
        <v>5160.01</v>
      </c>
      <c r="AT115" s="23">
        <v>51</v>
      </c>
      <c r="AU115" s="23">
        <v>60</v>
      </c>
      <c r="AV115" s="23">
        <v>1</v>
      </c>
    </row>
    <row r="116" spans="1:48">
      <c r="A116" s="25">
        <v>435</v>
      </c>
      <c r="B116" s="23" t="s">
        <v>89</v>
      </c>
      <c r="C116" s="23" t="s">
        <v>128</v>
      </c>
      <c r="D116" s="23">
        <v>4</v>
      </c>
      <c r="E116" s="25" t="s">
        <v>30</v>
      </c>
      <c r="F116" s="25" t="s">
        <v>30</v>
      </c>
      <c r="G116" s="23" t="s">
        <v>27</v>
      </c>
      <c r="H116" s="23" t="s">
        <v>185</v>
      </c>
      <c r="I116" s="25">
        <v>1985</v>
      </c>
      <c r="J116" s="35">
        <v>30</v>
      </c>
      <c r="K116" s="35">
        <v>40</v>
      </c>
      <c r="L116" s="35">
        <v>20</v>
      </c>
      <c r="M116" s="25">
        <v>10</v>
      </c>
      <c r="N116" s="25">
        <v>10</v>
      </c>
      <c r="O116" s="25">
        <v>10</v>
      </c>
      <c r="P116" s="25">
        <v>8</v>
      </c>
      <c r="R116" s="30">
        <f t="shared" si="56"/>
        <v>38</v>
      </c>
      <c r="S116" s="30">
        <f t="shared" si="57"/>
        <v>22.726285714285716</v>
      </c>
      <c r="T116" s="30">
        <f t="shared" si="58"/>
        <v>30.418285714285716</v>
      </c>
      <c r="U116" s="25">
        <v>71</v>
      </c>
      <c r="V116" s="31">
        <f t="shared" si="59"/>
        <v>250.24</v>
      </c>
      <c r="W116" s="25">
        <v>184</v>
      </c>
      <c r="X116" s="25">
        <v>15</v>
      </c>
      <c r="Y116" s="25">
        <v>177</v>
      </c>
      <c r="Z116" s="31">
        <f t="shared" si="60"/>
        <v>200</v>
      </c>
      <c r="AA116" s="31">
        <f t="shared" si="61"/>
        <v>2</v>
      </c>
      <c r="AB116" s="31">
        <f t="shared" si="62"/>
        <v>8</v>
      </c>
      <c r="AC116" s="31">
        <f t="shared" si="63"/>
        <v>7</v>
      </c>
      <c r="AD116" s="31" t="str">
        <f t="shared" si="64"/>
        <v/>
      </c>
      <c r="AE116" s="31" t="str">
        <f t="shared" si="65"/>
        <v/>
      </c>
      <c r="AF116" s="31" t="str">
        <f t="shared" si="66"/>
        <v/>
      </c>
      <c r="AG116" s="25">
        <v>10</v>
      </c>
      <c r="AH116" s="25">
        <v>7</v>
      </c>
      <c r="AI116" s="25">
        <v>0</v>
      </c>
      <c r="AJ116" s="23" t="s">
        <v>207</v>
      </c>
      <c r="AK116" s="23" t="s">
        <v>92</v>
      </c>
      <c r="AL116" s="25">
        <v>435</v>
      </c>
      <c r="AM116" s="28" t="s">
        <v>210</v>
      </c>
      <c r="AO116" s="32" t="str">
        <f t="shared" si="67"/>
        <v>4 doors</v>
      </c>
      <c r="AQ116" s="23" t="s">
        <v>32</v>
      </c>
      <c r="AR116" s="23" t="str">
        <f t="shared" si="68"/>
        <v>CC</v>
      </c>
      <c r="AS116" s="34">
        <f t="shared" si="69"/>
        <v>5200</v>
      </c>
      <c r="AT116" s="23">
        <v>52</v>
      </c>
      <c r="AU116" s="23">
        <v>0</v>
      </c>
      <c r="AV116" s="23">
        <v>0</v>
      </c>
    </row>
    <row r="117" spans="1:48">
      <c r="A117" s="25">
        <v>435</v>
      </c>
      <c r="B117" s="23" t="s">
        <v>89</v>
      </c>
      <c r="D117" s="23">
        <v>4</v>
      </c>
      <c r="E117" s="25" t="s">
        <v>30</v>
      </c>
      <c r="F117" s="25" t="s">
        <v>30</v>
      </c>
      <c r="G117" s="23" t="s">
        <v>27</v>
      </c>
      <c r="H117" s="23" t="s">
        <v>186</v>
      </c>
      <c r="I117" s="25">
        <v>1994</v>
      </c>
      <c r="J117" s="35">
        <v>30</v>
      </c>
      <c r="K117" s="35">
        <v>40</v>
      </c>
      <c r="L117" s="35">
        <v>20</v>
      </c>
      <c r="M117" s="25">
        <v>10</v>
      </c>
      <c r="N117" s="25">
        <v>10</v>
      </c>
      <c r="O117" s="25">
        <v>10</v>
      </c>
      <c r="P117" s="25">
        <v>6</v>
      </c>
      <c r="R117" s="30">
        <f t="shared" si="56"/>
        <v>36</v>
      </c>
      <c r="S117" s="30">
        <f t="shared" si="57"/>
        <v>22.991428571428575</v>
      </c>
      <c r="T117" s="30">
        <f t="shared" si="58"/>
        <v>31.044761904761909</v>
      </c>
      <c r="U117" s="25">
        <v>72</v>
      </c>
      <c r="V117" s="31">
        <f t="shared" si="59"/>
        <v>258.40000000000003</v>
      </c>
      <c r="W117" s="25">
        <v>190</v>
      </c>
      <c r="X117" s="25">
        <v>15</v>
      </c>
      <c r="Y117" s="25">
        <v>170</v>
      </c>
      <c r="Z117" s="31">
        <f t="shared" si="60"/>
        <v>200</v>
      </c>
      <c r="AA117" s="31">
        <f t="shared" si="61"/>
        <v>2</v>
      </c>
      <c r="AB117" s="31">
        <f t="shared" si="62"/>
        <v>8</v>
      </c>
      <c r="AC117" s="31">
        <f t="shared" si="63"/>
        <v>7</v>
      </c>
      <c r="AD117" s="31" t="str">
        <f t="shared" si="64"/>
        <v/>
      </c>
      <c r="AE117" s="31" t="str">
        <f t="shared" si="65"/>
        <v/>
      </c>
      <c r="AF117" s="31" t="str">
        <f t="shared" si="66"/>
        <v/>
      </c>
      <c r="AG117" s="25">
        <v>10</v>
      </c>
      <c r="AH117" s="25">
        <v>7</v>
      </c>
      <c r="AI117" s="25">
        <v>0</v>
      </c>
      <c r="AJ117" s="23" t="s">
        <v>207</v>
      </c>
      <c r="AK117" s="23" t="s">
        <v>92</v>
      </c>
      <c r="AL117" s="25">
        <v>435</v>
      </c>
      <c r="AO117" s="32" t="str">
        <f t="shared" si="67"/>
        <v>4 doors</v>
      </c>
      <c r="AQ117" s="23" t="s">
        <v>32</v>
      </c>
      <c r="AR117" s="23" t="str">
        <f t="shared" si="68"/>
        <v>CC</v>
      </c>
      <c r="AS117" s="34">
        <f t="shared" si="69"/>
        <v>5220</v>
      </c>
      <c r="AT117" s="23">
        <v>52</v>
      </c>
      <c r="AU117" s="23">
        <v>20</v>
      </c>
      <c r="AV117" s="23">
        <v>0</v>
      </c>
    </row>
    <row r="118" spans="1:48">
      <c r="A118" s="25">
        <v>435</v>
      </c>
      <c r="B118" s="23" t="s">
        <v>89</v>
      </c>
      <c r="D118" s="23">
        <v>4</v>
      </c>
      <c r="E118" s="25" t="s">
        <v>85</v>
      </c>
      <c r="F118" s="25" t="s">
        <v>85</v>
      </c>
      <c r="G118" s="23" t="s">
        <v>27</v>
      </c>
      <c r="H118" s="23" t="s">
        <v>186</v>
      </c>
      <c r="I118" s="25">
        <v>1994</v>
      </c>
      <c r="J118" s="35">
        <v>30</v>
      </c>
      <c r="K118" s="35">
        <v>40</v>
      </c>
      <c r="L118" s="35">
        <v>20</v>
      </c>
      <c r="M118" s="25">
        <v>10</v>
      </c>
      <c r="N118" s="25">
        <v>10</v>
      </c>
      <c r="O118" s="25">
        <v>10</v>
      </c>
      <c r="P118" s="25">
        <v>6</v>
      </c>
      <c r="R118" s="30">
        <f t="shared" si="56"/>
        <v>36</v>
      </c>
      <c r="S118" s="30">
        <f t="shared" si="57"/>
        <v>22.991428571428575</v>
      </c>
      <c r="T118" s="30">
        <f t="shared" si="58"/>
        <v>31.044761904761909</v>
      </c>
      <c r="U118" s="25">
        <v>72</v>
      </c>
      <c r="V118" s="31">
        <f t="shared" si="59"/>
        <v>258.40000000000003</v>
      </c>
      <c r="W118" s="25">
        <v>190</v>
      </c>
      <c r="X118" s="25">
        <v>15</v>
      </c>
      <c r="Y118" s="25">
        <v>170</v>
      </c>
      <c r="Z118" s="31">
        <f t="shared" si="60"/>
        <v>200</v>
      </c>
      <c r="AA118" s="31">
        <f t="shared" si="61"/>
        <v>2</v>
      </c>
      <c r="AB118" s="31">
        <f t="shared" si="62"/>
        <v>8</v>
      </c>
      <c r="AC118" s="31">
        <f t="shared" si="63"/>
        <v>7</v>
      </c>
      <c r="AD118" s="31" t="str">
        <f t="shared" si="64"/>
        <v/>
      </c>
      <c r="AE118" s="31" t="str">
        <f t="shared" si="65"/>
        <v/>
      </c>
      <c r="AF118" s="31" t="str">
        <f t="shared" si="66"/>
        <v/>
      </c>
      <c r="AG118" s="25">
        <v>10</v>
      </c>
      <c r="AH118" s="25">
        <v>7</v>
      </c>
      <c r="AI118" s="25">
        <v>0</v>
      </c>
      <c r="AJ118" s="23" t="s">
        <v>207</v>
      </c>
      <c r="AK118" s="23" t="s">
        <v>92</v>
      </c>
      <c r="AL118" s="25">
        <v>435</v>
      </c>
      <c r="AO118" s="32" t="str">
        <f t="shared" si="67"/>
        <v>4 doors</v>
      </c>
      <c r="AQ118" s="23" t="s">
        <v>32</v>
      </c>
      <c r="AR118" s="23" t="str">
        <f t="shared" si="68"/>
        <v>Hungary</v>
      </c>
      <c r="AS118" s="34">
        <f t="shared" si="69"/>
        <v>5220.01</v>
      </c>
      <c r="AT118" s="23">
        <v>52</v>
      </c>
      <c r="AU118" s="23">
        <v>20</v>
      </c>
      <c r="AV118" s="23">
        <v>1</v>
      </c>
    </row>
    <row r="119" spans="1:48">
      <c r="A119" s="25">
        <v>435</v>
      </c>
      <c r="B119" s="23" t="s">
        <v>125</v>
      </c>
      <c r="D119" s="23">
        <v>3</v>
      </c>
      <c r="E119" s="25" t="s">
        <v>30</v>
      </c>
      <c r="F119" s="25" t="s">
        <v>30</v>
      </c>
      <c r="G119" s="23" t="s">
        <v>27</v>
      </c>
      <c r="H119" s="23" t="s">
        <v>187</v>
      </c>
      <c r="I119" s="25">
        <v>1995</v>
      </c>
      <c r="J119" s="35">
        <v>30</v>
      </c>
      <c r="K119" s="35">
        <v>40</v>
      </c>
      <c r="L119" s="35">
        <v>20</v>
      </c>
      <c r="M119" s="25">
        <v>10</v>
      </c>
      <c r="N119" s="25">
        <v>10</v>
      </c>
      <c r="O119" s="25">
        <v>10</v>
      </c>
      <c r="R119" s="30">
        <f t="shared" si="56"/>
        <v>30</v>
      </c>
      <c r="S119" s="30">
        <f t="shared" si="57"/>
        <v>22.562857142857144</v>
      </c>
      <c r="T119" s="30">
        <f t="shared" si="58"/>
        <v>30.382857142857144</v>
      </c>
      <c r="U119" s="25">
        <v>90</v>
      </c>
      <c r="V119" s="31">
        <f t="shared" si="59"/>
        <v>258.40000000000003</v>
      </c>
      <c r="W119" s="25">
        <v>190</v>
      </c>
      <c r="X119" s="25">
        <v>15</v>
      </c>
      <c r="Y119" s="25">
        <v>135</v>
      </c>
      <c r="Z119" s="31">
        <f t="shared" si="60"/>
        <v>200</v>
      </c>
      <c r="AA119" s="31">
        <f t="shared" si="61"/>
        <v>2</v>
      </c>
      <c r="AB119" s="31">
        <f t="shared" si="62"/>
        <v>8</v>
      </c>
      <c r="AC119" s="31">
        <f t="shared" si="63"/>
        <v>7</v>
      </c>
      <c r="AD119" s="31" t="str">
        <f t="shared" si="64"/>
        <v/>
      </c>
      <c r="AE119" s="31" t="str">
        <f t="shared" si="65"/>
        <v/>
      </c>
      <c r="AF119" s="31" t="str">
        <f t="shared" si="66"/>
        <v/>
      </c>
      <c r="AG119" s="25">
        <v>10</v>
      </c>
      <c r="AH119" s="25">
        <v>7</v>
      </c>
      <c r="AI119" s="25">
        <v>0</v>
      </c>
      <c r="AJ119" s="23" t="s">
        <v>207</v>
      </c>
      <c r="AK119" s="23" t="s">
        <v>92</v>
      </c>
      <c r="AL119" s="25">
        <v>435</v>
      </c>
      <c r="AO119" s="32" t="str">
        <f t="shared" si="67"/>
        <v>3 doors</v>
      </c>
      <c r="AQ119" s="23" t="s">
        <v>270</v>
      </c>
      <c r="AR119" s="23" t="str">
        <f t="shared" si="68"/>
        <v>CC</v>
      </c>
      <c r="AS119" s="34">
        <f t="shared" si="69"/>
        <v>5240</v>
      </c>
      <c r="AT119" s="23">
        <v>52</v>
      </c>
      <c r="AU119" s="23">
        <v>40</v>
      </c>
      <c r="AV119" s="23">
        <v>0</v>
      </c>
    </row>
    <row r="120" spans="1:48">
      <c r="A120" s="25">
        <v>435</v>
      </c>
      <c r="B120" s="23" t="s">
        <v>125</v>
      </c>
      <c r="D120" s="23">
        <v>3</v>
      </c>
      <c r="E120" s="25" t="s">
        <v>46</v>
      </c>
      <c r="F120" s="25" t="s">
        <v>46</v>
      </c>
      <c r="G120" s="23" t="s">
        <v>27</v>
      </c>
      <c r="H120" s="23" t="s">
        <v>187</v>
      </c>
      <c r="I120" s="25">
        <v>1992</v>
      </c>
      <c r="J120" s="35">
        <v>30</v>
      </c>
      <c r="K120" s="35">
        <v>40</v>
      </c>
      <c r="L120" s="35">
        <v>20</v>
      </c>
      <c r="M120" s="25">
        <v>10</v>
      </c>
      <c r="N120" s="25">
        <v>10</v>
      </c>
      <c r="O120" s="25">
        <v>10</v>
      </c>
      <c r="R120" s="30">
        <f t="shared" si="56"/>
        <v>30</v>
      </c>
      <c r="S120" s="30">
        <f t="shared" si="57"/>
        <v>22.562857142857144</v>
      </c>
      <c r="T120" s="30">
        <f t="shared" si="58"/>
        <v>30.382857142857144</v>
      </c>
      <c r="U120" s="25">
        <v>90</v>
      </c>
      <c r="V120" s="31">
        <f t="shared" si="59"/>
        <v>258.40000000000003</v>
      </c>
      <c r="W120" s="25">
        <v>190</v>
      </c>
      <c r="X120" s="25">
        <v>15</v>
      </c>
      <c r="Y120" s="25">
        <v>135</v>
      </c>
      <c r="Z120" s="31">
        <f t="shared" si="60"/>
        <v>200</v>
      </c>
      <c r="AA120" s="31">
        <f t="shared" si="61"/>
        <v>2</v>
      </c>
      <c r="AB120" s="31">
        <f t="shared" si="62"/>
        <v>8</v>
      </c>
      <c r="AC120" s="31">
        <f t="shared" si="63"/>
        <v>7</v>
      </c>
      <c r="AD120" s="31" t="str">
        <f t="shared" si="64"/>
        <v/>
      </c>
      <c r="AE120" s="31" t="str">
        <f t="shared" si="65"/>
        <v/>
      </c>
      <c r="AF120" s="31" t="str">
        <f t="shared" si="66"/>
        <v/>
      </c>
      <c r="AG120" s="25">
        <v>10</v>
      </c>
      <c r="AH120" s="25">
        <v>7</v>
      </c>
      <c r="AI120" s="25">
        <v>0</v>
      </c>
      <c r="AJ120" s="23" t="s">
        <v>207</v>
      </c>
      <c r="AK120" s="23" t="s">
        <v>92</v>
      </c>
      <c r="AL120" s="25">
        <v>435</v>
      </c>
      <c r="AO120" s="32" t="str">
        <f t="shared" si="67"/>
        <v>3 doors</v>
      </c>
      <c r="AQ120" s="23" t="s">
        <v>270</v>
      </c>
      <c r="AR120" s="23" t="str">
        <f t="shared" si="68"/>
        <v>Hungary</v>
      </c>
      <c r="AS120" s="34">
        <f t="shared" si="69"/>
        <v>5240.01</v>
      </c>
      <c r="AT120" s="23">
        <v>52</v>
      </c>
      <c r="AU120" s="23">
        <v>40</v>
      </c>
      <c r="AV120" s="23">
        <v>1</v>
      </c>
    </row>
    <row r="121" spans="1:48">
      <c r="A121" s="25">
        <v>435</v>
      </c>
      <c r="B121" s="23" t="s">
        <v>89</v>
      </c>
      <c r="C121" s="23" t="s">
        <v>129</v>
      </c>
      <c r="D121" s="23">
        <v>4</v>
      </c>
      <c r="E121" s="25" t="s">
        <v>30</v>
      </c>
      <c r="F121" s="25" t="s">
        <v>30</v>
      </c>
      <c r="G121" s="23" t="s">
        <v>27</v>
      </c>
      <c r="H121" s="23" t="s">
        <v>188</v>
      </c>
      <c r="I121" s="25">
        <v>1999</v>
      </c>
      <c r="J121" s="35">
        <v>30</v>
      </c>
      <c r="K121" s="35">
        <v>40</v>
      </c>
      <c r="L121" s="35">
        <v>20</v>
      </c>
      <c r="M121" s="25">
        <v>10</v>
      </c>
      <c r="N121" s="25">
        <v>10</v>
      </c>
      <c r="O121" s="25">
        <v>10</v>
      </c>
      <c r="P121" s="25">
        <v>6</v>
      </c>
      <c r="R121" s="30">
        <f t="shared" si="56"/>
        <v>36</v>
      </c>
      <c r="S121" s="30">
        <f t="shared" si="57"/>
        <v>24.011428571428574</v>
      </c>
      <c r="T121" s="30">
        <f t="shared" si="58"/>
        <v>33.084761904761905</v>
      </c>
      <c r="U121" s="25">
        <v>81</v>
      </c>
      <c r="V121" s="31">
        <f t="shared" si="59"/>
        <v>278.8</v>
      </c>
      <c r="W121" s="25">
        <v>205</v>
      </c>
      <c r="X121" s="25">
        <v>15</v>
      </c>
      <c r="Y121" s="25">
        <v>170</v>
      </c>
      <c r="Z121" s="31">
        <f t="shared" si="60"/>
        <v>200</v>
      </c>
      <c r="AA121" s="31">
        <f t="shared" si="61"/>
        <v>2</v>
      </c>
      <c r="AB121" s="31">
        <f t="shared" si="62"/>
        <v>8</v>
      </c>
      <c r="AC121" s="31">
        <f t="shared" si="63"/>
        <v>7</v>
      </c>
      <c r="AD121" s="31" t="str">
        <f t="shared" si="64"/>
        <v/>
      </c>
      <c r="AE121" s="31" t="str">
        <f t="shared" si="65"/>
        <v/>
      </c>
      <c r="AF121" s="31" t="str">
        <f t="shared" si="66"/>
        <v/>
      </c>
      <c r="AG121" s="25">
        <v>10</v>
      </c>
      <c r="AH121" s="25">
        <v>7</v>
      </c>
      <c r="AI121" s="25">
        <v>0</v>
      </c>
      <c r="AJ121" s="23" t="s">
        <v>207</v>
      </c>
      <c r="AK121" s="23" t="s">
        <v>92</v>
      </c>
      <c r="AL121" s="25">
        <v>435</v>
      </c>
      <c r="AM121" s="28" t="s">
        <v>209</v>
      </c>
      <c r="AO121" s="32" t="str">
        <f t="shared" si="67"/>
        <v>4 doors</v>
      </c>
      <c r="AQ121" s="23" t="s">
        <v>32</v>
      </c>
      <c r="AR121" s="23" t="str">
        <f t="shared" si="68"/>
        <v>CC</v>
      </c>
      <c r="AS121" s="34">
        <f t="shared" si="69"/>
        <v>5260</v>
      </c>
      <c r="AT121" s="23">
        <v>52</v>
      </c>
      <c r="AU121" s="23">
        <v>60</v>
      </c>
      <c r="AV121" s="23">
        <v>0</v>
      </c>
    </row>
    <row r="122" spans="1:48">
      <c r="A122" s="25">
        <v>435</v>
      </c>
      <c r="B122" s="23" t="s">
        <v>89</v>
      </c>
      <c r="C122" s="23" t="s">
        <v>129</v>
      </c>
      <c r="D122" s="23">
        <v>4</v>
      </c>
      <c r="E122" s="25" t="s">
        <v>212</v>
      </c>
      <c r="F122" s="25" t="s">
        <v>212</v>
      </c>
      <c r="G122" s="23" t="s">
        <v>27</v>
      </c>
      <c r="H122" s="23" t="s">
        <v>188</v>
      </c>
      <c r="I122" s="25">
        <v>1999</v>
      </c>
      <c r="J122" s="35">
        <v>30</v>
      </c>
      <c r="K122" s="35">
        <v>40</v>
      </c>
      <c r="L122" s="35">
        <v>20</v>
      </c>
      <c r="M122" s="25">
        <v>10</v>
      </c>
      <c r="N122" s="25">
        <v>10</v>
      </c>
      <c r="O122" s="25">
        <v>10</v>
      </c>
      <c r="P122" s="25">
        <v>6</v>
      </c>
      <c r="R122" s="30">
        <f t="shared" si="56"/>
        <v>36</v>
      </c>
      <c r="S122" s="30">
        <f t="shared" si="57"/>
        <v>24.011428571428574</v>
      </c>
      <c r="T122" s="30">
        <f t="shared" si="58"/>
        <v>33.084761904761905</v>
      </c>
      <c r="U122" s="25">
        <v>81</v>
      </c>
      <c r="V122" s="31">
        <f t="shared" si="59"/>
        <v>278.8</v>
      </c>
      <c r="W122" s="25">
        <v>205</v>
      </c>
      <c r="X122" s="25">
        <v>15</v>
      </c>
      <c r="Y122" s="25">
        <v>170</v>
      </c>
      <c r="Z122" s="31">
        <f t="shared" si="60"/>
        <v>200</v>
      </c>
      <c r="AA122" s="31">
        <f t="shared" si="61"/>
        <v>2</v>
      </c>
      <c r="AB122" s="31">
        <f t="shared" si="62"/>
        <v>8</v>
      </c>
      <c r="AC122" s="31">
        <f t="shared" si="63"/>
        <v>7</v>
      </c>
      <c r="AD122" s="31" t="str">
        <f t="shared" si="64"/>
        <v/>
      </c>
      <c r="AE122" s="31" t="str">
        <f t="shared" si="65"/>
        <v/>
      </c>
      <c r="AF122" s="31" t="str">
        <f t="shared" si="66"/>
        <v/>
      </c>
      <c r="AG122" s="25">
        <v>10</v>
      </c>
      <c r="AH122" s="25">
        <v>7</v>
      </c>
      <c r="AI122" s="25">
        <v>0</v>
      </c>
      <c r="AJ122" s="23" t="s">
        <v>207</v>
      </c>
      <c r="AK122" s="23" t="s">
        <v>92</v>
      </c>
      <c r="AL122" s="25">
        <v>435</v>
      </c>
      <c r="AM122" s="28" t="s">
        <v>209</v>
      </c>
      <c r="AO122" s="32" t="str">
        <f t="shared" si="67"/>
        <v>4 doors</v>
      </c>
      <c r="AQ122" s="23" t="s">
        <v>32</v>
      </c>
      <c r="AR122" s="23" t="str">
        <f t="shared" si="68"/>
        <v>Hungary</v>
      </c>
      <c r="AS122" s="34">
        <f t="shared" si="69"/>
        <v>5260.01</v>
      </c>
      <c r="AT122" s="23">
        <v>52</v>
      </c>
      <c r="AU122" s="23">
        <v>60</v>
      </c>
      <c r="AV122" s="23">
        <v>1</v>
      </c>
    </row>
    <row r="123" spans="1:48">
      <c r="A123" s="25">
        <v>411</v>
      </c>
      <c r="D123" s="23">
        <v>3</v>
      </c>
      <c r="E123" s="25" t="s">
        <v>30</v>
      </c>
      <c r="F123" s="25" t="s">
        <v>30</v>
      </c>
      <c r="G123" s="23" t="s">
        <v>27</v>
      </c>
      <c r="H123" s="23" t="s">
        <v>175</v>
      </c>
      <c r="I123" s="25">
        <v>1993</v>
      </c>
      <c r="J123" s="35">
        <v>30</v>
      </c>
      <c r="K123" s="35">
        <v>40</v>
      </c>
      <c r="L123" s="35">
        <v>20</v>
      </c>
      <c r="M123" s="25">
        <v>14</v>
      </c>
      <c r="N123" s="25">
        <v>14</v>
      </c>
      <c r="O123" s="25">
        <v>7</v>
      </c>
      <c r="R123" s="30">
        <f t="shared" si="56"/>
        <v>35</v>
      </c>
      <c r="S123" s="30">
        <f t="shared" si="57"/>
        <v>19.672000000000001</v>
      </c>
      <c r="T123" s="30">
        <f t="shared" si="58"/>
        <v>28.510666666666669</v>
      </c>
      <c r="U123" s="25">
        <v>80</v>
      </c>
      <c r="V123" s="31">
        <f t="shared" si="59"/>
        <v>243.44000000000003</v>
      </c>
      <c r="W123" s="25">
        <v>179</v>
      </c>
      <c r="X123" s="25">
        <v>10</v>
      </c>
      <c r="Y123" s="25">
        <v>100</v>
      </c>
      <c r="Z123" s="31">
        <f t="shared" si="60"/>
        <v>200</v>
      </c>
      <c r="AA123" s="31">
        <f t="shared" si="61"/>
        <v>2</v>
      </c>
      <c r="AB123" s="31">
        <f t="shared" si="62"/>
        <v>8</v>
      </c>
      <c r="AC123" s="31" t="str">
        <f t="shared" si="63"/>
        <v/>
      </c>
      <c r="AD123" s="31" t="str">
        <f t="shared" si="64"/>
        <v/>
      </c>
      <c r="AE123" s="31" t="str">
        <f t="shared" si="65"/>
        <v/>
      </c>
      <c r="AF123" s="31" t="str">
        <f t="shared" si="66"/>
        <v/>
      </c>
      <c r="AG123" s="25">
        <v>10</v>
      </c>
      <c r="AH123" s="25">
        <v>0</v>
      </c>
      <c r="AI123" s="25">
        <v>0</v>
      </c>
      <c r="AJ123" s="23" t="s">
        <v>207</v>
      </c>
      <c r="AK123" s="23" t="s">
        <v>92</v>
      </c>
      <c r="AL123" s="25">
        <v>411</v>
      </c>
      <c r="AO123" s="32" t="str">
        <f t="shared" si="67"/>
        <v>3 doors</v>
      </c>
      <c r="AQ123" s="23" t="s">
        <v>32</v>
      </c>
      <c r="AR123" s="23" t="str">
        <f t="shared" si="68"/>
        <v>CC</v>
      </c>
      <c r="AS123" s="34">
        <f t="shared" si="69"/>
        <v>5300</v>
      </c>
      <c r="AT123" s="23">
        <v>53</v>
      </c>
      <c r="AU123" s="23">
        <v>0</v>
      </c>
      <c r="AV123" s="23">
        <v>0</v>
      </c>
    </row>
    <row r="124" spans="1:48">
      <c r="A124" s="25">
        <v>412</v>
      </c>
      <c r="B124" s="23" t="s">
        <v>89</v>
      </c>
      <c r="D124" s="23">
        <v>3</v>
      </c>
      <c r="E124" s="25" t="s">
        <v>30</v>
      </c>
      <c r="F124" s="25" t="s">
        <v>30</v>
      </c>
      <c r="G124" s="23" t="s">
        <v>27</v>
      </c>
      <c r="H124" s="23" t="s">
        <v>176</v>
      </c>
      <c r="I124" s="25">
        <v>1996</v>
      </c>
      <c r="J124" s="35">
        <v>30</v>
      </c>
      <c r="K124" s="35">
        <v>40</v>
      </c>
      <c r="L124" s="35">
        <v>20</v>
      </c>
      <c r="M124" s="25">
        <v>14</v>
      </c>
      <c r="N124" s="25">
        <v>14</v>
      </c>
      <c r="O124" s="25">
        <v>7</v>
      </c>
      <c r="R124" s="30">
        <f t="shared" si="56"/>
        <v>35</v>
      </c>
      <c r="S124" s="30">
        <f t="shared" si="57"/>
        <v>18.880000000000003</v>
      </c>
      <c r="T124" s="30">
        <f t="shared" si="58"/>
        <v>26.033333333333339</v>
      </c>
      <c r="U124" s="25">
        <v>72</v>
      </c>
      <c r="V124" s="31">
        <f t="shared" si="59"/>
        <v>217.60000000000002</v>
      </c>
      <c r="W124" s="25">
        <v>160</v>
      </c>
      <c r="X124" s="25">
        <v>11</v>
      </c>
      <c r="Y124" s="25">
        <v>101</v>
      </c>
      <c r="Z124" s="31">
        <f t="shared" si="60"/>
        <v>200</v>
      </c>
      <c r="AA124" s="31">
        <f t="shared" si="61"/>
        <v>3</v>
      </c>
      <c r="AB124" s="31">
        <f t="shared" si="62"/>
        <v>8</v>
      </c>
      <c r="AC124" s="31" t="str">
        <f t="shared" si="63"/>
        <v/>
      </c>
      <c r="AD124" s="31" t="str">
        <f t="shared" si="64"/>
        <v/>
      </c>
      <c r="AE124" s="31" t="str">
        <f t="shared" si="65"/>
        <v/>
      </c>
      <c r="AF124" s="31" t="str">
        <f t="shared" si="66"/>
        <v/>
      </c>
      <c r="AG124" s="25">
        <v>11</v>
      </c>
      <c r="AH124" s="25">
        <v>0</v>
      </c>
      <c r="AI124" s="25">
        <v>0</v>
      </c>
      <c r="AJ124" s="23" t="s">
        <v>207</v>
      </c>
      <c r="AK124" s="23" t="s">
        <v>92</v>
      </c>
      <c r="AL124" s="25">
        <v>412</v>
      </c>
      <c r="AO124" s="32" t="str">
        <f t="shared" si="67"/>
        <v>3 doors</v>
      </c>
      <c r="AQ124" s="23" t="s">
        <v>32</v>
      </c>
      <c r="AR124" s="23" t="str">
        <f t="shared" si="68"/>
        <v>CC</v>
      </c>
      <c r="AS124" s="34">
        <f t="shared" si="69"/>
        <v>5320</v>
      </c>
      <c r="AT124" s="23">
        <v>53</v>
      </c>
      <c r="AU124" s="23">
        <v>20</v>
      </c>
      <c r="AV124" s="23">
        <v>0</v>
      </c>
    </row>
    <row r="125" spans="1:48">
      <c r="A125" s="25">
        <v>412</v>
      </c>
      <c r="B125" s="23" t="s">
        <v>89</v>
      </c>
      <c r="D125" s="23">
        <v>3</v>
      </c>
      <c r="E125" s="25" t="s">
        <v>42</v>
      </c>
      <c r="F125" s="25" t="s">
        <v>42</v>
      </c>
      <c r="G125" s="23" t="s">
        <v>27</v>
      </c>
      <c r="H125" s="23" t="s">
        <v>176</v>
      </c>
      <c r="I125" s="25">
        <v>2008</v>
      </c>
      <c r="J125" s="35">
        <v>30</v>
      </c>
      <c r="K125" s="35">
        <v>40</v>
      </c>
      <c r="L125" s="35">
        <v>20</v>
      </c>
      <c r="M125" s="25">
        <v>14</v>
      </c>
      <c r="N125" s="25">
        <v>14</v>
      </c>
      <c r="O125" s="25">
        <v>7</v>
      </c>
      <c r="R125" s="30">
        <f t="shared" si="56"/>
        <v>35</v>
      </c>
      <c r="S125" s="30">
        <f t="shared" si="57"/>
        <v>18.880000000000003</v>
      </c>
      <c r="T125" s="30">
        <f t="shared" si="58"/>
        <v>26.033333333333339</v>
      </c>
      <c r="U125" s="25">
        <v>72</v>
      </c>
      <c r="V125" s="31">
        <f t="shared" si="59"/>
        <v>217.60000000000002</v>
      </c>
      <c r="W125" s="25">
        <v>160</v>
      </c>
      <c r="X125" s="25">
        <v>11</v>
      </c>
      <c r="Y125" s="25">
        <v>101</v>
      </c>
      <c r="Z125" s="31">
        <f t="shared" si="60"/>
        <v>200</v>
      </c>
      <c r="AA125" s="31">
        <f t="shared" si="61"/>
        <v>3</v>
      </c>
      <c r="AB125" s="31">
        <f t="shared" si="62"/>
        <v>8</v>
      </c>
      <c r="AC125" s="31" t="str">
        <f t="shared" si="63"/>
        <v/>
      </c>
      <c r="AD125" s="31" t="str">
        <f t="shared" si="64"/>
        <v/>
      </c>
      <c r="AE125" s="31" t="str">
        <f t="shared" si="65"/>
        <v/>
      </c>
      <c r="AF125" s="31" t="str">
        <f t="shared" si="66"/>
        <v/>
      </c>
      <c r="AG125" s="25">
        <v>11</v>
      </c>
      <c r="AH125" s="25">
        <v>0</v>
      </c>
      <c r="AI125" s="25">
        <v>0</v>
      </c>
      <c r="AJ125" s="23" t="s">
        <v>207</v>
      </c>
      <c r="AK125" s="23" t="s">
        <v>92</v>
      </c>
      <c r="AL125" s="25">
        <v>412</v>
      </c>
      <c r="AO125" s="32" t="str">
        <f t="shared" si="67"/>
        <v>3 doors</v>
      </c>
      <c r="AQ125" s="23" t="s">
        <v>32</v>
      </c>
      <c r="AR125" s="23" t="str">
        <f t="shared" si="68"/>
        <v>CC</v>
      </c>
      <c r="AS125" s="34">
        <f t="shared" si="69"/>
        <v>5320.01</v>
      </c>
      <c r="AT125" s="23">
        <v>53</v>
      </c>
      <c r="AU125" s="23">
        <v>20</v>
      </c>
      <c r="AV125" s="23">
        <v>1</v>
      </c>
    </row>
    <row r="126" spans="1:48">
      <c r="A126" s="25">
        <v>412</v>
      </c>
      <c r="B126" s="23" t="s">
        <v>89</v>
      </c>
      <c r="D126" s="23">
        <v>3</v>
      </c>
      <c r="E126" s="25" t="s">
        <v>43</v>
      </c>
      <c r="F126" s="25" t="s">
        <v>43</v>
      </c>
      <c r="G126" s="23" t="s">
        <v>27</v>
      </c>
      <c r="H126" s="23" t="s">
        <v>176</v>
      </c>
      <c r="I126" s="25">
        <v>2012</v>
      </c>
      <c r="J126" s="35">
        <v>30</v>
      </c>
      <c r="K126" s="35">
        <v>40</v>
      </c>
      <c r="L126" s="35">
        <v>20</v>
      </c>
      <c r="M126" s="25">
        <v>14</v>
      </c>
      <c r="N126" s="25">
        <v>14</v>
      </c>
      <c r="O126" s="25">
        <v>7</v>
      </c>
      <c r="R126" s="30">
        <f t="shared" si="56"/>
        <v>35</v>
      </c>
      <c r="S126" s="30">
        <f t="shared" si="57"/>
        <v>18.880000000000003</v>
      </c>
      <c r="T126" s="30">
        <f t="shared" si="58"/>
        <v>26.033333333333339</v>
      </c>
      <c r="U126" s="25">
        <v>72</v>
      </c>
      <c r="V126" s="31">
        <f t="shared" si="59"/>
        <v>217.60000000000002</v>
      </c>
      <c r="W126" s="25">
        <v>160</v>
      </c>
      <c r="X126" s="25">
        <v>11</v>
      </c>
      <c r="Y126" s="25">
        <v>101</v>
      </c>
      <c r="Z126" s="31">
        <f t="shared" si="60"/>
        <v>200</v>
      </c>
      <c r="AA126" s="31">
        <f t="shared" si="61"/>
        <v>3</v>
      </c>
      <c r="AB126" s="31">
        <f t="shared" si="62"/>
        <v>8</v>
      </c>
      <c r="AC126" s="31" t="str">
        <f t="shared" si="63"/>
        <v/>
      </c>
      <c r="AD126" s="31" t="str">
        <f t="shared" si="64"/>
        <v/>
      </c>
      <c r="AE126" s="31" t="str">
        <f t="shared" si="65"/>
        <v/>
      </c>
      <c r="AF126" s="31" t="str">
        <f t="shared" si="66"/>
        <v/>
      </c>
      <c r="AG126" s="25">
        <v>11</v>
      </c>
      <c r="AH126" s="25">
        <v>0</v>
      </c>
      <c r="AI126" s="25">
        <v>0</v>
      </c>
      <c r="AJ126" s="23" t="s">
        <v>207</v>
      </c>
      <c r="AK126" s="23" t="s">
        <v>92</v>
      </c>
      <c r="AL126" s="25">
        <v>412</v>
      </c>
      <c r="AO126" s="32" t="str">
        <f t="shared" si="67"/>
        <v>3 doors</v>
      </c>
      <c r="AQ126" s="23" t="s">
        <v>32</v>
      </c>
      <c r="AR126" s="23" t="str">
        <f t="shared" si="68"/>
        <v>CC</v>
      </c>
      <c r="AS126" s="34">
        <f t="shared" si="69"/>
        <v>5320.02</v>
      </c>
      <c r="AT126" s="23">
        <v>53</v>
      </c>
      <c r="AU126" s="23">
        <v>20</v>
      </c>
      <c r="AV126" s="23">
        <v>2</v>
      </c>
    </row>
    <row r="127" spans="1:48">
      <c r="A127" s="25">
        <v>412</v>
      </c>
      <c r="B127" s="23" t="s">
        <v>125</v>
      </c>
      <c r="D127" s="23">
        <v>2</v>
      </c>
      <c r="E127" s="25" t="s">
        <v>30</v>
      </c>
      <c r="F127" s="25" t="s">
        <v>30</v>
      </c>
      <c r="G127" s="23" t="s">
        <v>27</v>
      </c>
      <c r="H127" s="23" t="s">
        <v>177</v>
      </c>
      <c r="I127" s="25">
        <v>1996</v>
      </c>
      <c r="J127" s="35">
        <v>30</v>
      </c>
      <c r="K127" s="35">
        <v>40</v>
      </c>
      <c r="L127" s="35">
        <v>20</v>
      </c>
      <c r="M127" s="25">
        <v>14</v>
      </c>
      <c r="N127" s="25">
        <v>14</v>
      </c>
      <c r="R127" s="30">
        <f t="shared" si="56"/>
        <v>28</v>
      </c>
      <c r="S127" s="30">
        <f t="shared" si="57"/>
        <v>18.516000000000002</v>
      </c>
      <c r="T127" s="30">
        <f t="shared" si="58"/>
        <v>25.598666666666666</v>
      </c>
      <c r="U127" s="25">
        <v>100</v>
      </c>
      <c r="V127" s="31">
        <f t="shared" si="59"/>
        <v>220.32000000000002</v>
      </c>
      <c r="W127" s="25">
        <v>162</v>
      </c>
      <c r="X127" s="25">
        <v>11</v>
      </c>
      <c r="Y127" s="25">
        <v>70</v>
      </c>
      <c r="Z127" s="31">
        <f t="shared" si="60"/>
        <v>200</v>
      </c>
      <c r="AA127" s="31">
        <f t="shared" si="61"/>
        <v>3</v>
      </c>
      <c r="AB127" s="31">
        <f t="shared" si="62"/>
        <v>8</v>
      </c>
      <c r="AC127" s="31" t="str">
        <f t="shared" si="63"/>
        <v/>
      </c>
      <c r="AD127" s="31" t="str">
        <f t="shared" si="64"/>
        <v/>
      </c>
      <c r="AE127" s="31" t="str">
        <f t="shared" si="65"/>
        <v/>
      </c>
      <c r="AF127" s="31" t="str">
        <f t="shared" si="66"/>
        <v/>
      </c>
      <c r="AG127" s="25">
        <v>11</v>
      </c>
      <c r="AH127" s="25">
        <v>0</v>
      </c>
      <c r="AI127" s="25">
        <v>0</v>
      </c>
      <c r="AJ127" s="23" t="s">
        <v>207</v>
      </c>
      <c r="AK127" s="23" t="s">
        <v>92</v>
      </c>
      <c r="AL127" s="25">
        <v>412</v>
      </c>
      <c r="AO127" s="32" t="str">
        <f t="shared" si="67"/>
        <v>2 doors</v>
      </c>
      <c r="AQ127" s="23" t="s">
        <v>270</v>
      </c>
      <c r="AR127" s="23" t="str">
        <f t="shared" si="68"/>
        <v>CC</v>
      </c>
      <c r="AS127" s="34">
        <f t="shared" si="69"/>
        <v>5340</v>
      </c>
      <c r="AT127" s="23">
        <v>53</v>
      </c>
      <c r="AU127" s="23">
        <v>40</v>
      </c>
      <c r="AV127" s="23">
        <v>0</v>
      </c>
    </row>
    <row r="128" spans="1:48">
      <c r="A128" s="25">
        <v>412</v>
      </c>
      <c r="B128" s="23" t="s">
        <v>125</v>
      </c>
      <c r="D128" s="23">
        <v>2</v>
      </c>
      <c r="E128" s="25" t="s">
        <v>42</v>
      </c>
      <c r="F128" s="25" t="s">
        <v>42</v>
      </c>
      <c r="G128" s="23" t="s">
        <v>27</v>
      </c>
      <c r="H128" s="23" t="s">
        <v>177</v>
      </c>
      <c r="I128" s="25">
        <v>1996</v>
      </c>
      <c r="J128" s="35">
        <v>30</v>
      </c>
      <c r="K128" s="35">
        <v>40</v>
      </c>
      <c r="L128" s="35">
        <v>20</v>
      </c>
      <c r="M128" s="25">
        <v>14</v>
      </c>
      <c r="N128" s="25">
        <v>14</v>
      </c>
      <c r="R128" s="30">
        <f t="shared" si="56"/>
        <v>28</v>
      </c>
      <c r="S128" s="30">
        <f t="shared" si="57"/>
        <v>18.516000000000002</v>
      </c>
      <c r="T128" s="30">
        <f t="shared" si="58"/>
        <v>25.598666666666666</v>
      </c>
      <c r="U128" s="25">
        <v>100</v>
      </c>
      <c r="V128" s="31">
        <f t="shared" si="59"/>
        <v>220.32000000000002</v>
      </c>
      <c r="W128" s="25">
        <v>162</v>
      </c>
      <c r="X128" s="25">
        <v>11</v>
      </c>
      <c r="Y128" s="25">
        <v>70</v>
      </c>
      <c r="Z128" s="31">
        <f t="shared" si="60"/>
        <v>200</v>
      </c>
      <c r="AA128" s="31">
        <f t="shared" si="61"/>
        <v>3</v>
      </c>
      <c r="AB128" s="31">
        <f t="shared" si="62"/>
        <v>8</v>
      </c>
      <c r="AC128" s="31" t="str">
        <f t="shared" si="63"/>
        <v/>
      </c>
      <c r="AD128" s="31" t="str">
        <f t="shared" si="64"/>
        <v/>
      </c>
      <c r="AE128" s="31" t="str">
        <f t="shared" si="65"/>
        <v/>
      </c>
      <c r="AF128" s="31" t="str">
        <f t="shared" si="66"/>
        <v/>
      </c>
      <c r="AG128" s="25">
        <v>11</v>
      </c>
      <c r="AH128" s="25">
        <v>0</v>
      </c>
      <c r="AI128" s="25">
        <v>0</v>
      </c>
      <c r="AJ128" s="23" t="s">
        <v>207</v>
      </c>
      <c r="AK128" s="23" t="s">
        <v>92</v>
      </c>
      <c r="AL128" s="25">
        <v>412</v>
      </c>
      <c r="AO128" s="32" t="str">
        <f t="shared" si="67"/>
        <v>2 doors</v>
      </c>
      <c r="AQ128" s="23" t="s">
        <v>270</v>
      </c>
      <c r="AR128" s="23" t="str">
        <f t="shared" si="68"/>
        <v>CC</v>
      </c>
      <c r="AS128" s="34">
        <f t="shared" si="69"/>
        <v>5340.01</v>
      </c>
      <c r="AT128" s="23">
        <v>53</v>
      </c>
      <c r="AU128" s="23">
        <v>40</v>
      </c>
      <c r="AV128" s="23">
        <v>1</v>
      </c>
    </row>
    <row r="129" spans="1:48">
      <c r="A129" s="25">
        <v>417</v>
      </c>
      <c r="B129" s="23" t="s">
        <v>89</v>
      </c>
      <c r="D129" s="23">
        <v>4</v>
      </c>
      <c r="E129" s="25" t="s">
        <v>30</v>
      </c>
      <c r="F129" s="25" t="s">
        <v>30</v>
      </c>
      <c r="G129" s="23" t="s">
        <v>27</v>
      </c>
      <c r="H129" s="23" t="s">
        <v>183</v>
      </c>
      <c r="I129" s="25">
        <v>1994</v>
      </c>
      <c r="J129" s="35">
        <v>30</v>
      </c>
      <c r="K129" s="35">
        <v>40</v>
      </c>
      <c r="L129" s="35">
        <v>20</v>
      </c>
      <c r="M129" s="25">
        <v>14</v>
      </c>
      <c r="N129" s="25">
        <v>14</v>
      </c>
      <c r="O129" s="25">
        <v>14</v>
      </c>
      <c r="P129" s="25">
        <v>7</v>
      </c>
      <c r="R129" s="30">
        <f t="shared" si="56"/>
        <v>49</v>
      </c>
      <c r="S129" s="30">
        <f t="shared" si="57"/>
        <v>23.988</v>
      </c>
      <c r="T129" s="30">
        <f t="shared" si="58"/>
        <v>32.109333333333332</v>
      </c>
      <c r="U129" s="25">
        <v>72</v>
      </c>
      <c r="V129" s="31">
        <f t="shared" si="59"/>
        <v>259.76</v>
      </c>
      <c r="W129" s="25">
        <v>191</v>
      </c>
      <c r="X129" s="25">
        <v>15</v>
      </c>
      <c r="Y129" s="25">
        <v>170</v>
      </c>
      <c r="Z129" s="31">
        <f t="shared" si="60"/>
        <v>200</v>
      </c>
      <c r="AA129" s="31">
        <f t="shared" si="61"/>
        <v>2</v>
      </c>
      <c r="AB129" s="31">
        <f t="shared" si="62"/>
        <v>8</v>
      </c>
      <c r="AC129" s="31">
        <f t="shared" si="63"/>
        <v>7</v>
      </c>
      <c r="AD129" s="31" t="str">
        <f t="shared" si="64"/>
        <v/>
      </c>
      <c r="AE129" s="31" t="str">
        <f t="shared" si="65"/>
        <v/>
      </c>
      <c r="AF129" s="31" t="str">
        <f t="shared" si="66"/>
        <v/>
      </c>
      <c r="AG129" s="25">
        <v>10</v>
      </c>
      <c r="AH129" s="25">
        <v>7</v>
      </c>
      <c r="AI129" s="25">
        <v>0</v>
      </c>
      <c r="AJ129" s="23" t="s">
        <v>207</v>
      </c>
      <c r="AK129" s="23" t="s">
        <v>92</v>
      </c>
      <c r="AL129" s="25">
        <v>417</v>
      </c>
      <c r="AO129" s="32" t="str">
        <f t="shared" si="67"/>
        <v>4 doors</v>
      </c>
      <c r="AQ129" s="23" t="s">
        <v>32</v>
      </c>
      <c r="AR129" s="23" t="str">
        <f t="shared" si="68"/>
        <v>CC</v>
      </c>
      <c r="AS129" s="34">
        <f t="shared" si="69"/>
        <v>5400</v>
      </c>
      <c r="AT129" s="23">
        <v>54</v>
      </c>
      <c r="AU129" s="23">
        <v>0</v>
      </c>
      <c r="AV129" s="23">
        <v>0</v>
      </c>
    </row>
    <row r="130" spans="1:48">
      <c r="A130" s="25">
        <v>417</v>
      </c>
      <c r="B130" s="23" t="s">
        <v>89</v>
      </c>
      <c r="D130" s="23">
        <v>4</v>
      </c>
      <c r="E130" s="25" t="s">
        <v>42</v>
      </c>
      <c r="F130" s="25" t="s">
        <v>42</v>
      </c>
      <c r="G130" s="23" t="s">
        <v>27</v>
      </c>
      <c r="H130" s="23" t="s">
        <v>183</v>
      </c>
      <c r="I130" s="25">
        <v>1998</v>
      </c>
      <c r="J130" s="35">
        <v>30</v>
      </c>
      <c r="K130" s="35">
        <v>40</v>
      </c>
      <c r="L130" s="35">
        <v>20</v>
      </c>
      <c r="M130" s="25">
        <v>14</v>
      </c>
      <c r="N130" s="25">
        <v>14</v>
      </c>
      <c r="O130" s="25">
        <v>14</v>
      </c>
      <c r="P130" s="25">
        <v>7</v>
      </c>
      <c r="R130" s="30">
        <f t="shared" si="56"/>
        <v>49</v>
      </c>
      <c r="S130" s="30">
        <f t="shared" si="57"/>
        <v>23.988</v>
      </c>
      <c r="T130" s="30">
        <f t="shared" si="58"/>
        <v>32.109333333333332</v>
      </c>
      <c r="U130" s="25">
        <v>72</v>
      </c>
      <c r="V130" s="31">
        <f t="shared" si="59"/>
        <v>259.76</v>
      </c>
      <c r="W130" s="25">
        <v>191</v>
      </c>
      <c r="X130" s="25">
        <v>15</v>
      </c>
      <c r="Y130" s="25">
        <v>170</v>
      </c>
      <c r="Z130" s="31">
        <f t="shared" si="60"/>
        <v>200</v>
      </c>
      <c r="AA130" s="31">
        <f t="shared" si="61"/>
        <v>2</v>
      </c>
      <c r="AB130" s="31">
        <f t="shared" si="62"/>
        <v>8</v>
      </c>
      <c r="AC130" s="31">
        <f t="shared" si="63"/>
        <v>7</v>
      </c>
      <c r="AD130" s="31" t="str">
        <f t="shared" si="64"/>
        <v/>
      </c>
      <c r="AE130" s="31" t="str">
        <f t="shared" si="65"/>
        <v/>
      </c>
      <c r="AF130" s="31" t="str">
        <f t="shared" si="66"/>
        <v/>
      </c>
      <c r="AG130" s="25">
        <v>10</v>
      </c>
      <c r="AH130" s="25">
        <v>7</v>
      </c>
      <c r="AI130" s="25">
        <v>0</v>
      </c>
      <c r="AJ130" s="23" t="s">
        <v>207</v>
      </c>
      <c r="AK130" s="23" t="s">
        <v>92</v>
      </c>
      <c r="AL130" s="25">
        <v>417</v>
      </c>
      <c r="AO130" s="32" t="str">
        <f t="shared" si="67"/>
        <v>4 doors</v>
      </c>
      <c r="AQ130" s="23" t="s">
        <v>32</v>
      </c>
      <c r="AR130" s="23" t="str">
        <f t="shared" si="68"/>
        <v>CC</v>
      </c>
      <c r="AS130" s="34">
        <f t="shared" si="69"/>
        <v>5400.01</v>
      </c>
      <c r="AT130" s="23">
        <v>54</v>
      </c>
      <c r="AU130" s="23">
        <v>0</v>
      </c>
      <c r="AV130" s="23">
        <v>1</v>
      </c>
    </row>
    <row r="131" spans="1:48">
      <c r="A131" s="25">
        <v>417</v>
      </c>
      <c r="B131" s="23" t="s">
        <v>89</v>
      </c>
      <c r="D131" s="23">
        <v>4</v>
      </c>
      <c r="E131" s="25" t="s">
        <v>43</v>
      </c>
      <c r="F131" s="25" t="s">
        <v>43</v>
      </c>
      <c r="G131" s="23" t="s">
        <v>27</v>
      </c>
      <c r="H131" s="23" t="s">
        <v>183</v>
      </c>
      <c r="I131" s="25">
        <v>2012</v>
      </c>
      <c r="J131" s="35">
        <v>30</v>
      </c>
      <c r="K131" s="35">
        <v>40</v>
      </c>
      <c r="L131" s="35">
        <v>20</v>
      </c>
      <c r="M131" s="25">
        <v>14</v>
      </c>
      <c r="N131" s="25">
        <v>14</v>
      </c>
      <c r="O131" s="25">
        <v>14</v>
      </c>
      <c r="P131" s="25">
        <v>7</v>
      </c>
      <c r="R131" s="30">
        <f t="shared" ref="R131:R162" si="83">SUM(M131:Q131)</f>
        <v>49</v>
      </c>
      <c r="S131" s="30">
        <f t="shared" ref="S131:S162" si="84">IF(OR(G131="diesel", G131="petrol"), ((X131+(V131/10))/2)+(R131/14), IF(OR(G131="cng", G131="hybrid"), ((X131+(V131/10))/2*1.2)+(R131/14), IF(OR(G131="hydrogen", G131="electric"), ((X131+(V131/10))/2*1.5)+(R131/14), 0)))</f>
        <v>23.988</v>
      </c>
      <c r="T131" s="30">
        <f t="shared" ref="T131:T163" si="85">IF(G131="petrol", ((X131+(Y131/15)+V131)/10*1.5)+(R131/14), IF(G131="diesel", ((X131+(Y131/15)+V131)/10)+(R131/14), IF(OR(G131="cng", G131="hybrid"), ((X131+(Y131/15)+V131)/10*0.8)+(R131/14), IF(OR(G131="hydrogen", G131="electric"), ((X131+(Y131/15)+V131)/10*0.5)+(R131/14), 0))))</f>
        <v>32.109333333333332</v>
      </c>
      <c r="U131" s="25">
        <v>72</v>
      </c>
      <c r="V131" s="31">
        <f t="shared" ref="V131:V162" si="86">W131*1.36</f>
        <v>259.76</v>
      </c>
      <c r="W131" s="25">
        <v>191</v>
      </c>
      <c r="X131" s="25">
        <v>15</v>
      </c>
      <c r="Y131" s="25">
        <v>170</v>
      </c>
      <c r="Z131" s="31">
        <f t="shared" ref="Z131:Z163" si="87">IF(AQ131="Regional", 185, IF(AQ131="Intercity", 150, IF(AQ131="Tourist", 100, 200)))</f>
        <v>200</v>
      </c>
      <c r="AA131" s="31">
        <f t="shared" ref="AA131:AA163" si="88">IF(AG131&gt;8, AG131-8, AG131)</f>
        <v>2</v>
      </c>
      <c r="AB131" s="31">
        <f t="shared" ref="AB131:AB163" si="89">IF(AG131&gt;8, 8, "")</f>
        <v>8</v>
      </c>
      <c r="AC131" s="31">
        <f t="shared" ref="AC131:AC163" si="90">IF(AH131&gt;8, AH131-8, IF(AH131=0, "", AH131))</f>
        <v>7</v>
      </c>
      <c r="AD131" s="31" t="str">
        <f t="shared" ref="AD131:AD163" si="91">IF(AH131&gt;8, 8, "")</f>
        <v/>
      </c>
      <c r="AE131" s="31" t="str">
        <f t="shared" ref="AE131:AE163" si="92">IF(AI131&gt;8, AI131-8, IF(AI131=0, "", AI131))</f>
        <v/>
      </c>
      <c r="AF131" s="31" t="str">
        <f t="shared" ref="AF131:AF163" si="93">IF(AI131&gt;8, 8, "")</f>
        <v/>
      </c>
      <c r="AG131" s="25">
        <v>10</v>
      </c>
      <c r="AH131" s="25">
        <v>7</v>
      </c>
      <c r="AI131" s="25">
        <v>0</v>
      </c>
      <c r="AJ131" s="23" t="s">
        <v>207</v>
      </c>
      <c r="AK131" s="23" t="s">
        <v>92</v>
      </c>
      <c r="AL131" s="25">
        <v>417</v>
      </c>
      <c r="AO131" s="32" t="str">
        <f t="shared" ref="AO131:AO164" si="94">IF(Q131&gt;0, "5 doors", IF(P131&gt;0, "4 doors", IF(O131&gt;0, "3 doors", IF(N131&gt;0, "2 doors", "1 door"))))</f>
        <v>4 doors</v>
      </c>
      <c r="AQ131" s="23" t="s">
        <v>32</v>
      </c>
      <c r="AR131" s="23" t="str">
        <f t="shared" ref="AR131:AR163" si="95">IF(E131="CC1", "CC", IF(E131="CC2", "CC", IF(E131="CC3", "CC", "Hungary")))</f>
        <v>CC</v>
      </c>
      <c r="AS131" s="34">
        <f t="shared" ref="AS131:AS162" si="96">(AT131*100)+AU131+(AV131/100)</f>
        <v>5400.02</v>
      </c>
      <c r="AT131" s="23">
        <v>54</v>
      </c>
      <c r="AU131" s="23">
        <v>0</v>
      </c>
      <c r="AV131" s="23">
        <v>2</v>
      </c>
    </row>
    <row r="132" spans="1:48">
      <c r="A132" s="25">
        <v>417</v>
      </c>
      <c r="B132" s="23" t="s">
        <v>125</v>
      </c>
      <c r="D132" s="23">
        <v>3</v>
      </c>
      <c r="E132" s="25" t="s">
        <v>30</v>
      </c>
      <c r="F132" s="25" t="s">
        <v>30</v>
      </c>
      <c r="G132" s="23" t="s">
        <v>27</v>
      </c>
      <c r="H132" s="23" t="s">
        <v>184</v>
      </c>
      <c r="I132" s="25">
        <v>1995</v>
      </c>
      <c r="J132" s="35">
        <v>30</v>
      </c>
      <c r="K132" s="35">
        <v>40</v>
      </c>
      <c r="L132" s="35">
        <v>20</v>
      </c>
      <c r="M132" s="25">
        <v>14</v>
      </c>
      <c r="N132" s="25">
        <v>14</v>
      </c>
      <c r="O132" s="25">
        <v>14</v>
      </c>
      <c r="R132" s="30">
        <f t="shared" si="83"/>
        <v>42</v>
      </c>
      <c r="S132" s="30">
        <f t="shared" si="84"/>
        <v>26.004000000000001</v>
      </c>
      <c r="T132" s="30">
        <f t="shared" si="85"/>
        <v>36.334666666666671</v>
      </c>
      <c r="U132" s="25">
        <v>90</v>
      </c>
      <c r="V132" s="31">
        <f t="shared" si="86"/>
        <v>310.08000000000004</v>
      </c>
      <c r="W132" s="25">
        <v>228</v>
      </c>
      <c r="X132" s="25">
        <v>15</v>
      </c>
      <c r="Y132" s="25">
        <v>124</v>
      </c>
      <c r="Z132" s="31">
        <f t="shared" si="87"/>
        <v>200</v>
      </c>
      <c r="AA132" s="31">
        <f t="shared" si="88"/>
        <v>2</v>
      </c>
      <c r="AB132" s="31">
        <f t="shared" si="89"/>
        <v>8</v>
      </c>
      <c r="AC132" s="31">
        <f t="shared" si="90"/>
        <v>7</v>
      </c>
      <c r="AD132" s="31" t="str">
        <f t="shared" si="91"/>
        <v/>
      </c>
      <c r="AE132" s="31" t="str">
        <f t="shared" si="92"/>
        <v/>
      </c>
      <c r="AF132" s="31" t="str">
        <f t="shared" si="93"/>
        <v/>
      </c>
      <c r="AG132" s="25">
        <v>10</v>
      </c>
      <c r="AH132" s="25">
        <v>7</v>
      </c>
      <c r="AI132" s="25">
        <v>0</v>
      </c>
      <c r="AJ132" s="23" t="s">
        <v>207</v>
      </c>
      <c r="AK132" s="23" t="s">
        <v>92</v>
      </c>
      <c r="AL132" s="25">
        <v>417</v>
      </c>
      <c r="AO132" s="32" t="str">
        <f t="shared" si="94"/>
        <v>3 doors</v>
      </c>
      <c r="AQ132" s="23" t="s">
        <v>270</v>
      </c>
      <c r="AR132" s="23" t="str">
        <f t="shared" si="95"/>
        <v>CC</v>
      </c>
      <c r="AS132" s="34">
        <f t="shared" si="96"/>
        <v>5420</v>
      </c>
      <c r="AT132" s="23">
        <v>54</v>
      </c>
      <c r="AU132" s="23">
        <v>20</v>
      </c>
      <c r="AV132" s="23">
        <v>0</v>
      </c>
    </row>
    <row r="133" spans="1:48">
      <c r="A133" s="25">
        <v>417</v>
      </c>
      <c r="B133" s="23" t="s">
        <v>125</v>
      </c>
      <c r="D133" s="23">
        <v>3</v>
      </c>
      <c r="E133" s="25" t="s">
        <v>42</v>
      </c>
      <c r="F133" s="25" t="s">
        <v>42</v>
      </c>
      <c r="G133" s="23" t="s">
        <v>27</v>
      </c>
      <c r="H133" s="23" t="s">
        <v>184</v>
      </c>
      <c r="I133" s="25">
        <v>2001</v>
      </c>
      <c r="J133" s="35">
        <v>30</v>
      </c>
      <c r="K133" s="35">
        <v>40</v>
      </c>
      <c r="L133" s="35">
        <v>20</v>
      </c>
      <c r="M133" s="25">
        <v>14</v>
      </c>
      <c r="N133" s="25">
        <v>14</v>
      </c>
      <c r="O133" s="25">
        <v>14</v>
      </c>
      <c r="R133" s="30">
        <f t="shared" si="83"/>
        <v>42</v>
      </c>
      <c r="S133" s="30">
        <f t="shared" si="84"/>
        <v>26.004000000000001</v>
      </c>
      <c r="T133" s="30">
        <f t="shared" si="85"/>
        <v>36.334666666666671</v>
      </c>
      <c r="U133" s="25">
        <v>90</v>
      </c>
      <c r="V133" s="31">
        <f t="shared" si="86"/>
        <v>310.08000000000004</v>
      </c>
      <c r="W133" s="25">
        <v>228</v>
      </c>
      <c r="X133" s="25">
        <v>15</v>
      </c>
      <c r="Y133" s="25">
        <v>124</v>
      </c>
      <c r="Z133" s="31">
        <f t="shared" si="87"/>
        <v>200</v>
      </c>
      <c r="AA133" s="31">
        <f t="shared" si="88"/>
        <v>2</v>
      </c>
      <c r="AB133" s="31">
        <f t="shared" si="89"/>
        <v>8</v>
      </c>
      <c r="AC133" s="31">
        <f t="shared" si="90"/>
        <v>7</v>
      </c>
      <c r="AD133" s="31" t="str">
        <f t="shared" si="91"/>
        <v/>
      </c>
      <c r="AE133" s="31" t="str">
        <f t="shared" si="92"/>
        <v/>
      </c>
      <c r="AF133" s="31" t="str">
        <f t="shared" si="93"/>
        <v/>
      </c>
      <c r="AG133" s="25">
        <v>10</v>
      </c>
      <c r="AH133" s="25">
        <v>7</v>
      </c>
      <c r="AI133" s="25">
        <v>0</v>
      </c>
      <c r="AJ133" s="23" t="s">
        <v>207</v>
      </c>
      <c r="AK133" s="23" t="s">
        <v>92</v>
      </c>
      <c r="AL133" s="25">
        <v>417</v>
      </c>
      <c r="AO133" s="32" t="str">
        <f t="shared" si="94"/>
        <v>3 doors</v>
      </c>
      <c r="AQ133" s="23" t="s">
        <v>270</v>
      </c>
      <c r="AR133" s="23" t="str">
        <f t="shared" si="95"/>
        <v>CC</v>
      </c>
      <c r="AS133" s="34">
        <f t="shared" si="96"/>
        <v>5420.01</v>
      </c>
      <c r="AT133" s="23">
        <v>54</v>
      </c>
      <c r="AU133" s="23">
        <v>20</v>
      </c>
      <c r="AV133" s="23">
        <v>1</v>
      </c>
    </row>
    <row r="134" spans="1:48">
      <c r="A134" s="25" t="s">
        <v>111</v>
      </c>
      <c r="D134" s="23">
        <v>4</v>
      </c>
      <c r="E134" s="25" t="s">
        <v>30</v>
      </c>
      <c r="F134" s="25" t="s">
        <v>30</v>
      </c>
      <c r="G134" s="23" t="s">
        <v>27</v>
      </c>
      <c r="H134" s="23" t="s">
        <v>182</v>
      </c>
      <c r="I134" s="25">
        <v>2020</v>
      </c>
      <c r="J134" s="35">
        <v>30</v>
      </c>
      <c r="K134" s="35">
        <v>40</v>
      </c>
      <c r="L134" s="35">
        <v>20</v>
      </c>
      <c r="M134" s="25">
        <v>14</v>
      </c>
      <c r="N134" s="25">
        <v>14</v>
      </c>
      <c r="O134" s="25">
        <v>14</v>
      </c>
      <c r="P134" s="25">
        <v>14</v>
      </c>
      <c r="R134" s="30">
        <f t="shared" si="83"/>
        <v>56</v>
      </c>
      <c r="S134" s="30">
        <f t="shared" si="84"/>
        <v>34.012</v>
      </c>
      <c r="T134" s="30">
        <f t="shared" si="85"/>
        <v>49.490666666666669</v>
      </c>
      <c r="U134" s="25">
        <v>78</v>
      </c>
      <c r="V134" s="31">
        <f t="shared" si="86"/>
        <v>420.24</v>
      </c>
      <c r="W134" s="25">
        <v>309</v>
      </c>
      <c r="X134" s="25">
        <v>18</v>
      </c>
      <c r="Y134" s="25">
        <v>250</v>
      </c>
      <c r="Z134" s="31">
        <f t="shared" si="87"/>
        <v>200</v>
      </c>
      <c r="AA134" s="31">
        <f t="shared" si="88"/>
        <v>2</v>
      </c>
      <c r="AB134" s="31">
        <f t="shared" si="89"/>
        <v>8</v>
      </c>
      <c r="AC134" s="31">
        <f t="shared" si="90"/>
        <v>6</v>
      </c>
      <c r="AD134" s="31" t="str">
        <f t="shared" si="91"/>
        <v/>
      </c>
      <c r="AE134" s="31">
        <f t="shared" si="92"/>
        <v>7</v>
      </c>
      <c r="AF134" s="31" t="str">
        <f t="shared" si="93"/>
        <v/>
      </c>
      <c r="AG134" s="25">
        <v>10</v>
      </c>
      <c r="AH134" s="25">
        <v>6</v>
      </c>
      <c r="AI134" s="25">
        <v>7</v>
      </c>
      <c r="AJ134" s="23" t="s">
        <v>207</v>
      </c>
      <c r="AK134" s="23" t="s">
        <v>92</v>
      </c>
      <c r="AL134" s="25" t="s">
        <v>111</v>
      </c>
      <c r="AO134" s="32" t="str">
        <f t="shared" si="94"/>
        <v>4 doors</v>
      </c>
      <c r="AQ134" s="23" t="s">
        <v>32</v>
      </c>
      <c r="AR134" s="23" t="str">
        <f t="shared" si="95"/>
        <v>CC</v>
      </c>
      <c r="AS134" s="34">
        <f t="shared" si="96"/>
        <v>5900</v>
      </c>
      <c r="AT134" s="23">
        <v>59</v>
      </c>
      <c r="AU134" s="23">
        <v>0</v>
      </c>
      <c r="AV134" s="23">
        <v>0</v>
      </c>
    </row>
    <row r="135" spans="1:48">
      <c r="A135" s="25" t="s">
        <v>119</v>
      </c>
      <c r="D135" s="23">
        <v>2</v>
      </c>
      <c r="E135" s="25" t="s">
        <v>30</v>
      </c>
      <c r="F135" s="25" t="s">
        <v>30</v>
      </c>
      <c r="G135" s="23" t="s">
        <v>27</v>
      </c>
      <c r="H135" s="23" t="s">
        <v>202</v>
      </c>
      <c r="I135" s="25">
        <v>1992</v>
      </c>
      <c r="J135" s="35">
        <v>30</v>
      </c>
      <c r="K135" s="35">
        <v>40</v>
      </c>
      <c r="L135" s="35">
        <v>20</v>
      </c>
      <c r="M135" s="25">
        <v>5</v>
      </c>
      <c r="N135" s="25">
        <v>5</v>
      </c>
      <c r="R135" s="30">
        <f t="shared" si="83"/>
        <v>10</v>
      </c>
      <c r="S135" s="30">
        <f t="shared" si="84"/>
        <v>22.694285714285716</v>
      </c>
      <c r="T135" s="30">
        <f t="shared" si="85"/>
        <v>34.327619047619045</v>
      </c>
      <c r="U135" s="25">
        <v>130</v>
      </c>
      <c r="V135" s="31">
        <f t="shared" si="86"/>
        <v>319.60000000000002</v>
      </c>
      <c r="W135" s="25">
        <v>235</v>
      </c>
      <c r="X135" s="25">
        <v>12</v>
      </c>
      <c r="Y135" s="25">
        <v>68</v>
      </c>
      <c r="Z135" s="31">
        <f t="shared" si="87"/>
        <v>150</v>
      </c>
      <c r="AA135" s="31">
        <f t="shared" si="88"/>
        <v>3</v>
      </c>
      <c r="AB135" s="31">
        <f t="shared" si="89"/>
        <v>8</v>
      </c>
      <c r="AC135" s="31" t="str">
        <f t="shared" si="90"/>
        <v/>
      </c>
      <c r="AD135" s="31" t="str">
        <f t="shared" si="91"/>
        <v/>
      </c>
      <c r="AE135" s="31" t="str">
        <f t="shared" si="92"/>
        <v/>
      </c>
      <c r="AF135" s="31" t="str">
        <f t="shared" si="93"/>
        <v/>
      </c>
      <c r="AG135" s="25">
        <v>11</v>
      </c>
      <c r="AH135" s="25">
        <v>0</v>
      </c>
      <c r="AI135" s="25">
        <v>0</v>
      </c>
      <c r="AJ135" s="23" t="s">
        <v>208</v>
      </c>
      <c r="AK135" s="23" t="s">
        <v>92</v>
      </c>
      <c r="AL135" s="25" t="s">
        <v>119</v>
      </c>
      <c r="AO135" s="32" t="str">
        <f t="shared" si="94"/>
        <v>2 doors</v>
      </c>
      <c r="AQ135" s="23" t="s">
        <v>47</v>
      </c>
      <c r="AR135" s="23" t="str">
        <f t="shared" si="95"/>
        <v>CC</v>
      </c>
      <c r="AS135" s="34">
        <f t="shared" si="96"/>
        <v>7000</v>
      </c>
      <c r="AT135" s="23">
        <v>70</v>
      </c>
      <c r="AU135" s="23">
        <v>0</v>
      </c>
      <c r="AV135" s="23">
        <v>0</v>
      </c>
    </row>
    <row r="136" spans="1:48">
      <c r="A136" s="25" t="s">
        <v>119</v>
      </c>
      <c r="D136" s="23">
        <v>2</v>
      </c>
      <c r="E136" s="25" t="s">
        <v>42</v>
      </c>
      <c r="F136" s="25" t="s">
        <v>42</v>
      </c>
      <c r="G136" s="23" t="s">
        <v>27</v>
      </c>
      <c r="H136" s="23" t="s">
        <v>202</v>
      </c>
      <c r="I136" s="25">
        <v>1992</v>
      </c>
      <c r="J136" s="35">
        <v>30</v>
      </c>
      <c r="K136" s="35">
        <v>40</v>
      </c>
      <c r="L136" s="35">
        <v>20</v>
      </c>
      <c r="M136" s="25">
        <v>5</v>
      </c>
      <c r="N136" s="25">
        <v>5</v>
      </c>
      <c r="R136" s="30">
        <f t="shared" si="83"/>
        <v>10</v>
      </c>
      <c r="S136" s="30">
        <f t="shared" si="84"/>
        <v>22.694285714285716</v>
      </c>
      <c r="T136" s="30">
        <f t="shared" si="85"/>
        <v>34.327619047619045</v>
      </c>
      <c r="U136" s="25">
        <v>130</v>
      </c>
      <c r="V136" s="31">
        <f t="shared" si="86"/>
        <v>319.60000000000002</v>
      </c>
      <c r="W136" s="25">
        <v>235</v>
      </c>
      <c r="X136" s="25">
        <v>12</v>
      </c>
      <c r="Y136" s="25">
        <v>68</v>
      </c>
      <c r="Z136" s="31">
        <f t="shared" si="87"/>
        <v>150</v>
      </c>
      <c r="AA136" s="31">
        <f t="shared" si="88"/>
        <v>3</v>
      </c>
      <c r="AB136" s="31">
        <f t="shared" si="89"/>
        <v>8</v>
      </c>
      <c r="AC136" s="31" t="str">
        <f t="shared" si="90"/>
        <v/>
      </c>
      <c r="AD136" s="31" t="str">
        <f t="shared" si="91"/>
        <v/>
      </c>
      <c r="AE136" s="31" t="str">
        <f t="shared" si="92"/>
        <v/>
      </c>
      <c r="AF136" s="31" t="str">
        <f t="shared" si="93"/>
        <v/>
      </c>
      <c r="AG136" s="25">
        <v>11</v>
      </c>
      <c r="AH136" s="25">
        <v>0</v>
      </c>
      <c r="AI136" s="25">
        <v>0</v>
      </c>
      <c r="AJ136" s="23" t="s">
        <v>208</v>
      </c>
      <c r="AK136" s="23" t="s">
        <v>92</v>
      </c>
      <c r="AL136" s="25" t="s">
        <v>119</v>
      </c>
      <c r="AO136" s="32" t="str">
        <f t="shared" si="94"/>
        <v>2 doors</v>
      </c>
      <c r="AQ136" s="23" t="s">
        <v>47</v>
      </c>
      <c r="AR136" s="23" t="str">
        <f t="shared" si="95"/>
        <v>CC</v>
      </c>
      <c r="AS136" s="34">
        <f t="shared" si="96"/>
        <v>7000.01</v>
      </c>
      <c r="AT136" s="23">
        <v>70</v>
      </c>
      <c r="AU136" s="23">
        <v>0</v>
      </c>
      <c r="AV136" s="23">
        <v>1</v>
      </c>
    </row>
    <row r="137" spans="1:48">
      <c r="A137" s="25" t="s">
        <v>119</v>
      </c>
      <c r="D137" s="23">
        <v>2</v>
      </c>
      <c r="E137" s="25" t="s">
        <v>214</v>
      </c>
      <c r="F137" s="25" t="s">
        <v>46</v>
      </c>
      <c r="G137" s="23" t="s">
        <v>27</v>
      </c>
      <c r="H137" s="23" t="s">
        <v>202</v>
      </c>
      <c r="I137" s="25">
        <v>1992</v>
      </c>
      <c r="J137" s="35">
        <v>30</v>
      </c>
      <c r="K137" s="35">
        <v>40</v>
      </c>
      <c r="L137" s="35">
        <v>20</v>
      </c>
      <c r="M137" s="25">
        <v>5</v>
      </c>
      <c r="N137" s="25">
        <v>5</v>
      </c>
      <c r="R137" s="30">
        <f t="shared" si="83"/>
        <v>10</v>
      </c>
      <c r="S137" s="30">
        <f t="shared" si="84"/>
        <v>22.694285714285716</v>
      </c>
      <c r="T137" s="30">
        <f t="shared" si="85"/>
        <v>34.327619047619045</v>
      </c>
      <c r="U137" s="25">
        <v>130</v>
      </c>
      <c r="V137" s="31">
        <f t="shared" si="86"/>
        <v>319.60000000000002</v>
      </c>
      <c r="W137" s="25">
        <v>235</v>
      </c>
      <c r="X137" s="25">
        <v>12</v>
      </c>
      <c r="Y137" s="25">
        <v>68</v>
      </c>
      <c r="Z137" s="31">
        <f t="shared" si="87"/>
        <v>150</v>
      </c>
      <c r="AA137" s="31">
        <f t="shared" si="88"/>
        <v>3</v>
      </c>
      <c r="AB137" s="31">
        <f t="shared" si="89"/>
        <v>8</v>
      </c>
      <c r="AC137" s="31" t="str">
        <f t="shared" si="90"/>
        <v/>
      </c>
      <c r="AD137" s="31" t="str">
        <f t="shared" si="91"/>
        <v/>
      </c>
      <c r="AE137" s="31" t="str">
        <f t="shared" si="92"/>
        <v/>
      </c>
      <c r="AF137" s="31" t="str">
        <f t="shared" si="93"/>
        <v/>
      </c>
      <c r="AG137" s="25">
        <v>11</v>
      </c>
      <c r="AH137" s="25">
        <v>0</v>
      </c>
      <c r="AI137" s="25">
        <v>0</v>
      </c>
      <c r="AJ137" s="23" t="s">
        <v>208</v>
      </c>
      <c r="AK137" s="23" t="s">
        <v>92</v>
      </c>
      <c r="AL137" s="25" t="s">
        <v>119</v>
      </c>
      <c r="AO137" s="32" t="str">
        <f t="shared" si="94"/>
        <v>2 doors</v>
      </c>
      <c r="AQ137" s="23" t="s">
        <v>47</v>
      </c>
      <c r="AR137" s="23" t="str">
        <f t="shared" si="95"/>
        <v>Hungary</v>
      </c>
      <c r="AS137" s="34">
        <f t="shared" si="96"/>
        <v>7000.02</v>
      </c>
      <c r="AT137" s="23">
        <v>70</v>
      </c>
      <c r="AU137" s="23">
        <v>0</v>
      </c>
      <c r="AV137" s="23">
        <v>2</v>
      </c>
    </row>
    <row r="138" spans="1:48">
      <c r="A138" s="25" t="s">
        <v>119</v>
      </c>
      <c r="D138" s="23">
        <v>2</v>
      </c>
      <c r="E138" s="25" t="s">
        <v>215</v>
      </c>
      <c r="F138" s="25" t="s">
        <v>46</v>
      </c>
      <c r="G138" s="23" t="s">
        <v>27</v>
      </c>
      <c r="H138" s="23" t="s">
        <v>202</v>
      </c>
      <c r="I138" s="25">
        <v>1992</v>
      </c>
      <c r="J138" s="35">
        <v>30</v>
      </c>
      <c r="K138" s="35">
        <v>40</v>
      </c>
      <c r="L138" s="35">
        <v>20</v>
      </c>
      <c r="M138" s="25">
        <v>5</v>
      </c>
      <c r="N138" s="25">
        <v>5</v>
      </c>
      <c r="R138" s="30">
        <f t="shared" si="83"/>
        <v>10</v>
      </c>
      <c r="S138" s="30">
        <f t="shared" si="84"/>
        <v>22.694285714285716</v>
      </c>
      <c r="T138" s="30">
        <f t="shared" si="85"/>
        <v>34.327619047619045</v>
      </c>
      <c r="U138" s="25">
        <v>130</v>
      </c>
      <c r="V138" s="31">
        <f t="shared" si="86"/>
        <v>319.60000000000002</v>
      </c>
      <c r="W138" s="25">
        <v>235</v>
      </c>
      <c r="X138" s="25">
        <v>12</v>
      </c>
      <c r="Y138" s="25">
        <v>68</v>
      </c>
      <c r="Z138" s="31">
        <f t="shared" si="87"/>
        <v>150</v>
      </c>
      <c r="AA138" s="31">
        <f t="shared" si="88"/>
        <v>3</v>
      </c>
      <c r="AB138" s="31">
        <f t="shared" si="89"/>
        <v>8</v>
      </c>
      <c r="AC138" s="31" t="str">
        <f t="shared" si="90"/>
        <v/>
      </c>
      <c r="AD138" s="31" t="str">
        <f t="shared" si="91"/>
        <v/>
      </c>
      <c r="AE138" s="31" t="str">
        <f t="shared" si="92"/>
        <v/>
      </c>
      <c r="AF138" s="31" t="str">
        <f t="shared" si="93"/>
        <v/>
      </c>
      <c r="AG138" s="25">
        <v>11</v>
      </c>
      <c r="AH138" s="25">
        <v>0</v>
      </c>
      <c r="AI138" s="25">
        <v>0</v>
      </c>
      <c r="AJ138" s="23" t="s">
        <v>208</v>
      </c>
      <c r="AK138" s="23" t="s">
        <v>92</v>
      </c>
      <c r="AL138" s="25" t="s">
        <v>119</v>
      </c>
      <c r="AO138" s="32" t="str">
        <f t="shared" si="94"/>
        <v>2 doors</v>
      </c>
      <c r="AQ138" s="23" t="s">
        <v>47</v>
      </c>
      <c r="AR138" s="23" t="str">
        <f t="shared" si="95"/>
        <v>Hungary</v>
      </c>
      <c r="AS138" s="34">
        <f t="shared" si="96"/>
        <v>7000.03</v>
      </c>
      <c r="AT138" s="23">
        <v>70</v>
      </c>
      <c r="AU138" s="23">
        <v>0</v>
      </c>
      <c r="AV138" s="23">
        <v>3</v>
      </c>
    </row>
    <row r="139" spans="1:48">
      <c r="A139" s="25" t="s">
        <v>112</v>
      </c>
      <c r="D139" s="23">
        <v>2</v>
      </c>
      <c r="E139" s="25" t="s">
        <v>30</v>
      </c>
      <c r="F139" s="25" t="s">
        <v>30</v>
      </c>
      <c r="G139" s="23" t="s">
        <v>27</v>
      </c>
      <c r="H139" s="23" t="s">
        <v>193</v>
      </c>
      <c r="I139" s="25">
        <v>1998</v>
      </c>
      <c r="J139" s="35">
        <v>30</v>
      </c>
      <c r="K139" s="35">
        <v>40</v>
      </c>
      <c r="L139" s="35">
        <v>20</v>
      </c>
      <c r="M139" s="25">
        <v>4</v>
      </c>
      <c r="N139" s="25">
        <v>4</v>
      </c>
      <c r="R139" s="30">
        <f t="shared" si="83"/>
        <v>8</v>
      </c>
      <c r="S139" s="30">
        <f t="shared" si="84"/>
        <v>12.571428571428571</v>
      </c>
      <c r="T139" s="30">
        <f t="shared" si="85"/>
        <v>18.444761904761908</v>
      </c>
      <c r="U139" s="25">
        <v>117</v>
      </c>
      <c r="V139" s="31">
        <f t="shared" si="86"/>
        <v>170</v>
      </c>
      <c r="W139" s="25">
        <v>125</v>
      </c>
      <c r="X139" s="25">
        <v>7</v>
      </c>
      <c r="Y139" s="25">
        <v>26</v>
      </c>
      <c r="Z139" s="31">
        <f t="shared" si="87"/>
        <v>100</v>
      </c>
      <c r="AA139" s="31">
        <f t="shared" si="88"/>
        <v>8</v>
      </c>
      <c r="AB139" s="31" t="str">
        <f t="shared" si="89"/>
        <v/>
      </c>
      <c r="AC139" s="31" t="str">
        <f t="shared" si="90"/>
        <v/>
      </c>
      <c r="AD139" s="31" t="str">
        <f t="shared" si="91"/>
        <v/>
      </c>
      <c r="AE139" s="31" t="str">
        <f t="shared" si="92"/>
        <v/>
      </c>
      <c r="AF139" s="31" t="str">
        <f t="shared" si="93"/>
        <v/>
      </c>
      <c r="AG139" s="25">
        <v>8</v>
      </c>
      <c r="AH139" s="25">
        <v>0</v>
      </c>
      <c r="AI139" s="25">
        <v>0</v>
      </c>
      <c r="AJ139" s="23" t="s">
        <v>208</v>
      </c>
      <c r="AK139" s="23" t="s">
        <v>92</v>
      </c>
      <c r="AL139" s="25" t="s">
        <v>112</v>
      </c>
      <c r="AO139" s="32" t="str">
        <f t="shared" si="94"/>
        <v>2 doors</v>
      </c>
      <c r="AQ139" s="23" t="s">
        <v>48</v>
      </c>
      <c r="AR139" s="23" t="str">
        <f t="shared" si="95"/>
        <v>CC</v>
      </c>
      <c r="AS139" s="34">
        <f t="shared" si="96"/>
        <v>7040</v>
      </c>
      <c r="AT139" s="23">
        <v>70</v>
      </c>
      <c r="AU139" s="23">
        <v>40</v>
      </c>
      <c r="AV139" s="23">
        <v>0</v>
      </c>
    </row>
    <row r="140" spans="1:48">
      <c r="A140" s="25" t="s">
        <v>112</v>
      </c>
      <c r="D140" s="23">
        <v>2</v>
      </c>
      <c r="E140" s="25" t="s">
        <v>211</v>
      </c>
      <c r="F140" s="25" t="s">
        <v>211</v>
      </c>
      <c r="G140" s="23" t="s">
        <v>27</v>
      </c>
      <c r="H140" s="23" t="s">
        <v>193</v>
      </c>
      <c r="I140" s="25">
        <v>1998</v>
      </c>
      <c r="J140" s="35">
        <v>30</v>
      </c>
      <c r="K140" s="35">
        <v>40</v>
      </c>
      <c r="L140" s="35">
        <v>20</v>
      </c>
      <c r="M140" s="25">
        <v>4</v>
      </c>
      <c r="N140" s="25">
        <v>4</v>
      </c>
      <c r="R140" s="30">
        <f t="shared" si="83"/>
        <v>8</v>
      </c>
      <c r="S140" s="30">
        <f t="shared" si="84"/>
        <v>12.571428571428571</v>
      </c>
      <c r="T140" s="30">
        <f t="shared" si="85"/>
        <v>18.444761904761908</v>
      </c>
      <c r="U140" s="25">
        <v>117</v>
      </c>
      <c r="V140" s="31">
        <f t="shared" si="86"/>
        <v>170</v>
      </c>
      <c r="W140" s="25">
        <v>125</v>
      </c>
      <c r="X140" s="25">
        <v>7</v>
      </c>
      <c r="Y140" s="25">
        <v>26</v>
      </c>
      <c r="Z140" s="31">
        <f t="shared" si="87"/>
        <v>100</v>
      </c>
      <c r="AA140" s="31">
        <f t="shared" si="88"/>
        <v>8</v>
      </c>
      <c r="AB140" s="31" t="str">
        <f t="shared" si="89"/>
        <v/>
      </c>
      <c r="AC140" s="31" t="str">
        <f t="shared" si="90"/>
        <v/>
      </c>
      <c r="AD140" s="31" t="str">
        <f t="shared" si="91"/>
        <v/>
      </c>
      <c r="AE140" s="31" t="str">
        <f t="shared" si="92"/>
        <v/>
      </c>
      <c r="AF140" s="31" t="str">
        <f t="shared" si="93"/>
        <v/>
      </c>
      <c r="AG140" s="25">
        <v>8</v>
      </c>
      <c r="AH140" s="25">
        <v>0</v>
      </c>
      <c r="AI140" s="25">
        <v>0</v>
      </c>
      <c r="AJ140" s="23" t="s">
        <v>208</v>
      </c>
      <c r="AK140" s="23" t="s">
        <v>92</v>
      </c>
      <c r="AL140" s="25" t="s">
        <v>112</v>
      </c>
      <c r="AO140" s="32" t="str">
        <f t="shared" si="94"/>
        <v>2 doors</v>
      </c>
      <c r="AQ140" s="23" t="s">
        <v>48</v>
      </c>
      <c r="AR140" s="23" t="str">
        <f t="shared" si="95"/>
        <v>Hungary</v>
      </c>
      <c r="AS140" s="34">
        <f t="shared" si="96"/>
        <v>7040.01</v>
      </c>
      <c r="AT140" s="23">
        <v>70</v>
      </c>
      <c r="AU140" s="23">
        <v>40</v>
      </c>
      <c r="AV140" s="23">
        <v>1</v>
      </c>
    </row>
    <row r="141" spans="1:48">
      <c r="A141" s="25" t="s">
        <v>118</v>
      </c>
      <c r="D141" s="23">
        <v>2</v>
      </c>
      <c r="E141" s="25" t="s">
        <v>30</v>
      </c>
      <c r="F141" s="25" t="s">
        <v>30</v>
      </c>
      <c r="G141" s="23" t="s">
        <v>27</v>
      </c>
      <c r="H141" s="23" t="s">
        <v>200</v>
      </c>
      <c r="I141" s="25">
        <v>1993</v>
      </c>
      <c r="J141" s="35">
        <v>30</v>
      </c>
      <c r="K141" s="35">
        <v>40</v>
      </c>
      <c r="L141" s="35">
        <v>20</v>
      </c>
      <c r="M141" s="25">
        <v>14</v>
      </c>
      <c r="N141" s="25">
        <v>12</v>
      </c>
      <c r="R141" s="30">
        <f t="shared" si="83"/>
        <v>26</v>
      </c>
      <c r="S141" s="30">
        <f t="shared" si="84"/>
        <v>23.361142857142859</v>
      </c>
      <c r="T141" s="30">
        <f t="shared" si="85"/>
        <v>34.591809523809523</v>
      </c>
      <c r="U141" s="25">
        <v>112</v>
      </c>
      <c r="V141" s="31">
        <f t="shared" si="86"/>
        <v>310.08000000000004</v>
      </c>
      <c r="W141" s="25">
        <v>228</v>
      </c>
      <c r="X141" s="25">
        <v>12</v>
      </c>
      <c r="Y141" s="25">
        <v>79</v>
      </c>
      <c r="Z141" s="31">
        <f t="shared" si="87"/>
        <v>185</v>
      </c>
      <c r="AA141" s="31">
        <f t="shared" si="88"/>
        <v>3</v>
      </c>
      <c r="AB141" s="31">
        <f t="shared" si="89"/>
        <v>8</v>
      </c>
      <c r="AC141" s="31" t="str">
        <f t="shared" si="90"/>
        <v/>
      </c>
      <c r="AD141" s="31" t="str">
        <f t="shared" si="91"/>
        <v/>
      </c>
      <c r="AE141" s="31" t="str">
        <f t="shared" si="92"/>
        <v/>
      </c>
      <c r="AF141" s="31" t="str">
        <f t="shared" si="93"/>
        <v/>
      </c>
      <c r="AG141" s="25">
        <v>11</v>
      </c>
      <c r="AH141" s="25">
        <v>0</v>
      </c>
      <c r="AI141" s="25">
        <v>0</v>
      </c>
      <c r="AJ141" s="23" t="s">
        <v>208</v>
      </c>
      <c r="AK141" s="23" t="s">
        <v>92</v>
      </c>
      <c r="AL141" s="25" t="s">
        <v>118</v>
      </c>
      <c r="AO141" s="32" t="str">
        <f t="shared" si="94"/>
        <v>2 doors</v>
      </c>
      <c r="AQ141" s="23" t="s">
        <v>33</v>
      </c>
      <c r="AR141" s="23" t="str">
        <f t="shared" si="95"/>
        <v>CC</v>
      </c>
      <c r="AS141" s="34">
        <f t="shared" si="96"/>
        <v>7100</v>
      </c>
      <c r="AT141" s="23">
        <v>71</v>
      </c>
      <c r="AU141" s="23">
        <v>0</v>
      </c>
      <c r="AV141" s="23">
        <v>0</v>
      </c>
    </row>
    <row r="142" spans="1:48">
      <c r="A142" s="25" t="s">
        <v>118</v>
      </c>
      <c r="D142" s="23">
        <v>2</v>
      </c>
      <c r="E142" s="25" t="s">
        <v>42</v>
      </c>
      <c r="F142" s="25" t="s">
        <v>42</v>
      </c>
      <c r="G142" s="23" t="s">
        <v>27</v>
      </c>
      <c r="H142" s="23" t="s">
        <v>200</v>
      </c>
      <c r="I142" s="25">
        <v>1993</v>
      </c>
      <c r="J142" s="35">
        <v>30</v>
      </c>
      <c r="K142" s="35">
        <v>40</v>
      </c>
      <c r="L142" s="35">
        <v>20</v>
      </c>
      <c r="M142" s="25">
        <v>14</v>
      </c>
      <c r="N142" s="25">
        <v>12</v>
      </c>
      <c r="R142" s="30">
        <f t="shared" si="83"/>
        <v>26</v>
      </c>
      <c r="S142" s="30">
        <f t="shared" si="84"/>
        <v>23.361142857142859</v>
      </c>
      <c r="T142" s="30">
        <f t="shared" si="85"/>
        <v>34.591809523809523</v>
      </c>
      <c r="U142" s="25">
        <v>112</v>
      </c>
      <c r="V142" s="31">
        <f t="shared" si="86"/>
        <v>310.08000000000004</v>
      </c>
      <c r="W142" s="25">
        <v>228</v>
      </c>
      <c r="X142" s="25">
        <v>12</v>
      </c>
      <c r="Y142" s="25">
        <v>79</v>
      </c>
      <c r="Z142" s="31">
        <f t="shared" si="87"/>
        <v>185</v>
      </c>
      <c r="AA142" s="31">
        <f t="shared" si="88"/>
        <v>3</v>
      </c>
      <c r="AB142" s="31">
        <f t="shared" si="89"/>
        <v>8</v>
      </c>
      <c r="AC142" s="31" t="str">
        <f t="shared" si="90"/>
        <v/>
      </c>
      <c r="AD142" s="31" t="str">
        <f t="shared" si="91"/>
        <v/>
      </c>
      <c r="AE142" s="31" t="str">
        <f t="shared" si="92"/>
        <v/>
      </c>
      <c r="AF142" s="31" t="str">
        <f t="shared" si="93"/>
        <v/>
      </c>
      <c r="AG142" s="25">
        <v>11</v>
      </c>
      <c r="AH142" s="25">
        <v>0</v>
      </c>
      <c r="AI142" s="25">
        <v>0</v>
      </c>
      <c r="AJ142" s="23" t="s">
        <v>208</v>
      </c>
      <c r="AK142" s="23" t="s">
        <v>92</v>
      </c>
      <c r="AL142" s="25" t="s">
        <v>118</v>
      </c>
      <c r="AO142" s="32" t="str">
        <f t="shared" si="94"/>
        <v>2 doors</v>
      </c>
      <c r="AQ142" s="23" t="s">
        <v>33</v>
      </c>
      <c r="AR142" s="23" t="str">
        <f t="shared" si="95"/>
        <v>CC</v>
      </c>
      <c r="AS142" s="34">
        <f t="shared" si="96"/>
        <v>7100.01</v>
      </c>
      <c r="AT142" s="23">
        <v>71</v>
      </c>
      <c r="AU142" s="23">
        <v>0</v>
      </c>
      <c r="AV142" s="23">
        <v>1</v>
      </c>
    </row>
    <row r="143" spans="1:48">
      <c r="A143" s="25" t="s">
        <v>118</v>
      </c>
      <c r="D143" s="23">
        <v>2</v>
      </c>
      <c r="E143" s="25" t="s">
        <v>46</v>
      </c>
      <c r="F143" s="25" t="s">
        <v>46</v>
      </c>
      <c r="G143" s="23" t="s">
        <v>27</v>
      </c>
      <c r="H143" s="23" t="s">
        <v>200</v>
      </c>
      <c r="I143" s="25">
        <v>1993</v>
      </c>
      <c r="J143" s="35">
        <v>30</v>
      </c>
      <c r="K143" s="35">
        <v>40</v>
      </c>
      <c r="L143" s="35">
        <v>20</v>
      </c>
      <c r="M143" s="25">
        <v>14</v>
      </c>
      <c r="N143" s="25">
        <v>12</v>
      </c>
      <c r="R143" s="30">
        <f t="shared" si="83"/>
        <v>26</v>
      </c>
      <c r="S143" s="30">
        <f t="shared" si="84"/>
        <v>23.361142857142859</v>
      </c>
      <c r="T143" s="30">
        <f t="shared" si="85"/>
        <v>34.591809523809523</v>
      </c>
      <c r="U143" s="25">
        <v>112</v>
      </c>
      <c r="V143" s="31">
        <f t="shared" si="86"/>
        <v>310.08000000000004</v>
      </c>
      <c r="W143" s="25">
        <v>228</v>
      </c>
      <c r="X143" s="25">
        <v>12</v>
      </c>
      <c r="Y143" s="25">
        <v>79</v>
      </c>
      <c r="Z143" s="31">
        <f t="shared" si="87"/>
        <v>185</v>
      </c>
      <c r="AA143" s="31">
        <f t="shared" si="88"/>
        <v>3</v>
      </c>
      <c r="AB143" s="31">
        <f t="shared" si="89"/>
        <v>8</v>
      </c>
      <c r="AC143" s="31" t="str">
        <f t="shared" si="90"/>
        <v/>
      </c>
      <c r="AD143" s="31" t="str">
        <f t="shared" si="91"/>
        <v/>
      </c>
      <c r="AE143" s="31" t="str">
        <f t="shared" si="92"/>
        <v/>
      </c>
      <c r="AF143" s="31" t="str">
        <f t="shared" si="93"/>
        <v/>
      </c>
      <c r="AG143" s="25">
        <v>11</v>
      </c>
      <c r="AH143" s="25">
        <v>0</v>
      </c>
      <c r="AI143" s="25">
        <v>0</v>
      </c>
      <c r="AJ143" s="23" t="s">
        <v>208</v>
      </c>
      <c r="AK143" s="23" t="s">
        <v>92</v>
      </c>
      <c r="AL143" s="25" t="s">
        <v>118</v>
      </c>
      <c r="AO143" s="32" t="str">
        <f t="shared" si="94"/>
        <v>2 doors</v>
      </c>
      <c r="AQ143" s="23" t="s">
        <v>33</v>
      </c>
      <c r="AR143" s="23" t="str">
        <f t="shared" si="95"/>
        <v>Hungary</v>
      </c>
      <c r="AS143" s="34">
        <f t="shared" si="96"/>
        <v>7100.02</v>
      </c>
      <c r="AT143" s="23">
        <v>71</v>
      </c>
      <c r="AU143" s="23">
        <v>0</v>
      </c>
      <c r="AV143" s="23">
        <v>2</v>
      </c>
    </row>
    <row r="144" spans="1:48">
      <c r="A144" s="25" t="s">
        <v>118</v>
      </c>
      <c r="C144" s="23" t="s">
        <v>130</v>
      </c>
      <c r="D144" s="23">
        <v>2</v>
      </c>
      <c r="E144" s="25" t="s">
        <v>30</v>
      </c>
      <c r="F144" s="25" t="s">
        <v>30</v>
      </c>
      <c r="G144" s="23" t="s">
        <v>27</v>
      </c>
      <c r="H144" s="23" t="s">
        <v>201</v>
      </c>
      <c r="I144" s="25">
        <v>1993</v>
      </c>
      <c r="J144" s="35">
        <v>30</v>
      </c>
      <c r="K144" s="35">
        <v>40</v>
      </c>
      <c r="L144" s="35">
        <v>20</v>
      </c>
      <c r="M144" s="25">
        <v>14</v>
      </c>
      <c r="N144" s="25">
        <v>12</v>
      </c>
      <c r="R144" s="30">
        <f t="shared" si="83"/>
        <v>26</v>
      </c>
      <c r="S144" s="30">
        <f t="shared" si="84"/>
        <v>23.361142857142859</v>
      </c>
      <c r="T144" s="30">
        <f t="shared" si="85"/>
        <v>34.591809523809523</v>
      </c>
      <c r="U144" s="25">
        <v>112</v>
      </c>
      <c r="V144" s="31">
        <f t="shared" si="86"/>
        <v>310.08000000000004</v>
      </c>
      <c r="W144" s="25">
        <v>228</v>
      </c>
      <c r="X144" s="25">
        <v>12</v>
      </c>
      <c r="Y144" s="25">
        <v>79</v>
      </c>
      <c r="Z144" s="31">
        <f t="shared" si="87"/>
        <v>185</v>
      </c>
      <c r="AA144" s="31">
        <f t="shared" si="88"/>
        <v>3</v>
      </c>
      <c r="AB144" s="31">
        <f t="shared" si="89"/>
        <v>8</v>
      </c>
      <c r="AC144" s="31" t="str">
        <f t="shared" si="90"/>
        <v/>
      </c>
      <c r="AD144" s="31" t="str">
        <f t="shared" si="91"/>
        <v/>
      </c>
      <c r="AE144" s="31" t="str">
        <f t="shared" si="92"/>
        <v/>
      </c>
      <c r="AF144" s="31" t="str">
        <f t="shared" si="93"/>
        <v/>
      </c>
      <c r="AG144" s="25">
        <v>11</v>
      </c>
      <c r="AH144" s="25">
        <v>0</v>
      </c>
      <c r="AI144" s="25">
        <v>0</v>
      </c>
      <c r="AJ144" s="23" t="s">
        <v>208</v>
      </c>
      <c r="AK144" s="23" t="s">
        <v>92</v>
      </c>
      <c r="AL144" s="25" t="s">
        <v>118</v>
      </c>
      <c r="AO144" s="32" t="str">
        <f t="shared" si="94"/>
        <v>2 doors</v>
      </c>
      <c r="AQ144" s="23" t="s">
        <v>33</v>
      </c>
      <c r="AR144" s="23" t="str">
        <f t="shared" si="95"/>
        <v>CC</v>
      </c>
      <c r="AS144" s="34">
        <f t="shared" si="96"/>
        <v>7130</v>
      </c>
      <c r="AT144" s="23">
        <v>71</v>
      </c>
      <c r="AU144" s="23">
        <v>30</v>
      </c>
      <c r="AV144" s="23">
        <v>0</v>
      </c>
    </row>
    <row r="145" spans="1:48">
      <c r="A145" s="25" t="s">
        <v>118</v>
      </c>
      <c r="C145" s="23" t="s">
        <v>130</v>
      </c>
      <c r="D145" s="23">
        <v>2</v>
      </c>
      <c r="E145" s="25" t="s">
        <v>42</v>
      </c>
      <c r="F145" s="25" t="s">
        <v>42</v>
      </c>
      <c r="G145" s="23" t="s">
        <v>27</v>
      </c>
      <c r="H145" s="23" t="s">
        <v>201</v>
      </c>
      <c r="I145" s="25">
        <v>1993</v>
      </c>
      <c r="J145" s="35">
        <v>30</v>
      </c>
      <c r="K145" s="35">
        <v>40</v>
      </c>
      <c r="L145" s="35">
        <v>20</v>
      </c>
      <c r="M145" s="25">
        <v>14</v>
      </c>
      <c r="N145" s="25">
        <v>12</v>
      </c>
      <c r="R145" s="30">
        <f t="shared" si="83"/>
        <v>26</v>
      </c>
      <c r="S145" s="30">
        <f t="shared" si="84"/>
        <v>23.361142857142859</v>
      </c>
      <c r="T145" s="30">
        <f t="shared" si="85"/>
        <v>34.591809523809523</v>
      </c>
      <c r="U145" s="25">
        <v>112</v>
      </c>
      <c r="V145" s="31">
        <f t="shared" si="86"/>
        <v>310.08000000000004</v>
      </c>
      <c r="W145" s="25">
        <v>228</v>
      </c>
      <c r="X145" s="25">
        <v>12</v>
      </c>
      <c r="Y145" s="25">
        <v>79</v>
      </c>
      <c r="Z145" s="31">
        <f t="shared" si="87"/>
        <v>185</v>
      </c>
      <c r="AA145" s="31">
        <f t="shared" si="88"/>
        <v>3</v>
      </c>
      <c r="AB145" s="31">
        <f t="shared" si="89"/>
        <v>8</v>
      </c>
      <c r="AC145" s="31" t="str">
        <f t="shared" si="90"/>
        <v/>
      </c>
      <c r="AD145" s="31" t="str">
        <f t="shared" si="91"/>
        <v/>
      </c>
      <c r="AE145" s="31" t="str">
        <f t="shared" si="92"/>
        <v/>
      </c>
      <c r="AF145" s="31" t="str">
        <f t="shared" si="93"/>
        <v/>
      </c>
      <c r="AG145" s="25">
        <v>11</v>
      </c>
      <c r="AH145" s="25">
        <v>0</v>
      </c>
      <c r="AI145" s="25">
        <v>0</v>
      </c>
      <c r="AJ145" s="23" t="s">
        <v>208</v>
      </c>
      <c r="AK145" s="23" t="s">
        <v>92</v>
      </c>
      <c r="AL145" s="25" t="s">
        <v>118</v>
      </c>
      <c r="AO145" s="32" t="str">
        <f t="shared" si="94"/>
        <v>2 doors</v>
      </c>
      <c r="AQ145" s="23" t="s">
        <v>33</v>
      </c>
      <c r="AR145" s="23" t="str">
        <f t="shared" si="95"/>
        <v>CC</v>
      </c>
      <c r="AS145" s="34">
        <f t="shared" si="96"/>
        <v>7130.01</v>
      </c>
      <c r="AT145" s="23">
        <v>71</v>
      </c>
      <c r="AU145" s="23">
        <v>30</v>
      </c>
      <c r="AV145" s="23">
        <v>1</v>
      </c>
    </row>
    <row r="146" spans="1:48">
      <c r="A146" s="25" t="s">
        <v>118</v>
      </c>
      <c r="C146" s="23" t="s">
        <v>130</v>
      </c>
      <c r="D146" s="23">
        <v>2</v>
      </c>
      <c r="E146" s="25" t="s">
        <v>46</v>
      </c>
      <c r="F146" s="25" t="s">
        <v>46</v>
      </c>
      <c r="G146" s="23" t="s">
        <v>27</v>
      </c>
      <c r="H146" s="23" t="s">
        <v>201</v>
      </c>
      <c r="I146" s="25">
        <v>1993</v>
      </c>
      <c r="J146" s="35">
        <v>30</v>
      </c>
      <c r="K146" s="35">
        <v>40</v>
      </c>
      <c r="L146" s="35">
        <v>20</v>
      </c>
      <c r="M146" s="25">
        <v>14</v>
      </c>
      <c r="N146" s="25">
        <v>12</v>
      </c>
      <c r="R146" s="30">
        <f t="shared" si="83"/>
        <v>26</v>
      </c>
      <c r="S146" s="30">
        <f t="shared" si="84"/>
        <v>23.361142857142859</v>
      </c>
      <c r="T146" s="30">
        <f t="shared" si="85"/>
        <v>34.591809523809523</v>
      </c>
      <c r="U146" s="25">
        <v>112</v>
      </c>
      <c r="V146" s="31">
        <f t="shared" si="86"/>
        <v>310.08000000000004</v>
      </c>
      <c r="W146" s="25">
        <v>228</v>
      </c>
      <c r="X146" s="25">
        <v>12</v>
      </c>
      <c r="Y146" s="25">
        <v>79</v>
      </c>
      <c r="Z146" s="31">
        <f t="shared" si="87"/>
        <v>185</v>
      </c>
      <c r="AA146" s="31">
        <f t="shared" si="88"/>
        <v>3</v>
      </c>
      <c r="AB146" s="31">
        <f t="shared" si="89"/>
        <v>8</v>
      </c>
      <c r="AC146" s="31" t="str">
        <f t="shared" si="90"/>
        <v/>
      </c>
      <c r="AD146" s="31" t="str">
        <f t="shared" si="91"/>
        <v/>
      </c>
      <c r="AE146" s="31" t="str">
        <f t="shared" si="92"/>
        <v/>
      </c>
      <c r="AF146" s="31" t="str">
        <f t="shared" si="93"/>
        <v/>
      </c>
      <c r="AG146" s="25">
        <v>11</v>
      </c>
      <c r="AH146" s="25">
        <v>0</v>
      </c>
      <c r="AI146" s="25">
        <v>0</v>
      </c>
      <c r="AJ146" s="23" t="s">
        <v>208</v>
      </c>
      <c r="AK146" s="23" t="s">
        <v>92</v>
      </c>
      <c r="AL146" s="25" t="s">
        <v>118</v>
      </c>
      <c r="AO146" s="32" t="str">
        <f t="shared" si="94"/>
        <v>2 doors</v>
      </c>
      <c r="AQ146" s="23" t="s">
        <v>33</v>
      </c>
      <c r="AR146" s="23" t="str">
        <f t="shared" si="95"/>
        <v>Hungary</v>
      </c>
      <c r="AS146" s="34">
        <f t="shared" si="96"/>
        <v>7130.02</v>
      </c>
      <c r="AT146" s="23">
        <v>71</v>
      </c>
      <c r="AU146" s="23">
        <v>30</v>
      </c>
      <c r="AV146" s="23">
        <v>2</v>
      </c>
    </row>
    <row r="147" spans="1:48">
      <c r="A147" s="25" t="s">
        <v>115</v>
      </c>
      <c r="D147" s="23">
        <v>2</v>
      </c>
      <c r="E147" s="25" t="s">
        <v>30</v>
      </c>
      <c r="F147" s="25" t="s">
        <v>30</v>
      </c>
      <c r="G147" s="23" t="s">
        <v>27</v>
      </c>
      <c r="H147" s="23" t="s">
        <v>197</v>
      </c>
      <c r="I147" s="25">
        <v>2001</v>
      </c>
      <c r="J147" s="35">
        <v>30</v>
      </c>
      <c r="K147" s="35">
        <v>40</v>
      </c>
      <c r="L147" s="35">
        <v>20</v>
      </c>
      <c r="M147" s="25">
        <v>14</v>
      </c>
      <c r="N147" s="25">
        <v>14</v>
      </c>
      <c r="R147" s="30">
        <f t="shared" si="83"/>
        <v>28</v>
      </c>
      <c r="S147" s="30">
        <f t="shared" si="84"/>
        <v>18.516000000000002</v>
      </c>
      <c r="T147" s="30">
        <f t="shared" si="85"/>
        <v>25.61866666666667</v>
      </c>
      <c r="U147" s="25">
        <v>98</v>
      </c>
      <c r="V147" s="31">
        <f t="shared" si="86"/>
        <v>220.32000000000002</v>
      </c>
      <c r="W147" s="25">
        <v>162</v>
      </c>
      <c r="X147" s="25">
        <v>11</v>
      </c>
      <c r="Y147" s="25">
        <v>73</v>
      </c>
      <c r="Z147" s="31">
        <f t="shared" si="87"/>
        <v>185</v>
      </c>
      <c r="AA147" s="31">
        <f t="shared" si="88"/>
        <v>3</v>
      </c>
      <c r="AB147" s="31">
        <f t="shared" si="89"/>
        <v>8</v>
      </c>
      <c r="AC147" s="31" t="str">
        <f t="shared" si="90"/>
        <v/>
      </c>
      <c r="AD147" s="31" t="str">
        <f t="shared" si="91"/>
        <v/>
      </c>
      <c r="AE147" s="31" t="str">
        <f t="shared" si="92"/>
        <v/>
      </c>
      <c r="AF147" s="31" t="str">
        <f t="shared" si="93"/>
        <v/>
      </c>
      <c r="AG147" s="25">
        <v>11</v>
      </c>
      <c r="AH147" s="25">
        <v>0</v>
      </c>
      <c r="AI147" s="25">
        <v>0</v>
      </c>
      <c r="AJ147" s="23" t="s">
        <v>208</v>
      </c>
      <c r="AK147" s="23" t="s">
        <v>92</v>
      </c>
      <c r="AL147" s="25" t="s">
        <v>118</v>
      </c>
      <c r="AM147" s="28" t="s">
        <v>209</v>
      </c>
      <c r="AO147" s="32" t="str">
        <f t="shared" si="94"/>
        <v>2 doors</v>
      </c>
      <c r="AQ147" s="23" t="s">
        <v>33</v>
      </c>
      <c r="AR147" s="23" t="str">
        <f t="shared" si="95"/>
        <v>CC</v>
      </c>
      <c r="AS147" s="34">
        <f t="shared" si="96"/>
        <v>7150</v>
      </c>
      <c r="AT147" s="23">
        <v>71</v>
      </c>
      <c r="AU147" s="23">
        <v>50</v>
      </c>
      <c r="AV147" s="23">
        <v>0</v>
      </c>
    </row>
    <row r="148" spans="1:48">
      <c r="A148" s="25" t="s">
        <v>115</v>
      </c>
      <c r="D148" s="23">
        <v>2</v>
      </c>
      <c r="E148" s="25" t="s">
        <v>46</v>
      </c>
      <c r="F148" s="25" t="s">
        <v>46</v>
      </c>
      <c r="G148" s="23" t="s">
        <v>27</v>
      </c>
      <c r="H148" s="23" t="s">
        <v>197</v>
      </c>
      <c r="I148" s="25">
        <v>2001</v>
      </c>
      <c r="J148" s="35">
        <v>30</v>
      </c>
      <c r="K148" s="35">
        <v>40</v>
      </c>
      <c r="L148" s="35">
        <v>20</v>
      </c>
      <c r="M148" s="25">
        <v>14</v>
      </c>
      <c r="N148" s="25">
        <v>14</v>
      </c>
      <c r="R148" s="30">
        <f t="shared" si="83"/>
        <v>28</v>
      </c>
      <c r="S148" s="30">
        <f t="shared" si="84"/>
        <v>18.516000000000002</v>
      </c>
      <c r="T148" s="30">
        <f t="shared" si="85"/>
        <v>25.61866666666667</v>
      </c>
      <c r="U148" s="25">
        <v>98</v>
      </c>
      <c r="V148" s="31">
        <f t="shared" si="86"/>
        <v>220.32000000000002</v>
      </c>
      <c r="W148" s="25">
        <v>162</v>
      </c>
      <c r="X148" s="25">
        <v>11</v>
      </c>
      <c r="Y148" s="25">
        <v>73</v>
      </c>
      <c r="Z148" s="31">
        <f t="shared" si="87"/>
        <v>185</v>
      </c>
      <c r="AA148" s="31">
        <f t="shared" si="88"/>
        <v>3</v>
      </c>
      <c r="AB148" s="31">
        <f t="shared" si="89"/>
        <v>8</v>
      </c>
      <c r="AC148" s="31" t="str">
        <f t="shared" si="90"/>
        <v/>
      </c>
      <c r="AD148" s="31" t="str">
        <f t="shared" si="91"/>
        <v/>
      </c>
      <c r="AE148" s="31" t="str">
        <f t="shared" si="92"/>
        <v/>
      </c>
      <c r="AF148" s="31" t="str">
        <f t="shared" si="93"/>
        <v/>
      </c>
      <c r="AG148" s="25">
        <v>11</v>
      </c>
      <c r="AH148" s="25">
        <v>0</v>
      </c>
      <c r="AI148" s="25">
        <v>0</v>
      </c>
      <c r="AJ148" s="23" t="s">
        <v>208</v>
      </c>
      <c r="AK148" s="23" t="s">
        <v>92</v>
      </c>
      <c r="AL148" s="25" t="s">
        <v>118</v>
      </c>
      <c r="AM148" s="28" t="s">
        <v>209</v>
      </c>
      <c r="AO148" s="32" t="str">
        <f t="shared" si="94"/>
        <v>2 doors</v>
      </c>
      <c r="AQ148" s="23" t="s">
        <v>33</v>
      </c>
      <c r="AR148" s="23" t="str">
        <f t="shared" si="95"/>
        <v>Hungary</v>
      </c>
      <c r="AS148" s="34">
        <f t="shared" si="96"/>
        <v>7150.01</v>
      </c>
      <c r="AT148" s="23">
        <v>71</v>
      </c>
      <c r="AU148" s="23">
        <v>50</v>
      </c>
      <c r="AV148" s="23">
        <v>1</v>
      </c>
    </row>
    <row r="149" spans="1:48">
      <c r="A149" s="25" t="s">
        <v>117</v>
      </c>
      <c r="D149" s="23">
        <v>3</v>
      </c>
      <c r="E149" s="25" t="s">
        <v>30</v>
      </c>
      <c r="F149" s="25" t="s">
        <v>30</v>
      </c>
      <c r="G149" s="23" t="s">
        <v>27</v>
      </c>
      <c r="H149" s="23" t="s">
        <v>199</v>
      </c>
      <c r="I149" s="25">
        <v>2006</v>
      </c>
      <c r="J149" s="35">
        <v>30</v>
      </c>
      <c r="K149" s="35">
        <v>40</v>
      </c>
      <c r="L149" s="35">
        <v>20</v>
      </c>
      <c r="M149" s="25">
        <v>14</v>
      </c>
      <c r="N149" s="25">
        <v>14</v>
      </c>
      <c r="O149" s="25">
        <v>7</v>
      </c>
      <c r="R149" s="30">
        <f t="shared" si="83"/>
        <v>35</v>
      </c>
      <c r="S149" s="30">
        <f t="shared" si="84"/>
        <v>27.360000000000003</v>
      </c>
      <c r="T149" s="30">
        <f t="shared" si="85"/>
        <v>41.373333333333335</v>
      </c>
      <c r="U149" s="25">
        <v>104</v>
      </c>
      <c r="V149" s="31">
        <f t="shared" si="86"/>
        <v>367.20000000000005</v>
      </c>
      <c r="W149" s="25">
        <v>270</v>
      </c>
      <c r="X149" s="25">
        <v>13</v>
      </c>
      <c r="Y149" s="25">
        <v>128</v>
      </c>
      <c r="Z149" s="31">
        <f t="shared" si="87"/>
        <v>185</v>
      </c>
      <c r="AA149" s="31">
        <f t="shared" si="88"/>
        <v>5</v>
      </c>
      <c r="AB149" s="31">
        <f t="shared" si="89"/>
        <v>8</v>
      </c>
      <c r="AC149" s="31" t="str">
        <f t="shared" si="90"/>
        <v/>
      </c>
      <c r="AD149" s="31" t="str">
        <f t="shared" si="91"/>
        <v/>
      </c>
      <c r="AE149" s="31" t="str">
        <f t="shared" si="92"/>
        <v/>
      </c>
      <c r="AF149" s="31" t="str">
        <f t="shared" si="93"/>
        <v/>
      </c>
      <c r="AG149" s="25">
        <v>13</v>
      </c>
      <c r="AH149" s="25">
        <v>0</v>
      </c>
      <c r="AI149" s="25">
        <v>0</v>
      </c>
      <c r="AJ149" s="23" t="s">
        <v>208</v>
      </c>
      <c r="AK149" s="23" t="s">
        <v>92</v>
      </c>
      <c r="AL149" s="25" t="s">
        <v>227</v>
      </c>
      <c r="AM149" s="28" t="s">
        <v>209</v>
      </c>
      <c r="AO149" s="32" t="str">
        <f t="shared" si="94"/>
        <v>3 doors</v>
      </c>
      <c r="AQ149" s="23" t="s">
        <v>33</v>
      </c>
      <c r="AR149" s="23" t="str">
        <f t="shared" si="95"/>
        <v>CC</v>
      </c>
      <c r="AS149" s="34">
        <f t="shared" si="96"/>
        <v>7170</v>
      </c>
      <c r="AT149" s="23">
        <v>71</v>
      </c>
      <c r="AU149" s="23">
        <v>70</v>
      </c>
      <c r="AV149" s="23">
        <v>0</v>
      </c>
    </row>
    <row r="150" spans="1:48">
      <c r="A150" s="25" t="s">
        <v>117</v>
      </c>
      <c r="D150" s="23">
        <v>3</v>
      </c>
      <c r="E150" s="25" t="s">
        <v>46</v>
      </c>
      <c r="F150" s="25" t="s">
        <v>46</v>
      </c>
      <c r="G150" s="23" t="s">
        <v>27</v>
      </c>
      <c r="H150" s="23" t="s">
        <v>199</v>
      </c>
      <c r="I150" s="25">
        <v>2006</v>
      </c>
      <c r="J150" s="35">
        <v>30</v>
      </c>
      <c r="K150" s="35">
        <v>40</v>
      </c>
      <c r="L150" s="35">
        <v>20</v>
      </c>
      <c r="M150" s="25">
        <v>14</v>
      </c>
      <c r="N150" s="25">
        <v>14</v>
      </c>
      <c r="O150" s="25">
        <v>7</v>
      </c>
      <c r="R150" s="30">
        <f t="shared" si="83"/>
        <v>35</v>
      </c>
      <c r="S150" s="30">
        <f t="shared" si="84"/>
        <v>27.360000000000003</v>
      </c>
      <c r="T150" s="30">
        <f t="shared" si="85"/>
        <v>41.373333333333335</v>
      </c>
      <c r="U150" s="25">
        <v>104</v>
      </c>
      <c r="V150" s="31">
        <f t="shared" si="86"/>
        <v>367.20000000000005</v>
      </c>
      <c r="W150" s="25">
        <v>270</v>
      </c>
      <c r="X150" s="25">
        <v>13</v>
      </c>
      <c r="Y150" s="25">
        <v>128</v>
      </c>
      <c r="Z150" s="31">
        <f t="shared" si="87"/>
        <v>185</v>
      </c>
      <c r="AA150" s="31">
        <f t="shared" si="88"/>
        <v>5</v>
      </c>
      <c r="AB150" s="31">
        <f t="shared" si="89"/>
        <v>8</v>
      </c>
      <c r="AC150" s="31" t="str">
        <f t="shared" si="90"/>
        <v/>
      </c>
      <c r="AD150" s="31" t="str">
        <f t="shared" si="91"/>
        <v/>
      </c>
      <c r="AE150" s="31" t="str">
        <f t="shared" si="92"/>
        <v/>
      </c>
      <c r="AF150" s="31" t="str">
        <f t="shared" si="93"/>
        <v/>
      </c>
      <c r="AG150" s="25">
        <v>13</v>
      </c>
      <c r="AH150" s="25">
        <v>0</v>
      </c>
      <c r="AI150" s="25">
        <v>0</v>
      </c>
      <c r="AJ150" s="23" t="s">
        <v>208</v>
      </c>
      <c r="AK150" s="23" t="s">
        <v>92</v>
      </c>
      <c r="AL150" s="25" t="s">
        <v>227</v>
      </c>
      <c r="AM150" s="28" t="s">
        <v>209</v>
      </c>
      <c r="AO150" s="32" t="str">
        <f t="shared" si="94"/>
        <v>3 doors</v>
      </c>
      <c r="AQ150" s="23" t="s">
        <v>33</v>
      </c>
      <c r="AR150" s="23" t="str">
        <f t="shared" si="95"/>
        <v>Hungary</v>
      </c>
      <c r="AS150" s="34">
        <f t="shared" si="96"/>
        <v>7170.01</v>
      </c>
      <c r="AT150" s="23">
        <v>71</v>
      </c>
      <c r="AU150" s="23">
        <v>70</v>
      </c>
      <c r="AV150" s="23">
        <v>1</v>
      </c>
    </row>
    <row r="151" spans="1:48">
      <c r="A151" s="25" t="s">
        <v>116</v>
      </c>
      <c r="D151" s="23">
        <v>3</v>
      </c>
      <c r="E151" s="25" t="s">
        <v>30</v>
      </c>
      <c r="F151" s="25" t="s">
        <v>30</v>
      </c>
      <c r="G151" s="23" t="s">
        <v>27</v>
      </c>
      <c r="H151" s="23" t="s">
        <v>198</v>
      </c>
      <c r="I151" s="25">
        <v>1997</v>
      </c>
      <c r="J151" s="35">
        <v>30</v>
      </c>
      <c r="K151" s="35">
        <v>40</v>
      </c>
      <c r="L151" s="35">
        <v>20</v>
      </c>
      <c r="M151" s="25">
        <v>12</v>
      </c>
      <c r="N151" s="25">
        <v>12</v>
      </c>
      <c r="O151" s="25">
        <v>12</v>
      </c>
      <c r="R151" s="30">
        <f t="shared" si="83"/>
        <v>36</v>
      </c>
      <c r="S151" s="30">
        <f t="shared" si="84"/>
        <v>29.111428571428572</v>
      </c>
      <c r="T151" s="30">
        <f t="shared" si="85"/>
        <v>43.118095238095236</v>
      </c>
      <c r="U151" s="25">
        <v>94</v>
      </c>
      <c r="V151" s="31">
        <f t="shared" si="86"/>
        <v>380.8</v>
      </c>
      <c r="W151" s="25">
        <v>280</v>
      </c>
      <c r="X151" s="25">
        <v>15</v>
      </c>
      <c r="Y151" s="25">
        <v>145</v>
      </c>
      <c r="Z151" s="31">
        <f t="shared" si="87"/>
        <v>185</v>
      </c>
      <c r="AA151" s="31">
        <f t="shared" si="88"/>
        <v>2</v>
      </c>
      <c r="AB151" s="31">
        <f t="shared" si="89"/>
        <v>8</v>
      </c>
      <c r="AC151" s="31">
        <f t="shared" si="90"/>
        <v>7</v>
      </c>
      <c r="AD151" s="31" t="str">
        <f t="shared" si="91"/>
        <v/>
      </c>
      <c r="AE151" s="31" t="str">
        <f t="shared" si="92"/>
        <v/>
      </c>
      <c r="AF151" s="31" t="str">
        <f t="shared" si="93"/>
        <v/>
      </c>
      <c r="AG151" s="25">
        <v>10</v>
      </c>
      <c r="AH151" s="25">
        <v>7</v>
      </c>
      <c r="AI151" s="25">
        <v>0</v>
      </c>
      <c r="AJ151" s="23" t="s">
        <v>208</v>
      </c>
      <c r="AK151" s="23" t="s">
        <v>92</v>
      </c>
      <c r="AL151" s="25" t="s">
        <v>116</v>
      </c>
      <c r="AO151" s="32" t="str">
        <f t="shared" si="94"/>
        <v>3 doors</v>
      </c>
      <c r="AQ151" s="23" t="s">
        <v>33</v>
      </c>
      <c r="AR151" s="23" t="str">
        <f t="shared" si="95"/>
        <v>CC</v>
      </c>
      <c r="AS151" s="34">
        <f t="shared" si="96"/>
        <v>7180</v>
      </c>
      <c r="AT151" s="23">
        <v>71</v>
      </c>
      <c r="AU151" s="23">
        <v>80</v>
      </c>
      <c r="AV151" s="23">
        <v>0</v>
      </c>
    </row>
    <row r="152" spans="1:48">
      <c r="A152" s="25" t="s">
        <v>116</v>
      </c>
      <c r="D152" s="23">
        <v>3</v>
      </c>
      <c r="E152" s="25" t="s">
        <v>46</v>
      </c>
      <c r="F152" s="25" t="s">
        <v>46</v>
      </c>
      <c r="G152" s="23" t="s">
        <v>27</v>
      </c>
      <c r="H152" s="23" t="s">
        <v>198</v>
      </c>
      <c r="I152" s="25">
        <v>1997</v>
      </c>
      <c r="J152" s="35">
        <v>30</v>
      </c>
      <c r="K152" s="35">
        <v>40</v>
      </c>
      <c r="L152" s="35">
        <v>20</v>
      </c>
      <c r="M152" s="25">
        <v>12</v>
      </c>
      <c r="N152" s="25">
        <v>12</v>
      </c>
      <c r="O152" s="25">
        <v>12</v>
      </c>
      <c r="R152" s="30">
        <f t="shared" si="83"/>
        <v>36</v>
      </c>
      <c r="S152" s="30">
        <f t="shared" si="84"/>
        <v>29.111428571428572</v>
      </c>
      <c r="T152" s="30">
        <f t="shared" si="85"/>
        <v>43.118095238095236</v>
      </c>
      <c r="U152" s="25">
        <v>94</v>
      </c>
      <c r="V152" s="31">
        <f t="shared" si="86"/>
        <v>380.8</v>
      </c>
      <c r="W152" s="25">
        <v>280</v>
      </c>
      <c r="X152" s="25">
        <v>15</v>
      </c>
      <c r="Y152" s="25">
        <v>145</v>
      </c>
      <c r="Z152" s="31">
        <f t="shared" si="87"/>
        <v>185</v>
      </c>
      <c r="AA152" s="31">
        <f t="shared" si="88"/>
        <v>2</v>
      </c>
      <c r="AB152" s="31">
        <f t="shared" si="89"/>
        <v>8</v>
      </c>
      <c r="AC152" s="31">
        <f t="shared" si="90"/>
        <v>7</v>
      </c>
      <c r="AD152" s="31" t="str">
        <f t="shared" si="91"/>
        <v/>
      </c>
      <c r="AE152" s="31" t="str">
        <f t="shared" si="92"/>
        <v/>
      </c>
      <c r="AF152" s="31" t="str">
        <f t="shared" si="93"/>
        <v/>
      </c>
      <c r="AG152" s="25">
        <v>10</v>
      </c>
      <c r="AH152" s="25">
        <v>7</v>
      </c>
      <c r="AI152" s="25">
        <v>0</v>
      </c>
      <c r="AJ152" s="23" t="s">
        <v>208</v>
      </c>
      <c r="AK152" s="23" t="s">
        <v>92</v>
      </c>
      <c r="AL152" s="25" t="s">
        <v>116</v>
      </c>
      <c r="AO152" s="32" t="str">
        <f t="shared" si="94"/>
        <v>3 doors</v>
      </c>
      <c r="AQ152" s="23" t="s">
        <v>33</v>
      </c>
      <c r="AR152" s="23" t="str">
        <f t="shared" si="95"/>
        <v>Hungary</v>
      </c>
      <c r="AS152" s="34">
        <f t="shared" si="96"/>
        <v>7180.01</v>
      </c>
      <c r="AT152" s="23">
        <v>71</v>
      </c>
      <c r="AU152" s="23">
        <v>80</v>
      </c>
      <c r="AV152" s="23">
        <v>1</v>
      </c>
    </row>
    <row r="153" spans="1:48">
      <c r="A153" s="25" t="s">
        <v>113</v>
      </c>
      <c r="D153" s="23">
        <v>2</v>
      </c>
      <c r="E153" s="25" t="s">
        <v>30</v>
      </c>
      <c r="F153" s="25" t="s">
        <v>30</v>
      </c>
      <c r="G153" s="23" t="s">
        <v>27</v>
      </c>
      <c r="H153" s="23" t="s">
        <v>194</v>
      </c>
      <c r="I153" s="25">
        <v>1997</v>
      </c>
      <c r="J153" s="35">
        <v>30</v>
      </c>
      <c r="K153" s="35">
        <v>40</v>
      </c>
      <c r="L153" s="35">
        <v>20</v>
      </c>
      <c r="M153" s="25">
        <v>7</v>
      </c>
      <c r="N153" s="25">
        <v>14</v>
      </c>
      <c r="R153" s="30">
        <f t="shared" si="83"/>
        <v>21</v>
      </c>
      <c r="S153" s="30">
        <f t="shared" si="84"/>
        <v>12.752000000000001</v>
      </c>
      <c r="T153" s="30">
        <f t="shared" si="85"/>
        <v>17.944000000000003</v>
      </c>
      <c r="U153" s="25">
        <v>70</v>
      </c>
      <c r="V153" s="31">
        <f t="shared" si="86"/>
        <v>155.04000000000002</v>
      </c>
      <c r="W153" s="25">
        <v>114</v>
      </c>
      <c r="X153" s="25">
        <v>7</v>
      </c>
      <c r="Y153" s="25">
        <v>36</v>
      </c>
      <c r="Z153" s="31">
        <f t="shared" si="87"/>
        <v>185</v>
      </c>
      <c r="AA153" s="31">
        <f t="shared" si="88"/>
        <v>8</v>
      </c>
      <c r="AB153" s="31" t="str">
        <f t="shared" si="89"/>
        <v/>
      </c>
      <c r="AC153" s="31" t="str">
        <f t="shared" si="90"/>
        <v/>
      </c>
      <c r="AD153" s="31" t="str">
        <f t="shared" si="91"/>
        <v/>
      </c>
      <c r="AE153" s="31" t="str">
        <f t="shared" si="92"/>
        <v/>
      </c>
      <c r="AF153" s="31" t="str">
        <f t="shared" si="93"/>
        <v/>
      </c>
      <c r="AG153" s="25">
        <v>8</v>
      </c>
      <c r="AH153" s="25">
        <v>0</v>
      </c>
      <c r="AI153" s="25">
        <v>0</v>
      </c>
      <c r="AJ153" s="23" t="s">
        <v>208</v>
      </c>
      <c r="AK153" s="23" t="s">
        <v>92</v>
      </c>
      <c r="AL153" s="25" t="s">
        <v>113</v>
      </c>
      <c r="AO153" s="32" t="str">
        <f t="shared" si="94"/>
        <v>2 doors</v>
      </c>
      <c r="AQ153" s="23" t="s">
        <v>33</v>
      </c>
      <c r="AR153" s="23" t="str">
        <f t="shared" si="95"/>
        <v>CC</v>
      </c>
      <c r="AS153" s="34">
        <f t="shared" si="96"/>
        <v>7200</v>
      </c>
      <c r="AT153" s="23">
        <v>72</v>
      </c>
      <c r="AU153" s="23">
        <v>0</v>
      </c>
      <c r="AV153" s="23">
        <v>0</v>
      </c>
    </row>
    <row r="154" spans="1:48">
      <c r="A154" s="25" t="s">
        <v>113</v>
      </c>
      <c r="C154" s="23" t="s">
        <v>129</v>
      </c>
      <c r="D154" s="23">
        <v>2</v>
      </c>
      <c r="E154" s="25" t="s">
        <v>30</v>
      </c>
      <c r="F154" s="25" t="s">
        <v>30</v>
      </c>
      <c r="G154" s="23" t="s">
        <v>27</v>
      </c>
      <c r="H154" s="23" t="s">
        <v>195</v>
      </c>
      <c r="I154" s="25">
        <v>2000</v>
      </c>
      <c r="J154" s="35">
        <v>30</v>
      </c>
      <c r="K154" s="35">
        <v>40</v>
      </c>
      <c r="L154" s="35">
        <v>20</v>
      </c>
      <c r="M154" s="25">
        <v>7</v>
      </c>
      <c r="N154" s="25">
        <v>14</v>
      </c>
      <c r="R154" s="30">
        <f t="shared" si="83"/>
        <v>21</v>
      </c>
      <c r="S154" s="30">
        <f t="shared" si="84"/>
        <v>13.5</v>
      </c>
      <c r="T154" s="30">
        <f t="shared" si="85"/>
        <v>19.440000000000001</v>
      </c>
      <c r="U154" s="25">
        <v>70</v>
      </c>
      <c r="V154" s="31">
        <f t="shared" si="86"/>
        <v>170</v>
      </c>
      <c r="W154" s="25">
        <v>125</v>
      </c>
      <c r="X154" s="25">
        <v>7</v>
      </c>
      <c r="Y154" s="25">
        <v>36</v>
      </c>
      <c r="Z154" s="31">
        <f t="shared" si="87"/>
        <v>185</v>
      </c>
      <c r="AA154" s="31">
        <f t="shared" si="88"/>
        <v>8</v>
      </c>
      <c r="AB154" s="31" t="str">
        <f t="shared" si="89"/>
        <v/>
      </c>
      <c r="AC154" s="31" t="str">
        <f t="shared" si="90"/>
        <v/>
      </c>
      <c r="AD154" s="31" t="str">
        <f t="shared" si="91"/>
        <v/>
      </c>
      <c r="AE154" s="31" t="str">
        <f t="shared" si="92"/>
        <v/>
      </c>
      <c r="AF154" s="31" t="str">
        <f t="shared" si="93"/>
        <v/>
      </c>
      <c r="AG154" s="25">
        <v>8</v>
      </c>
      <c r="AH154" s="25">
        <v>0</v>
      </c>
      <c r="AI154" s="25">
        <v>0</v>
      </c>
      <c r="AJ154" s="23" t="s">
        <v>208</v>
      </c>
      <c r="AK154" s="23" t="s">
        <v>92</v>
      </c>
      <c r="AL154" s="25" t="s">
        <v>113</v>
      </c>
      <c r="AM154" s="28" t="s">
        <v>209</v>
      </c>
      <c r="AO154" s="32" t="str">
        <f t="shared" si="94"/>
        <v>2 doors</v>
      </c>
      <c r="AQ154" s="23" t="s">
        <v>33</v>
      </c>
      <c r="AR154" s="23" t="str">
        <f t="shared" si="95"/>
        <v>CC</v>
      </c>
      <c r="AS154" s="34">
        <f t="shared" si="96"/>
        <v>7220</v>
      </c>
      <c r="AT154" s="23">
        <v>72</v>
      </c>
      <c r="AU154" s="23">
        <v>20</v>
      </c>
      <c r="AV154" s="23">
        <v>0</v>
      </c>
    </row>
    <row r="155" spans="1:48">
      <c r="A155" s="25" t="s">
        <v>113</v>
      </c>
      <c r="C155" s="23" t="s">
        <v>129</v>
      </c>
      <c r="D155" s="23">
        <v>2</v>
      </c>
      <c r="E155" s="25" t="s">
        <v>46</v>
      </c>
      <c r="F155" s="25" t="s">
        <v>46</v>
      </c>
      <c r="G155" s="23" t="s">
        <v>27</v>
      </c>
      <c r="H155" s="23" t="s">
        <v>195</v>
      </c>
      <c r="I155" s="25">
        <v>2000</v>
      </c>
      <c r="J155" s="35">
        <v>30</v>
      </c>
      <c r="K155" s="35">
        <v>40</v>
      </c>
      <c r="L155" s="35">
        <v>20</v>
      </c>
      <c r="M155" s="25">
        <v>7</v>
      </c>
      <c r="N155" s="25">
        <v>14</v>
      </c>
      <c r="R155" s="30">
        <f t="shared" si="83"/>
        <v>21</v>
      </c>
      <c r="S155" s="30">
        <f t="shared" si="84"/>
        <v>13.5</v>
      </c>
      <c r="T155" s="30">
        <f t="shared" si="85"/>
        <v>19.440000000000001</v>
      </c>
      <c r="U155" s="25">
        <v>70</v>
      </c>
      <c r="V155" s="31">
        <f t="shared" si="86"/>
        <v>170</v>
      </c>
      <c r="W155" s="25">
        <v>125</v>
      </c>
      <c r="X155" s="25">
        <v>7</v>
      </c>
      <c r="Y155" s="25">
        <v>36</v>
      </c>
      <c r="Z155" s="31">
        <f t="shared" si="87"/>
        <v>185</v>
      </c>
      <c r="AA155" s="31">
        <f t="shared" si="88"/>
        <v>8</v>
      </c>
      <c r="AB155" s="31" t="str">
        <f t="shared" si="89"/>
        <v/>
      </c>
      <c r="AC155" s="31" t="str">
        <f t="shared" si="90"/>
        <v/>
      </c>
      <c r="AD155" s="31" t="str">
        <f t="shared" si="91"/>
        <v/>
      </c>
      <c r="AE155" s="31" t="str">
        <f t="shared" si="92"/>
        <v/>
      </c>
      <c r="AF155" s="31" t="str">
        <f t="shared" si="93"/>
        <v/>
      </c>
      <c r="AG155" s="25">
        <v>8</v>
      </c>
      <c r="AH155" s="25">
        <v>0</v>
      </c>
      <c r="AI155" s="25">
        <v>0</v>
      </c>
      <c r="AJ155" s="23" t="s">
        <v>208</v>
      </c>
      <c r="AK155" s="23" t="s">
        <v>92</v>
      </c>
      <c r="AL155" s="25" t="s">
        <v>113</v>
      </c>
      <c r="AM155" s="28" t="s">
        <v>209</v>
      </c>
      <c r="AO155" s="32" t="str">
        <f t="shared" si="94"/>
        <v>2 doors</v>
      </c>
      <c r="AQ155" s="23" t="s">
        <v>33</v>
      </c>
      <c r="AR155" s="23" t="str">
        <f t="shared" si="95"/>
        <v>Hungary</v>
      </c>
      <c r="AS155" s="34">
        <f t="shared" si="96"/>
        <v>7220.01</v>
      </c>
      <c r="AT155" s="23">
        <v>72</v>
      </c>
      <c r="AU155" s="23">
        <v>20</v>
      </c>
      <c r="AV155" s="23">
        <v>1</v>
      </c>
    </row>
    <row r="156" spans="1:48">
      <c r="A156" s="25" t="s">
        <v>114</v>
      </c>
      <c r="D156" s="23">
        <v>3</v>
      </c>
      <c r="E156" s="25" t="s">
        <v>30</v>
      </c>
      <c r="F156" s="25" t="s">
        <v>30</v>
      </c>
      <c r="G156" s="23" t="s">
        <v>27</v>
      </c>
      <c r="H156" s="23" t="s">
        <v>196</v>
      </c>
      <c r="I156" s="25">
        <v>1999</v>
      </c>
      <c r="J156" s="35">
        <v>30</v>
      </c>
      <c r="K156" s="35">
        <v>40</v>
      </c>
      <c r="L156" s="35">
        <v>20</v>
      </c>
      <c r="M156" s="25">
        <v>6</v>
      </c>
      <c r="N156" s="25">
        <v>12</v>
      </c>
      <c r="O156" s="25">
        <v>6</v>
      </c>
      <c r="R156" s="30">
        <f t="shared" si="83"/>
        <v>24</v>
      </c>
      <c r="S156" s="30">
        <f t="shared" si="84"/>
        <v>14.826285714285714</v>
      </c>
      <c r="T156" s="30">
        <f t="shared" si="85"/>
        <v>21.144952380952382</v>
      </c>
      <c r="U156" s="25">
        <v>76</v>
      </c>
      <c r="V156" s="31">
        <f t="shared" si="86"/>
        <v>182.24</v>
      </c>
      <c r="W156" s="25">
        <v>134</v>
      </c>
      <c r="X156" s="25">
        <v>8</v>
      </c>
      <c r="Y156" s="25">
        <v>61</v>
      </c>
      <c r="Z156" s="31">
        <f t="shared" si="87"/>
        <v>185</v>
      </c>
      <c r="AA156" s="31">
        <f t="shared" si="88"/>
        <v>8</v>
      </c>
      <c r="AB156" s="31" t="str">
        <f t="shared" si="89"/>
        <v/>
      </c>
      <c r="AC156" s="31" t="str">
        <f t="shared" si="90"/>
        <v/>
      </c>
      <c r="AD156" s="31" t="str">
        <f t="shared" si="91"/>
        <v/>
      </c>
      <c r="AE156" s="31" t="str">
        <f t="shared" si="92"/>
        <v/>
      </c>
      <c r="AF156" s="31" t="str">
        <f t="shared" si="93"/>
        <v/>
      </c>
      <c r="AG156" s="25">
        <v>8</v>
      </c>
      <c r="AH156" s="25">
        <v>0</v>
      </c>
      <c r="AI156" s="25">
        <v>0</v>
      </c>
      <c r="AJ156" s="23" t="s">
        <v>208</v>
      </c>
      <c r="AK156" s="23" t="s">
        <v>92</v>
      </c>
      <c r="AL156" s="25" t="s">
        <v>114</v>
      </c>
      <c r="AO156" s="32" t="str">
        <f t="shared" si="94"/>
        <v>3 doors</v>
      </c>
      <c r="AP156" s="23" t="s">
        <v>247</v>
      </c>
      <c r="AQ156" s="23" t="s">
        <v>33</v>
      </c>
      <c r="AR156" s="23" t="str">
        <f t="shared" si="95"/>
        <v>CC</v>
      </c>
      <c r="AS156" s="34">
        <f t="shared" si="96"/>
        <v>7240</v>
      </c>
      <c r="AT156" s="23">
        <v>72</v>
      </c>
      <c r="AU156" s="23">
        <v>40</v>
      </c>
      <c r="AV156" s="23">
        <v>0</v>
      </c>
    </row>
    <row r="157" spans="1:48">
      <c r="A157" s="25" t="s">
        <v>114</v>
      </c>
      <c r="D157" s="23">
        <v>3</v>
      </c>
      <c r="E157" s="25" t="s">
        <v>213</v>
      </c>
      <c r="F157" s="25" t="s">
        <v>213</v>
      </c>
      <c r="G157" s="23" t="s">
        <v>27</v>
      </c>
      <c r="H157" s="23" t="s">
        <v>196</v>
      </c>
      <c r="I157" s="25">
        <v>1999</v>
      </c>
      <c r="J157" s="35">
        <v>30</v>
      </c>
      <c r="K157" s="35">
        <v>40</v>
      </c>
      <c r="L157" s="35">
        <v>20</v>
      </c>
      <c r="M157" s="25">
        <v>6</v>
      </c>
      <c r="N157" s="25">
        <v>12</v>
      </c>
      <c r="O157" s="25">
        <v>6</v>
      </c>
      <c r="R157" s="30">
        <f t="shared" si="83"/>
        <v>24</v>
      </c>
      <c r="S157" s="30">
        <f t="shared" si="84"/>
        <v>14.826285714285714</v>
      </c>
      <c r="T157" s="30">
        <f t="shared" si="85"/>
        <v>21.144952380952382</v>
      </c>
      <c r="U157" s="25">
        <v>76</v>
      </c>
      <c r="V157" s="31">
        <f t="shared" si="86"/>
        <v>182.24</v>
      </c>
      <c r="W157" s="25">
        <v>134</v>
      </c>
      <c r="X157" s="25">
        <v>8</v>
      </c>
      <c r="Y157" s="25">
        <v>61</v>
      </c>
      <c r="Z157" s="31">
        <f t="shared" si="87"/>
        <v>185</v>
      </c>
      <c r="AA157" s="31">
        <f t="shared" si="88"/>
        <v>8</v>
      </c>
      <c r="AB157" s="31" t="str">
        <f t="shared" si="89"/>
        <v/>
      </c>
      <c r="AC157" s="31" t="str">
        <f t="shared" si="90"/>
        <v/>
      </c>
      <c r="AD157" s="31" t="str">
        <f t="shared" si="91"/>
        <v/>
      </c>
      <c r="AE157" s="31" t="str">
        <f t="shared" si="92"/>
        <v/>
      </c>
      <c r="AF157" s="31" t="str">
        <f t="shared" si="93"/>
        <v/>
      </c>
      <c r="AG157" s="25">
        <v>8</v>
      </c>
      <c r="AH157" s="25">
        <v>0</v>
      </c>
      <c r="AI157" s="25">
        <v>0</v>
      </c>
      <c r="AJ157" s="23" t="s">
        <v>208</v>
      </c>
      <c r="AK157" s="23" t="s">
        <v>92</v>
      </c>
      <c r="AL157" s="25" t="s">
        <v>114</v>
      </c>
      <c r="AO157" s="32" t="str">
        <f t="shared" si="94"/>
        <v>3 doors</v>
      </c>
      <c r="AP157" s="23" t="s">
        <v>247</v>
      </c>
      <c r="AQ157" s="23" t="s">
        <v>33</v>
      </c>
      <c r="AR157" s="23" t="str">
        <f t="shared" si="95"/>
        <v>Hungary</v>
      </c>
      <c r="AS157" s="34">
        <f t="shared" si="96"/>
        <v>7240.01</v>
      </c>
      <c r="AT157" s="23">
        <v>72</v>
      </c>
      <c r="AU157" s="23">
        <v>40</v>
      </c>
      <c r="AV157" s="23">
        <v>1</v>
      </c>
    </row>
    <row r="158" spans="1:48">
      <c r="A158" s="25" t="s">
        <v>93</v>
      </c>
      <c r="D158" s="23">
        <v>2</v>
      </c>
      <c r="E158" s="25" t="s">
        <v>30</v>
      </c>
      <c r="F158" s="25" t="s">
        <v>30</v>
      </c>
      <c r="G158" s="23" t="s">
        <v>27</v>
      </c>
      <c r="H158" s="23" t="s">
        <v>203</v>
      </c>
      <c r="I158" s="25">
        <v>1993</v>
      </c>
      <c r="J158" s="35">
        <v>30</v>
      </c>
      <c r="K158" s="35">
        <v>40</v>
      </c>
      <c r="L158" s="35">
        <v>20</v>
      </c>
      <c r="M158" s="25">
        <v>4</v>
      </c>
      <c r="N158" s="25">
        <v>4</v>
      </c>
      <c r="R158" s="30">
        <f t="shared" si="83"/>
        <v>8</v>
      </c>
      <c r="S158" s="30">
        <f t="shared" si="84"/>
        <v>27.063428571428574</v>
      </c>
      <c r="T158" s="30">
        <f t="shared" si="85"/>
        <v>42.175428571428569</v>
      </c>
      <c r="U158" s="25">
        <v>145</v>
      </c>
      <c r="V158" s="31">
        <f t="shared" si="86"/>
        <v>399.84000000000003</v>
      </c>
      <c r="W158" s="25">
        <v>294</v>
      </c>
      <c r="X158" s="25">
        <v>13</v>
      </c>
      <c r="Y158" s="25">
        <v>48</v>
      </c>
      <c r="Z158" s="31">
        <f t="shared" si="87"/>
        <v>150</v>
      </c>
      <c r="AA158" s="31">
        <f t="shared" si="88"/>
        <v>3</v>
      </c>
      <c r="AB158" s="31">
        <f t="shared" si="89"/>
        <v>8</v>
      </c>
      <c r="AC158" s="31" t="str">
        <f t="shared" si="90"/>
        <v/>
      </c>
      <c r="AD158" s="31" t="str">
        <f t="shared" si="91"/>
        <v/>
      </c>
      <c r="AE158" s="31" t="str">
        <f t="shared" si="92"/>
        <v/>
      </c>
      <c r="AF158" s="31" t="str">
        <f t="shared" si="93"/>
        <v/>
      </c>
      <c r="AG158" s="25">
        <v>11</v>
      </c>
      <c r="AH158" s="25">
        <v>0</v>
      </c>
      <c r="AI158" s="25">
        <v>0</v>
      </c>
      <c r="AJ158" s="23" t="s">
        <v>208</v>
      </c>
      <c r="AK158" s="23" t="s">
        <v>92</v>
      </c>
      <c r="AL158" s="25" t="s">
        <v>93</v>
      </c>
      <c r="AO158" s="32" t="str">
        <f t="shared" si="94"/>
        <v>2 doors</v>
      </c>
      <c r="AQ158" s="23" t="s">
        <v>47</v>
      </c>
      <c r="AR158" s="23" t="str">
        <f t="shared" si="95"/>
        <v>CC</v>
      </c>
      <c r="AS158" s="34">
        <f t="shared" si="96"/>
        <v>7300</v>
      </c>
      <c r="AT158" s="23">
        <v>73</v>
      </c>
      <c r="AU158" s="23">
        <v>0</v>
      </c>
      <c r="AV158" s="23">
        <v>0</v>
      </c>
    </row>
    <row r="159" spans="1:48">
      <c r="A159" s="25" t="s">
        <v>93</v>
      </c>
      <c r="D159" s="23">
        <v>2</v>
      </c>
      <c r="E159" s="25" t="s">
        <v>46</v>
      </c>
      <c r="F159" s="25" t="s">
        <v>46</v>
      </c>
      <c r="G159" s="23" t="s">
        <v>27</v>
      </c>
      <c r="H159" s="23" t="s">
        <v>203</v>
      </c>
      <c r="I159" s="25">
        <v>1993</v>
      </c>
      <c r="J159" s="35">
        <v>30</v>
      </c>
      <c r="K159" s="35">
        <v>40</v>
      </c>
      <c r="L159" s="35">
        <v>20</v>
      </c>
      <c r="M159" s="25">
        <v>4</v>
      </c>
      <c r="N159" s="25">
        <v>4</v>
      </c>
      <c r="R159" s="30">
        <f t="shared" si="83"/>
        <v>8</v>
      </c>
      <c r="S159" s="30">
        <f t="shared" si="84"/>
        <v>27.063428571428574</v>
      </c>
      <c r="T159" s="30">
        <f t="shared" si="85"/>
        <v>42.175428571428569</v>
      </c>
      <c r="U159" s="25">
        <v>145</v>
      </c>
      <c r="V159" s="31">
        <f t="shared" si="86"/>
        <v>399.84000000000003</v>
      </c>
      <c r="W159" s="25">
        <v>294</v>
      </c>
      <c r="X159" s="25">
        <v>13</v>
      </c>
      <c r="Y159" s="25">
        <v>48</v>
      </c>
      <c r="Z159" s="31">
        <f t="shared" si="87"/>
        <v>150</v>
      </c>
      <c r="AA159" s="31">
        <f t="shared" si="88"/>
        <v>3</v>
      </c>
      <c r="AB159" s="31">
        <f t="shared" si="89"/>
        <v>8</v>
      </c>
      <c r="AC159" s="31" t="str">
        <f t="shared" si="90"/>
        <v/>
      </c>
      <c r="AD159" s="31" t="str">
        <f t="shared" si="91"/>
        <v/>
      </c>
      <c r="AE159" s="31" t="str">
        <f t="shared" si="92"/>
        <v/>
      </c>
      <c r="AF159" s="31" t="str">
        <f t="shared" si="93"/>
        <v/>
      </c>
      <c r="AG159" s="25">
        <v>11</v>
      </c>
      <c r="AH159" s="25">
        <v>0</v>
      </c>
      <c r="AI159" s="25">
        <v>0</v>
      </c>
      <c r="AJ159" s="23" t="s">
        <v>208</v>
      </c>
      <c r="AK159" s="23" t="s">
        <v>92</v>
      </c>
      <c r="AL159" s="25" t="s">
        <v>93</v>
      </c>
      <c r="AO159" s="32" t="str">
        <f t="shared" si="94"/>
        <v>2 doors</v>
      </c>
      <c r="AQ159" s="23" t="s">
        <v>47</v>
      </c>
      <c r="AR159" s="23" t="str">
        <f t="shared" si="95"/>
        <v>Hungary</v>
      </c>
      <c r="AS159" s="34">
        <f t="shared" si="96"/>
        <v>7300.01</v>
      </c>
      <c r="AT159" s="23">
        <v>73</v>
      </c>
      <c r="AU159" s="23">
        <v>0</v>
      </c>
      <c r="AV159" s="23">
        <v>1</v>
      </c>
    </row>
    <row r="160" spans="1:48">
      <c r="A160" s="25" t="s">
        <v>93</v>
      </c>
      <c r="D160" s="23">
        <v>2</v>
      </c>
      <c r="E160" s="25" t="s">
        <v>211</v>
      </c>
      <c r="F160" s="25" t="s">
        <v>211</v>
      </c>
      <c r="G160" s="23" t="s">
        <v>27</v>
      </c>
      <c r="H160" s="23" t="s">
        <v>203</v>
      </c>
      <c r="I160" s="25">
        <v>1993</v>
      </c>
      <c r="J160" s="35">
        <v>30</v>
      </c>
      <c r="K160" s="35">
        <v>40</v>
      </c>
      <c r="L160" s="35">
        <v>20</v>
      </c>
      <c r="M160" s="25">
        <v>4</v>
      </c>
      <c r="N160" s="25">
        <v>4</v>
      </c>
      <c r="R160" s="30">
        <f t="shared" si="83"/>
        <v>8</v>
      </c>
      <c r="S160" s="30">
        <f t="shared" si="84"/>
        <v>27.063428571428574</v>
      </c>
      <c r="T160" s="30">
        <f t="shared" si="85"/>
        <v>42.175428571428569</v>
      </c>
      <c r="U160" s="25">
        <v>145</v>
      </c>
      <c r="V160" s="31">
        <f t="shared" si="86"/>
        <v>399.84000000000003</v>
      </c>
      <c r="W160" s="25">
        <v>294</v>
      </c>
      <c r="X160" s="25">
        <v>13</v>
      </c>
      <c r="Y160" s="25">
        <v>48</v>
      </c>
      <c r="Z160" s="31">
        <f t="shared" si="87"/>
        <v>150</v>
      </c>
      <c r="AA160" s="31">
        <f t="shared" si="88"/>
        <v>3</v>
      </c>
      <c r="AB160" s="31">
        <f t="shared" si="89"/>
        <v>8</v>
      </c>
      <c r="AC160" s="31" t="str">
        <f t="shared" si="90"/>
        <v/>
      </c>
      <c r="AD160" s="31" t="str">
        <f t="shared" si="91"/>
        <v/>
      </c>
      <c r="AE160" s="31" t="str">
        <f t="shared" si="92"/>
        <v/>
      </c>
      <c r="AF160" s="31" t="str">
        <f t="shared" si="93"/>
        <v/>
      </c>
      <c r="AG160" s="25">
        <v>11</v>
      </c>
      <c r="AH160" s="25">
        <v>0</v>
      </c>
      <c r="AI160" s="25">
        <v>0</v>
      </c>
      <c r="AJ160" s="23" t="s">
        <v>208</v>
      </c>
      <c r="AK160" s="23" t="s">
        <v>92</v>
      </c>
      <c r="AL160" s="25" t="s">
        <v>93</v>
      </c>
      <c r="AO160" s="32" t="str">
        <f t="shared" si="94"/>
        <v>2 doors</v>
      </c>
      <c r="AQ160" s="23" t="s">
        <v>47</v>
      </c>
      <c r="AR160" s="23" t="str">
        <f t="shared" si="95"/>
        <v>Hungary</v>
      </c>
      <c r="AS160" s="34">
        <f t="shared" si="96"/>
        <v>7300.02</v>
      </c>
      <c r="AT160" s="23">
        <v>73</v>
      </c>
      <c r="AU160" s="23">
        <v>0</v>
      </c>
      <c r="AV160" s="23">
        <v>2</v>
      </c>
    </row>
    <row r="161" spans="1:48">
      <c r="A161" s="25" t="s">
        <v>120</v>
      </c>
      <c r="D161" s="23">
        <v>3</v>
      </c>
      <c r="E161" s="25" t="s">
        <v>30</v>
      </c>
      <c r="F161" s="25" t="s">
        <v>30</v>
      </c>
      <c r="G161" s="23" t="s">
        <v>27</v>
      </c>
      <c r="H161" s="23" t="s">
        <v>204</v>
      </c>
      <c r="I161" s="25">
        <v>1995</v>
      </c>
      <c r="J161" s="35">
        <v>30</v>
      </c>
      <c r="K161" s="35">
        <v>40</v>
      </c>
      <c r="L161" s="35">
        <v>20</v>
      </c>
      <c r="M161" s="25">
        <v>4</v>
      </c>
      <c r="N161" s="25">
        <v>6</v>
      </c>
      <c r="R161" s="30">
        <f t="shared" si="83"/>
        <v>10</v>
      </c>
      <c r="S161" s="30">
        <f t="shared" si="84"/>
        <v>31.042285714285718</v>
      </c>
      <c r="T161" s="30">
        <f t="shared" si="85"/>
        <v>46.536952380952393</v>
      </c>
      <c r="U161" s="25">
        <v>145</v>
      </c>
      <c r="V161" s="31">
        <f t="shared" si="86"/>
        <v>436.56000000000006</v>
      </c>
      <c r="W161" s="25">
        <v>321</v>
      </c>
      <c r="X161" s="25">
        <v>17</v>
      </c>
      <c r="Y161" s="25">
        <v>70</v>
      </c>
      <c r="Z161" s="31">
        <f t="shared" si="87"/>
        <v>100</v>
      </c>
      <c r="AA161" s="31">
        <f t="shared" si="88"/>
        <v>3</v>
      </c>
      <c r="AB161" s="31">
        <f t="shared" si="89"/>
        <v>8</v>
      </c>
      <c r="AC161" s="31" t="str">
        <f t="shared" si="90"/>
        <v/>
      </c>
      <c r="AD161" s="31" t="str">
        <f t="shared" si="91"/>
        <v/>
      </c>
      <c r="AE161" s="31" t="str">
        <f t="shared" si="92"/>
        <v/>
      </c>
      <c r="AF161" s="31" t="str">
        <f t="shared" si="93"/>
        <v/>
      </c>
      <c r="AG161" s="25">
        <v>11</v>
      </c>
      <c r="AH161" s="25">
        <v>0</v>
      </c>
      <c r="AI161" s="25">
        <v>0</v>
      </c>
      <c r="AJ161" s="23" t="s">
        <v>208</v>
      </c>
      <c r="AK161" s="23" t="s">
        <v>92</v>
      </c>
      <c r="AL161" s="25" t="s">
        <v>120</v>
      </c>
      <c r="AO161" s="32" t="str">
        <f t="shared" si="94"/>
        <v>2 doors</v>
      </c>
      <c r="AQ161" s="23" t="s">
        <v>48</v>
      </c>
      <c r="AR161" s="23" t="str">
        <f t="shared" si="95"/>
        <v>CC</v>
      </c>
      <c r="AS161" s="34">
        <f t="shared" si="96"/>
        <v>7400</v>
      </c>
      <c r="AT161" s="23">
        <v>74</v>
      </c>
      <c r="AU161" s="23">
        <v>0</v>
      </c>
      <c r="AV161" s="23">
        <v>0</v>
      </c>
    </row>
    <row r="162" spans="1:48">
      <c r="A162" s="25" t="s">
        <v>120</v>
      </c>
      <c r="D162" s="23">
        <v>3</v>
      </c>
      <c r="E162" s="25" t="s">
        <v>211</v>
      </c>
      <c r="F162" s="25" t="s">
        <v>211</v>
      </c>
      <c r="G162" s="23" t="s">
        <v>27</v>
      </c>
      <c r="H162" s="23" t="s">
        <v>204</v>
      </c>
      <c r="I162" s="25">
        <v>1995</v>
      </c>
      <c r="J162" s="35">
        <v>30</v>
      </c>
      <c r="K162" s="35">
        <v>40</v>
      </c>
      <c r="L162" s="35">
        <v>20</v>
      </c>
      <c r="M162" s="25">
        <v>4</v>
      </c>
      <c r="N162" s="25">
        <v>6</v>
      </c>
      <c r="R162" s="30">
        <f t="shared" si="83"/>
        <v>10</v>
      </c>
      <c r="S162" s="30">
        <f t="shared" si="84"/>
        <v>31.042285714285718</v>
      </c>
      <c r="T162" s="30">
        <f t="shared" si="85"/>
        <v>46.536952380952393</v>
      </c>
      <c r="U162" s="25">
        <v>145</v>
      </c>
      <c r="V162" s="31">
        <f t="shared" si="86"/>
        <v>436.56000000000006</v>
      </c>
      <c r="W162" s="25">
        <v>321</v>
      </c>
      <c r="X162" s="25">
        <v>17</v>
      </c>
      <c r="Y162" s="25">
        <v>70</v>
      </c>
      <c r="Z162" s="31">
        <f t="shared" si="87"/>
        <v>100</v>
      </c>
      <c r="AA162" s="31">
        <f t="shared" si="88"/>
        <v>3</v>
      </c>
      <c r="AB162" s="31">
        <f t="shared" si="89"/>
        <v>8</v>
      </c>
      <c r="AC162" s="31" t="str">
        <f t="shared" si="90"/>
        <v/>
      </c>
      <c r="AD162" s="31" t="str">
        <f t="shared" si="91"/>
        <v/>
      </c>
      <c r="AE162" s="31" t="str">
        <f t="shared" si="92"/>
        <v/>
      </c>
      <c r="AF162" s="31" t="str">
        <f t="shared" si="93"/>
        <v/>
      </c>
      <c r="AG162" s="25">
        <v>11</v>
      </c>
      <c r="AH162" s="25">
        <v>0</v>
      </c>
      <c r="AI162" s="25">
        <v>0</v>
      </c>
      <c r="AJ162" s="23" t="s">
        <v>208</v>
      </c>
      <c r="AK162" s="23" t="s">
        <v>92</v>
      </c>
      <c r="AL162" s="25" t="s">
        <v>120</v>
      </c>
      <c r="AO162" s="32" t="str">
        <f t="shared" si="94"/>
        <v>2 doors</v>
      </c>
      <c r="AQ162" s="23" t="s">
        <v>48</v>
      </c>
      <c r="AR162" s="23" t="str">
        <f t="shared" si="95"/>
        <v>Hungary</v>
      </c>
      <c r="AS162" s="34">
        <f t="shared" si="96"/>
        <v>7400.01</v>
      </c>
      <c r="AT162" s="23">
        <v>74</v>
      </c>
      <c r="AU162" s="23">
        <v>0</v>
      </c>
      <c r="AV162" s="23">
        <v>1</v>
      </c>
    </row>
    <row r="163" spans="1:48">
      <c r="A163" s="25">
        <v>955</v>
      </c>
      <c r="D163" s="23">
        <v>2</v>
      </c>
      <c r="E163" s="25" t="s">
        <v>30</v>
      </c>
      <c r="F163" s="25" t="s">
        <v>30</v>
      </c>
      <c r="G163" s="23" t="s">
        <v>27</v>
      </c>
      <c r="H163" s="23" t="s">
        <v>192</v>
      </c>
      <c r="I163" s="25">
        <v>1999</v>
      </c>
      <c r="J163" s="35">
        <v>30</v>
      </c>
      <c r="K163" s="35">
        <v>40</v>
      </c>
      <c r="L163" s="35">
        <v>20</v>
      </c>
      <c r="M163" s="25">
        <v>4</v>
      </c>
      <c r="N163" s="25">
        <v>4</v>
      </c>
      <c r="R163" s="30">
        <f t="shared" ref="R163" si="97">SUM(M163:Q163)</f>
        <v>8</v>
      </c>
      <c r="S163" s="30">
        <f t="shared" ref="S163" si="98">IF(OR(G163="diesel", G163="petrol"), ((X163+(V163/10))/2)+(R163/14), IF(OR(G163="cng", G163="hybrid"), ((X163+(V163/10))/2*1.2)+(R163/14), IF(OR(G163="hydrogen", G163="electric"), ((X163+(V163/10))/2*1.5)+(R163/14), 0)))</f>
        <v>20.851428571428574</v>
      </c>
      <c r="T163" s="30">
        <f t="shared" si="85"/>
        <v>30.658095238095239</v>
      </c>
      <c r="U163" s="25">
        <v>113</v>
      </c>
      <c r="V163" s="31">
        <f t="shared" ref="V163:V164" si="99">W163*1.36</f>
        <v>285.60000000000002</v>
      </c>
      <c r="W163" s="25">
        <v>210</v>
      </c>
      <c r="X163" s="25">
        <v>12</v>
      </c>
      <c r="Y163" s="25">
        <v>49</v>
      </c>
      <c r="Z163" s="31">
        <f t="shared" si="87"/>
        <v>150</v>
      </c>
      <c r="AA163" s="31">
        <f t="shared" si="88"/>
        <v>3</v>
      </c>
      <c r="AB163" s="31">
        <f t="shared" si="89"/>
        <v>8</v>
      </c>
      <c r="AC163" s="31" t="str">
        <f t="shared" si="90"/>
        <v/>
      </c>
      <c r="AD163" s="31" t="str">
        <f t="shared" si="91"/>
        <v/>
      </c>
      <c r="AE163" s="31" t="str">
        <f t="shared" si="92"/>
        <v/>
      </c>
      <c r="AF163" s="31" t="str">
        <f t="shared" si="93"/>
        <v/>
      </c>
      <c r="AG163" s="25">
        <v>11</v>
      </c>
      <c r="AH163" s="25">
        <v>0</v>
      </c>
      <c r="AI163" s="25">
        <v>0</v>
      </c>
      <c r="AJ163" s="23" t="s">
        <v>208</v>
      </c>
      <c r="AK163" s="23" t="s">
        <v>92</v>
      </c>
      <c r="AL163" s="25">
        <v>955</v>
      </c>
      <c r="AO163" s="32" t="str">
        <f t="shared" si="94"/>
        <v>2 doors</v>
      </c>
      <c r="AQ163" s="23" t="s">
        <v>47</v>
      </c>
      <c r="AR163" s="23" t="str">
        <f t="shared" si="95"/>
        <v>CC</v>
      </c>
      <c r="AS163" s="34">
        <f t="shared" ref="AS163:AS166" si="100">(AT163*100)+AU163+(AV163/100)</f>
        <v>7900</v>
      </c>
      <c r="AT163" s="23">
        <v>79</v>
      </c>
      <c r="AU163" s="23">
        <v>0</v>
      </c>
      <c r="AV163" s="23">
        <v>0</v>
      </c>
    </row>
    <row r="164" spans="1:48">
      <c r="A164" s="25" t="s">
        <v>249</v>
      </c>
      <c r="D164" s="23">
        <v>2</v>
      </c>
      <c r="E164" s="25" t="s">
        <v>30</v>
      </c>
      <c r="F164" s="25" t="s">
        <v>30</v>
      </c>
      <c r="G164" s="23" t="s">
        <v>27</v>
      </c>
      <c r="H164" s="23" t="s">
        <v>251</v>
      </c>
      <c r="I164" s="25">
        <v>1998</v>
      </c>
      <c r="J164" s="35">
        <v>30</v>
      </c>
      <c r="K164" s="35">
        <v>40</v>
      </c>
      <c r="L164" s="35">
        <v>20</v>
      </c>
      <c r="M164" s="25">
        <v>10</v>
      </c>
      <c r="N164" s="25">
        <v>10</v>
      </c>
      <c r="R164" s="30">
        <f t="shared" ref="R164" si="101">SUM(M164:Q164)</f>
        <v>20</v>
      </c>
      <c r="S164" s="30">
        <f t="shared" ref="S164" si="102">IF(OR(G164="diesel", G164="petrol"), ((X164+(V164/10))/2)+(R164/14), IF(OR(G164="cng", G164="hybrid"), ((X164+(V164/10))/2*1.2)+(R164/14), IF(OR(G164="hydrogen", G164="electric"), ((X164+(V164/10))/2*1.5)+(R164/14), 0)))</f>
        <v>19.848571428571429</v>
      </c>
      <c r="T164" s="30">
        <f t="shared" ref="T164" si="103">IF(G164="petrol", ((X164+(Y164/15)+V164)/10*1.5)+(R164/14), IF(G164="diesel", ((X164+(Y164/15)+V164)/10)+(R164/14), IF(OR(G164="cng", G164="hybrid"), ((X164+(Y164/15)+V164)/10*0.8)+(R164/14), IF(OR(G164="hydrogen", G164="electric"), ((X164+(Y164/15)+V164)/10*0.5)+(R164/14), 0))))</f>
        <v>28.888571428571428</v>
      </c>
      <c r="U164" s="25">
        <v>90</v>
      </c>
      <c r="V164" s="31">
        <f t="shared" si="99"/>
        <v>258.40000000000003</v>
      </c>
      <c r="W164" s="25">
        <v>190</v>
      </c>
      <c r="X164" s="25">
        <v>11</v>
      </c>
      <c r="Y164" s="25">
        <v>78</v>
      </c>
      <c r="Z164" s="31">
        <f t="shared" ref="Z164" si="104">IF(AQ164="Regional", 185, IF(AQ164="Intercity", 150, IF(AQ164="Tourist", 100, 200)))</f>
        <v>200</v>
      </c>
      <c r="AA164" s="31">
        <f t="shared" ref="AA164" si="105">IF(AG164&gt;8, AG164-8, AG164)</f>
        <v>2</v>
      </c>
      <c r="AB164" s="31">
        <f t="shared" ref="AB164" si="106">IF(AG164&gt;8, 8, "")</f>
        <v>8</v>
      </c>
      <c r="AC164" s="31" t="str">
        <f t="shared" ref="AC164" si="107">IF(AH164&gt;8, AH164-8, IF(AH164=0, "", AH164))</f>
        <v/>
      </c>
      <c r="AD164" s="31" t="str">
        <f t="shared" ref="AD164" si="108">IF(AH164&gt;8, 8, "")</f>
        <v/>
      </c>
      <c r="AE164" s="31" t="str">
        <f t="shared" ref="AE164" si="109">IF(AI164&gt;8, AI164-8, IF(AI164=0, "", AI164))</f>
        <v/>
      </c>
      <c r="AF164" s="31" t="str">
        <f t="shared" ref="AF164" si="110">IF(AI164&gt;8, 8, "")</f>
        <v/>
      </c>
      <c r="AG164" s="25">
        <v>10</v>
      </c>
      <c r="AH164" s="25">
        <v>0</v>
      </c>
      <c r="AI164" s="25">
        <v>0</v>
      </c>
      <c r="AJ164" s="23" t="s">
        <v>206</v>
      </c>
      <c r="AK164" s="23" t="s">
        <v>92</v>
      </c>
      <c r="AL164" s="26" t="s">
        <v>249</v>
      </c>
      <c r="AO164" s="32" t="str">
        <f t="shared" si="94"/>
        <v>2 doors</v>
      </c>
      <c r="AP164" s="23" t="s">
        <v>250</v>
      </c>
      <c r="AQ164" s="23" t="s">
        <v>270</v>
      </c>
      <c r="AR164" s="23" t="str">
        <f t="shared" ref="AR164:AR166" si="111">IF(E164="CC1", "CC", IF(E164="CC2", "CC", IF(E164="CC3", "CC", "Hungary")))</f>
        <v>CC</v>
      </c>
      <c r="AS164" s="34">
        <f t="shared" si="100"/>
        <v>8000</v>
      </c>
      <c r="AT164" s="23">
        <v>80</v>
      </c>
      <c r="AU164" s="23">
        <v>0</v>
      </c>
      <c r="AV164" s="23">
        <v>0</v>
      </c>
    </row>
    <row r="165" spans="1:48">
      <c r="A165" s="25" t="s">
        <v>249</v>
      </c>
      <c r="D165" s="23">
        <v>2</v>
      </c>
      <c r="E165" s="25" t="s">
        <v>46</v>
      </c>
      <c r="F165" s="25" t="s">
        <v>46</v>
      </c>
      <c r="G165" s="23" t="s">
        <v>27</v>
      </c>
      <c r="H165" s="23" t="s">
        <v>251</v>
      </c>
      <c r="I165" s="25">
        <v>1998</v>
      </c>
      <c r="J165" s="35">
        <v>30</v>
      </c>
      <c r="K165" s="35">
        <v>40</v>
      </c>
      <c r="L165" s="35">
        <v>20</v>
      </c>
      <c r="M165" s="25">
        <v>10</v>
      </c>
      <c r="N165" s="25">
        <v>10</v>
      </c>
      <c r="R165" s="30">
        <f t="shared" ref="R165" si="112">SUM(M165:Q165)</f>
        <v>20</v>
      </c>
      <c r="S165" s="30">
        <f t="shared" ref="S165" si="113">IF(OR(G165="diesel", G165="petrol"), ((X165+(V165/10))/2)+(R165/14), IF(OR(G165="cng", G165="hybrid"), ((X165+(V165/10))/2*1.2)+(R165/14), IF(OR(G165="hydrogen", G165="electric"), ((X165+(V165/10))/2*1.5)+(R165/14), 0)))</f>
        <v>19.848571428571429</v>
      </c>
      <c r="T165" s="30">
        <f t="shared" ref="T165" si="114">IF(G165="petrol", ((X165+(Y165/15)+V165)/10*1.5)+(R165/14), IF(G165="diesel", ((X165+(Y165/15)+V165)/10)+(R165/14), IF(OR(G165="cng", G165="hybrid"), ((X165+(Y165/15)+V165)/10*0.8)+(R165/14), IF(OR(G165="hydrogen", G165="electric"), ((X165+(Y165/15)+V165)/10*0.5)+(R165/14), 0))))</f>
        <v>28.888571428571428</v>
      </c>
      <c r="U165" s="25">
        <v>90</v>
      </c>
      <c r="V165" s="31">
        <f t="shared" ref="V165" si="115">W165*1.36</f>
        <v>258.40000000000003</v>
      </c>
      <c r="W165" s="25">
        <v>190</v>
      </c>
      <c r="X165" s="25">
        <v>11</v>
      </c>
      <c r="Y165" s="25">
        <v>78</v>
      </c>
      <c r="Z165" s="31">
        <f t="shared" ref="Z165" si="116">IF(AQ165="Regional", 185, IF(AQ165="Intercity", 150, IF(AQ165="Tourist", 100, 200)))</f>
        <v>200</v>
      </c>
      <c r="AA165" s="31">
        <f t="shared" ref="AA165" si="117">IF(AG165&gt;8, AG165-8, AG165)</f>
        <v>2</v>
      </c>
      <c r="AB165" s="31">
        <f t="shared" ref="AB165" si="118">IF(AG165&gt;8, 8, "")</f>
        <v>8</v>
      </c>
      <c r="AC165" s="31" t="str">
        <f t="shared" ref="AC165" si="119">IF(AH165&gt;8, AH165-8, IF(AH165=0, "", AH165))</f>
        <v/>
      </c>
      <c r="AD165" s="31" t="str">
        <f t="shared" ref="AD165" si="120">IF(AH165&gt;8, 8, "")</f>
        <v/>
      </c>
      <c r="AE165" s="31" t="str">
        <f t="shared" ref="AE165" si="121">IF(AI165&gt;8, AI165-8, IF(AI165=0, "", AI165))</f>
        <v/>
      </c>
      <c r="AF165" s="31" t="str">
        <f t="shared" ref="AF165" si="122">IF(AI165&gt;8, 8, "")</f>
        <v/>
      </c>
      <c r="AG165" s="25">
        <v>10</v>
      </c>
      <c r="AH165" s="25">
        <v>0</v>
      </c>
      <c r="AI165" s="25">
        <v>0</v>
      </c>
      <c r="AJ165" s="23" t="s">
        <v>206</v>
      </c>
      <c r="AK165" s="23" t="s">
        <v>92</v>
      </c>
      <c r="AL165" s="26" t="s">
        <v>249</v>
      </c>
      <c r="AO165" s="32" t="str">
        <f t="shared" ref="AO165" si="123">IF(Q165&gt;0, "5 doors", IF(P165&gt;0, "4 doors", IF(O165&gt;0, "3 doors", IF(N165&gt;0, "2 doors", "1 door"))))</f>
        <v>2 doors</v>
      </c>
      <c r="AP165" s="23" t="s">
        <v>250</v>
      </c>
      <c r="AQ165" s="23" t="s">
        <v>270</v>
      </c>
      <c r="AR165" s="23" t="str">
        <f t="shared" ref="AR165" si="124">IF(E165="CC1", "CC", IF(E165="CC2", "CC", IF(E165="CC3", "CC", "Hungary")))</f>
        <v>Hungary</v>
      </c>
      <c r="AS165" s="34">
        <f t="shared" ref="AS165" si="125">(AT165*100)+AU165+(AV165/100)</f>
        <v>8000.01</v>
      </c>
      <c r="AT165" s="23">
        <v>80</v>
      </c>
      <c r="AU165" s="23">
        <v>0</v>
      </c>
      <c r="AV165" s="23">
        <v>1</v>
      </c>
    </row>
    <row r="166" spans="1:48">
      <c r="A166" s="25" t="s">
        <v>249</v>
      </c>
      <c r="D166" s="23">
        <v>2</v>
      </c>
      <c r="E166" s="25" t="s">
        <v>30</v>
      </c>
      <c r="F166" s="25" t="s">
        <v>30</v>
      </c>
      <c r="G166" s="23" t="s">
        <v>27</v>
      </c>
      <c r="H166" s="23" t="s">
        <v>252</v>
      </c>
      <c r="I166" s="25">
        <v>2000</v>
      </c>
      <c r="J166" s="35">
        <v>30</v>
      </c>
      <c r="K166" s="35">
        <v>40</v>
      </c>
      <c r="L166" s="35">
        <v>20</v>
      </c>
      <c r="M166" s="25">
        <v>5</v>
      </c>
      <c r="N166" s="25">
        <v>5</v>
      </c>
      <c r="R166" s="30">
        <f t="shared" ref="R166:R168" si="126">SUM(M166:Q166)</f>
        <v>10</v>
      </c>
      <c r="S166" s="30">
        <f t="shared" ref="S166:S168" si="127">IF(OR(G166="diesel", G166="petrol"), ((X166+(V166/10))/2)+(R166/14), IF(OR(G166="cng", G166="hybrid"), ((X166+(V166/10))/2*1.2)+(R166/14), IF(OR(G166="hydrogen", G166="electric"), ((X166+(V166/10))/2*1.5)+(R166/14), 0)))</f>
        <v>20.154285714285717</v>
      </c>
      <c r="T166" s="30">
        <f t="shared" ref="T166:T168" si="128">IF(G166="petrol", ((X166+(Y166/15)+V166)/10*1.5)+(R166/14), IF(G166="diesel", ((X166+(Y166/15)+V166)/10)+(R166/14), IF(OR(G166="cng", G166="hybrid"), ((X166+(Y166/15)+V166)/10*0.8)+(R166/14), IF(OR(G166="hydrogen", G166="electric"), ((X166+(Y166/15)+V166)/10*0.5)+(R166/14), 0))))</f>
        <v>30.007619047619048</v>
      </c>
      <c r="U166" s="25">
        <v>90</v>
      </c>
      <c r="V166" s="31">
        <f t="shared" ref="V166:V168" si="129">W166*1.36</f>
        <v>278.8</v>
      </c>
      <c r="W166" s="25">
        <v>205</v>
      </c>
      <c r="X166" s="25">
        <v>11</v>
      </c>
      <c r="Y166" s="25">
        <v>47</v>
      </c>
      <c r="Z166" s="31">
        <f t="shared" ref="Z166:Z168" si="130">IF(AQ166="Regional", 185, IF(AQ166="Intercity", 150, IF(AQ166="Tourist", 100, 200)))</f>
        <v>185</v>
      </c>
      <c r="AA166" s="31">
        <f t="shared" ref="AA166:AA168" si="131">IF(AG166&gt;8, AG166-8, AG166)</f>
        <v>2</v>
      </c>
      <c r="AB166" s="31">
        <f t="shared" ref="AB166:AB168" si="132">IF(AG166&gt;8, 8, "")</f>
        <v>8</v>
      </c>
      <c r="AC166" s="31" t="str">
        <f t="shared" ref="AC166:AC168" si="133">IF(AH166&gt;8, AH166-8, IF(AH166=0, "", AH166))</f>
        <v/>
      </c>
      <c r="AD166" s="31" t="str">
        <f t="shared" ref="AD166:AD168" si="134">IF(AH166&gt;8, 8, "")</f>
        <v/>
      </c>
      <c r="AE166" s="31" t="str">
        <f t="shared" ref="AE166:AE168" si="135">IF(AI166&gt;8, AI166-8, IF(AI166=0, "", AI166))</f>
        <v/>
      </c>
      <c r="AF166" s="31" t="str">
        <f t="shared" ref="AF166:AF168" si="136">IF(AI166&gt;8, 8, "")</f>
        <v/>
      </c>
      <c r="AG166" s="25">
        <v>10</v>
      </c>
      <c r="AH166" s="25">
        <v>0</v>
      </c>
      <c r="AI166" s="25">
        <v>0</v>
      </c>
      <c r="AJ166" s="23" t="s">
        <v>206</v>
      </c>
      <c r="AK166" s="23" t="s">
        <v>92</v>
      </c>
      <c r="AL166" s="26" t="s">
        <v>249</v>
      </c>
      <c r="AO166" s="32" t="str">
        <f t="shared" ref="AO166:AO168" si="137">IF(Q166&gt;0, "5 doors", IF(P166&gt;0, "4 doors", IF(O166&gt;0, "3 doors", IF(N166&gt;0, "2 doors", "1 door"))))</f>
        <v>2 doors</v>
      </c>
      <c r="AP166" s="23" t="s">
        <v>253</v>
      </c>
      <c r="AQ166" s="23" t="s">
        <v>33</v>
      </c>
      <c r="AR166" s="23" t="str">
        <f t="shared" si="111"/>
        <v>CC</v>
      </c>
      <c r="AS166" s="34">
        <f t="shared" si="100"/>
        <v>8010</v>
      </c>
      <c r="AT166" s="23">
        <v>80</v>
      </c>
      <c r="AU166" s="23">
        <v>10</v>
      </c>
      <c r="AV166" s="23">
        <v>0</v>
      </c>
    </row>
    <row r="167" spans="1:48">
      <c r="A167" s="25" t="s">
        <v>267</v>
      </c>
      <c r="D167" s="23">
        <v>2</v>
      </c>
      <c r="E167" s="25" t="s">
        <v>30</v>
      </c>
      <c r="F167" s="25" t="s">
        <v>30</v>
      </c>
      <c r="G167" s="23" t="s">
        <v>27</v>
      </c>
      <c r="H167" s="23" t="s">
        <v>268</v>
      </c>
      <c r="I167" s="25">
        <v>1998</v>
      </c>
      <c r="J167" s="35">
        <v>30</v>
      </c>
      <c r="K167" s="35">
        <v>40</v>
      </c>
      <c r="L167" s="35">
        <v>20</v>
      </c>
      <c r="M167" s="25">
        <v>10</v>
      </c>
      <c r="N167" s="25">
        <v>10</v>
      </c>
      <c r="O167" s="25">
        <v>10</v>
      </c>
      <c r="R167" s="30">
        <f t="shared" ref="R167" si="138">SUM(M167:Q167)</f>
        <v>30</v>
      </c>
      <c r="S167" s="30">
        <f t="shared" ref="S167" si="139">IF(OR(G167="diesel", G167="petrol"), ((X167+(V167/10))/2)+(R167/14), IF(OR(G167="cng", G167="hybrid"), ((X167+(V167/10))/2*1.2)+(R167/14), IF(OR(G167="hydrogen", G167="electric"), ((X167+(V167/10))/2*1.5)+(R167/14), 0)))</f>
        <v>18.522857142857145</v>
      </c>
      <c r="T167" s="30">
        <f t="shared" ref="T167" si="140">IF(G167="petrol", ((X167+(Y167/15)+V167)/10*1.5)+(R167/14), IF(G167="diesel", ((X167+(Y167/15)+V167)/10)+(R167/14), IF(OR(G167="cng", G167="hybrid"), ((X167+(Y167/15)+V167)/10*0.8)+(R167/14), IF(OR(G167="hydrogen", G167="electric"), ((X167+(Y167/15)+V167)/10*0.5)+(R167/14), 0))))</f>
        <v>25.656190476190478</v>
      </c>
      <c r="U167" s="25">
        <v>90</v>
      </c>
      <c r="V167" s="31">
        <f t="shared" ref="V167" si="141">W167*1.36</f>
        <v>217.60000000000002</v>
      </c>
      <c r="W167" s="25">
        <v>160</v>
      </c>
      <c r="X167" s="25">
        <v>11</v>
      </c>
      <c r="Y167" s="25">
        <v>98</v>
      </c>
      <c r="Z167" s="31">
        <f t="shared" ref="Z167" si="142">IF(AQ167="Regional", 185, IF(AQ167="Intercity", 150, IF(AQ167="Tourist", 100, 200)))</f>
        <v>200</v>
      </c>
      <c r="AA167" s="31">
        <f t="shared" ref="AA167" si="143">IF(AG167&gt;8, AG167-8, AG167)</f>
        <v>1</v>
      </c>
      <c r="AB167" s="31">
        <f t="shared" ref="AB167" si="144">IF(AG167&gt;8, 8, "")</f>
        <v>8</v>
      </c>
      <c r="AC167" s="31" t="str">
        <f t="shared" ref="AC167" si="145">IF(AH167&gt;8, AH167-8, IF(AH167=0, "", AH167))</f>
        <v/>
      </c>
      <c r="AD167" s="31" t="str">
        <f t="shared" ref="AD167" si="146">IF(AH167&gt;8, 8, "")</f>
        <v/>
      </c>
      <c r="AE167" s="31" t="str">
        <f t="shared" ref="AE167" si="147">IF(AI167&gt;8, AI167-8, IF(AI167=0, "", AI167))</f>
        <v/>
      </c>
      <c r="AF167" s="31" t="str">
        <f t="shared" ref="AF167" si="148">IF(AI167&gt;8, 8, "")</f>
        <v/>
      </c>
      <c r="AG167" s="25">
        <v>9</v>
      </c>
      <c r="AH167" s="25">
        <v>0</v>
      </c>
      <c r="AI167" s="25">
        <v>0</v>
      </c>
      <c r="AJ167" s="23" t="s">
        <v>206</v>
      </c>
      <c r="AK167" s="23" t="s">
        <v>92</v>
      </c>
      <c r="AL167" s="26" t="s">
        <v>267</v>
      </c>
      <c r="AO167" s="32" t="str">
        <f t="shared" ref="AO167" si="149">IF(Q167&gt;0, "5 doors", IF(P167&gt;0, "4 doors", IF(O167&gt;0, "3 doors", IF(N167&gt;0, "2 doors", "1 door"))))</f>
        <v>3 doors</v>
      </c>
      <c r="AP167" s="23" t="s">
        <v>269</v>
      </c>
      <c r="AQ167" s="23" t="s">
        <v>32</v>
      </c>
      <c r="AR167" s="23" t="str">
        <f t="shared" ref="AR167" si="150">IF(E167="CC1", "CC", IF(E167="CC2", "CC", IF(E167="CC3", "CC", "Hungary")))</f>
        <v>CC</v>
      </c>
      <c r="AS167" s="34">
        <f t="shared" ref="AS167" si="151">(AT167*100)+AU167+(AV167/100)</f>
        <v>8020</v>
      </c>
      <c r="AT167" s="23">
        <v>80</v>
      </c>
      <c r="AU167" s="23">
        <v>20</v>
      </c>
      <c r="AV167" s="23">
        <v>0</v>
      </c>
    </row>
    <row r="168" spans="1:48">
      <c r="A168" s="25" t="s">
        <v>257</v>
      </c>
      <c r="D168" s="23">
        <v>2</v>
      </c>
      <c r="E168" s="25" t="s">
        <v>30</v>
      </c>
      <c r="F168" s="25" t="s">
        <v>30</v>
      </c>
      <c r="G168" s="23" t="s">
        <v>27</v>
      </c>
      <c r="H168" s="23" t="s">
        <v>258</v>
      </c>
      <c r="I168" s="25">
        <v>1998</v>
      </c>
      <c r="J168" s="35">
        <v>30</v>
      </c>
      <c r="K168" s="35">
        <v>40</v>
      </c>
      <c r="L168" s="35">
        <v>20</v>
      </c>
      <c r="M168" s="25">
        <v>10</v>
      </c>
      <c r="N168" s="25">
        <v>10</v>
      </c>
      <c r="O168" s="25">
        <v>10</v>
      </c>
      <c r="P168" s="25">
        <v>10</v>
      </c>
      <c r="R168" s="30">
        <f t="shared" si="126"/>
        <v>40</v>
      </c>
      <c r="S168" s="30">
        <f t="shared" si="127"/>
        <v>23.797142857142859</v>
      </c>
      <c r="T168" s="30">
        <f t="shared" si="128"/>
        <v>32.923809523809524</v>
      </c>
      <c r="U168" s="25">
        <v>90</v>
      </c>
      <c r="V168" s="31">
        <f t="shared" si="129"/>
        <v>278.8</v>
      </c>
      <c r="W168" s="25">
        <v>205</v>
      </c>
      <c r="X168" s="25">
        <v>14</v>
      </c>
      <c r="Y168" s="25">
        <v>118</v>
      </c>
      <c r="Z168" s="31">
        <f t="shared" si="130"/>
        <v>200</v>
      </c>
      <c r="AA168" s="31">
        <f t="shared" si="131"/>
        <v>1</v>
      </c>
      <c r="AB168" s="31">
        <f t="shared" si="132"/>
        <v>8</v>
      </c>
      <c r="AC168" s="31">
        <f t="shared" si="133"/>
        <v>6</v>
      </c>
      <c r="AD168" s="31" t="str">
        <f t="shared" si="134"/>
        <v/>
      </c>
      <c r="AE168" s="31" t="str">
        <f t="shared" si="135"/>
        <v/>
      </c>
      <c r="AF168" s="31" t="str">
        <f t="shared" si="136"/>
        <v/>
      </c>
      <c r="AG168" s="25">
        <v>9</v>
      </c>
      <c r="AH168" s="25">
        <v>6</v>
      </c>
      <c r="AI168" s="25">
        <v>0</v>
      </c>
      <c r="AJ168" s="23" t="s">
        <v>206</v>
      </c>
      <c r="AK168" s="23" t="s">
        <v>92</v>
      </c>
      <c r="AL168" s="26" t="s">
        <v>257</v>
      </c>
      <c r="AO168" s="32" t="str">
        <f t="shared" si="137"/>
        <v>4 doors</v>
      </c>
      <c r="AP168" s="23" t="s">
        <v>260</v>
      </c>
      <c r="AQ168" s="23" t="s">
        <v>32</v>
      </c>
      <c r="AR168" s="23" t="str">
        <f t="shared" ref="AR168" si="152">IF(E168="CC1", "CC", IF(E168="CC2", "CC", IF(E168="CC3", "CC", "Hungary")))</f>
        <v>CC</v>
      </c>
      <c r="AS168" s="34">
        <f t="shared" ref="AS168" si="153">(AT168*100)+AU168+(AV168/100)</f>
        <v>8030</v>
      </c>
      <c r="AT168" s="23">
        <v>80</v>
      </c>
      <c r="AU168" s="23">
        <v>30</v>
      </c>
      <c r="AV168" s="23">
        <v>0</v>
      </c>
    </row>
    <row r="169" spans="1:48">
      <c r="A169" s="25" t="s">
        <v>257</v>
      </c>
      <c r="D169" s="23">
        <v>2</v>
      </c>
      <c r="E169" s="25" t="s">
        <v>30</v>
      </c>
      <c r="F169" s="25" t="s">
        <v>30</v>
      </c>
      <c r="G169" s="23" t="s">
        <v>27</v>
      </c>
      <c r="H169" s="23" t="s">
        <v>259</v>
      </c>
      <c r="I169" s="25">
        <v>1998</v>
      </c>
      <c r="J169" s="35">
        <v>30</v>
      </c>
      <c r="K169" s="35">
        <v>40</v>
      </c>
      <c r="L169" s="35">
        <v>20</v>
      </c>
      <c r="M169" s="25">
        <v>10</v>
      </c>
      <c r="N169" s="25">
        <v>10</v>
      </c>
      <c r="O169" s="25">
        <v>10</v>
      </c>
      <c r="R169" s="30">
        <f t="shared" ref="R169:R170" si="154">SUM(M169:Q169)</f>
        <v>30</v>
      </c>
      <c r="S169" s="30">
        <f t="shared" ref="S169:S170" si="155">IF(OR(G169="diesel", G169="petrol"), ((X169+(V169/10))/2)+(R169/14), IF(OR(G169="cng", G169="hybrid"), ((X169+(V169/10))/2*1.2)+(R169/14), IF(OR(G169="hydrogen", G169="electric"), ((X169+(V169/10))/2*1.5)+(R169/14), 0)))</f>
        <v>23.082857142857144</v>
      </c>
      <c r="T169" s="30">
        <f t="shared" ref="T169:T170" si="156">IF(G169="petrol", ((X169+(Y169/15)+V169)/10*1.5)+(R169/14), IF(G169="diesel", ((X169+(Y169/15)+V169)/10)+(R169/14), IF(OR(G169="cng", G169="hybrid"), ((X169+(Y169/15)+V169)/10*0.8)+(R169/14), IF(OR(G169="hydrogen", G169="electric"), ((X169+(Y169/15)+V169)/10*0.5)+(R169/14), 0))))</f>
        <v>32.19619047619048</v>
      </c>
      <c r="U169" s="25">
        <v>90</v>
      </c>
      <c r="V169" s="31">
        <f t="shared" ref="V169:V170" si="157">W169*1.36</f>
        <v>278.8</v>
      </c>
      <c r="W169" s="25">
        <v>205</v>
      </c>
      <c r="X169" s="25">
        <v>14</v>
      </c>
      <c r="Y169" s="25">
        <v>116</v>
      </c>
      <c r="Z169" s="31">
        <f t="shared" ref="Z169:Z170" si="158">IF(AQ169="Regional", 185, IF(AQ169="Intercity", 150, IF(AQ169="Tourist", 100, 200)))</f>
        <v>200</v>
      </c>
      <c r="AA169" s="31">
        <f t="shared" ref="AA169:AA170" si="159">IF(AG169&gt;8, AG169-8, AG169)</f>
        <v>1</v>
      </c>
      <c r="AB169" s="31">
        <f t="shared" ref="AB169:AB170" si="160">IF(AG169&gt;8, 8, "")</f>
        <v>8</v>
      </c>
      <c r="AC169" s="31">
        <f t="shared" ref="AC169:AC170" si="161">IF(AH169&gt;8, AH169-8, IF(AH169=0, "", AH169))</f>
        <v>6</v>
      </c>
      <c r="AD169" s="31" t="str">
        <f t="shared" ref="AD169:AD170" si="162">IF(AH169&gt;8, 8, "")</f>
        <v/>
      </c>
      <c r="AE169" s="31" t="str">
        <f t="shared" ref="AE169:AE170" si="163">IF(AI169&gt;8, AI169-8, IF(AI169=0, "", AI169))</f>
        <v/>
      </c>
      <c r="AF169" s="31" t="str">
        <f t="shared" ref="AF169:AF170" si="164">IF(AI169&gt;8, 8, "")</f>
        <v/>
      </c>
      <c r="AG169" s="25">
        <v>9</v>
      </c>
      <c r="AH169" s="25">
        <v>6</v>
      </c>
      <c r="AI169" s="25">
        <v>0</v>
      </c>
      <c r="AJ169" s="23" t="s">
        <v>206</v>
      </c>
      <c r="AK169" s="23" t="s">
        <v>92</v>
      </c>
      <c r="AL169" s="26" t="s">
        <v>257</v>
      </c>
      <c r="AO169" s="32" t="str">
        <f t="shared" ref="AO169:AO170" si="165">IF(Q169&gt;0, "5 doors", IF(P169&gt;0, "4 doors", IF(O169&gt;0, "3 doors", IF(N169&gt;0, "2 doors", "1 door"))))</f>
        <v>3 doors</v>
      </c>
      <c r="AP169" s="23" t="s">
        <v>261</v>
      </c>
      <c r="AQ169" s="23" t="s">
        <v>270</v>
      </c>
      <c r="AR169" s="23" t="str">
        <f t="shared" ref="AR169:AR170" si="166">IF(E169="CC1", "CC", IF(E169="CC2", "CC", IF(E169="CC3", "CC", "Hungary")))</f>
        <v>CC</v>
      </c>
      <c r="AS169" s="34">
        <f t="shared" ref="AS169:AS170" si="167">(AT169*100)+AU169+(AV169/100)</f>
        <v>8040</v>
      </c>
      <c r="AT169" s="23">
        <v>80</v>
      </c>
      <c r="AU169" s="23">
        <v>40</v>
      </c>
      <c r="AV169" s="23">
        <v>0</v>
      </c>
    </row>
    <row r="170" spans="1:48">
      <c r="A170" s="25" t="s">
        <v>264</v>
      </c>
      <c r="D170" s="23">
        <v>2</v>
      </c>
      <c r="E170" s="25" t="s">
        <v>30</v>
      </c>
      <c r="F170" s="25" t="s">
        <v>30</v>
      </c>
      <c r="G170" s="23" t="s">
        <v>28</v>
      </c>
      <c r="H170" s="23" t="s">
        <v>262</v>
      </c>
      <c r="I170" s="25">
        <v>2000</v>
      </c>
      <c r="J170" s="35">
        <v>30</v>
      </c>
      <c r="K170" s="35">
        <v>40</v>
      </c>
      <c r="L170" s="35">
        <v>20</v>
      </c>
      <c r="M170" s="25">
        <v>14</v>
      </c>
      <c r="N170" s="25">
        <v>14</v>
      </c>
      <c r="O170" s="25">
        <v>14</v>
      </c>
      <c r="P170" s="25">
        <v>14</v>
      </c>
      <c r="R170" s="30">
        <f t="shared" si="154"/>
        <v>56</v>
      </c>
      <c r="S170" s="30">
        <f t="shared" si="155"/>
        <v>32.012799999999999</v>
      </c>
      <c r="T170" s="30">
        <f t="shared" si="156"/>
        <v>31.42506666666667</v>
      </c>
      <c r="U170" s="25">
        <v>90</v>
      </c>
      <c r="V170" s="31">
        <f t="shared" si="157"/>
        <v>316.88</v>
      </c>
      <c r="W170" s="25">
        <v>233</v>
      </c>
      <c r="X170" s="25">
        <v>15</v>
      </c>
      <c r="Y170" s="25">
        <v>164</v>
      </c>
      <c r="Z170" s="31">
        <f t="shared" si="158"/>
        <v>200</v>
      </c>
      <c r="AA170" s="31">
        <f t="shared" si="159"/>
        <v>2</v>
      </c>
      <c r="AB170" s="31">
        <f t="shared" si="160"/>
        <v>8</v>
      </c>
      <c r="AC170" s="31">
        <f t="shared" si="161"/>
        <v>7</v>
      </c>
      <c r="AD170" s="31" t="str">
        <f t="shared" si="162"/>
        <v/>
      </c>
      <c r="AE170" s="31" t="str">
        <f t="shared" si="163"/>
        <v/>
      </c>
      <c r="AF170" s="31" t="str">
        <f t="shared" si="164"/>
        <v/>
      </c>
      <c r="AG170" s="25">
        <v>10</v>
      </c>
      <c r="AH170" s="25">
        <v>7</v>
      </c>
      <c r="AI170" s="25">
        <v>0</v>
      </c>
      <c r="AJ170" s="23" t="s">
        <v>206</v>
      </c>
      <c r="AK170" s="23" t="s">
        <v>92</v>
      </c>
      <c r="AL170" s="26" t="s">
        <v>264</v>
      </c>
      <c r="AO170" s="32" t="str">
        <f t="shared" si="165"/>
        <v>4 doors</v>
      </c>
      <c r="AP170" s="23" t="s">
        <v>265</v>
      </c>
      <c r="AQ170" s="23" t="s">
        <v>32</v>
      </c>
      <c r="AR170" s="23" t="str">
        <f t="shared" si="166"/>
        <v>CC</v>
      </c>
      <c r="AS170" s="34">
        <f t="shared" si="167"/>
        <v>8050</v>
      </c>
      <c r="AT170" s="23">
        <v>80</v>
      </c>
      <c r="AU170" s="23">
        <v>50</v>
      </c>
      <c r="AV170" s="23">
        <v>0</v>
      </c>
    </row>
    <row r="171" spans="1:48">
      <c r="A171" s="25" t="s">
        <v>264</v>
      </c>
      <c r="D171" s="23">
        <v>2</v>
      </c>
      <c r="E171" s="25" t="s">
        <v>30</v>
      </c>
      <c r="F171" s="25" t="s">
        <v>30</v>
      </c>
      <c r="G171" s="23" t="s">
        <v>27</v>
      </c>
      <c r="H171" s="23" t="s">
        <v>263</v>
      </c>
      <c r="I171" s="25">
        <v>2001</v>
      </c>
      <c r="J171" s="35">
        <v>30</v>
      </c>
      <c r="K171" s="35">
        <v>40</v>
      </c>
      <c r="L171" s="35">
        <v>20</v>
      </c>
      <c r="M171" s="25">
        <v>10</v>
      </c>
      <c r="N171" s="25">
        <v>10</v>
      </c>
      <c r="O171" s="25">
        <v>10</v>
      </c>
      <c r="P171" s="25">
        <v>10</v>
      </c>
      <c r="R171" s="30">
        <f t="shared" ref="R171" si="168">SUM(M171:Q171)</f>
        <v>40</v>
      </c>
      <c r="S171" s="30">
        <f t="shared" ref="S171" si="169">IF(OR(G171="diesel", G171="petrol"), ((X171+(V171/10))/2)+(R171/14), IF(OR(G171="cng", G171="hybrid"), ((X171+(V171/10))/2*1.2)+(R171/14), IF(OR(G171="hydrogen", G171="electric"), ((X171+(V171/10))/2*1.5)+(R171/14), 0)))</f>
        <v>28.513142857142856</v>
      </c>
      <c r="T171" s="30">
        <f t="shared" ref="T171" si="170">IF(G171="petrol", ((X171+(Y171/15)+V171)/10*1.5)+(R171/14), IF(G171="diesel", ((X171+(Y171/15)+V171)/10)+(R171/14), IF(OR(G171="cng", G171="hybrid"), ((X171+(Y171/15)+V171)/10*0.8)+(R171/14), IF(OR(G171="hydrogen", G171="electric"), ((X171+(Y171/15)+V171)/10*0.5)+(R171/14), 0))))</f>
        <v>41.855809523809519</v>
      </c>
      <c r="U171" s="25">
        <v>90</v>
      </c>
      <c r="V171" s="31">
        <f t="shared" ref="V171" si="171">W171*1.36</f>
        <v>363.12</v>
      </c>
      <c r="W171" s="25">
        <v>267</v>
      </c>
      <c r="X171" s="25">
        <v>15</v>
      </c>
      <c r="Y171" s="25">
        <v>178</v>
      </c>
      <c r="Z171" s="31">
        <f t="shared" ref="Z171" si="172">IF(AQ171="Regional", 185, IF(AQ171="Intercity", 150, IF(AQ171="Tourist", 100, 200)))</f>
        <v>200</v>
      </c>
      <c r="AA171" s="31">
        <f t="shared" ref="AA171" si="173">IF(AG171&gt;8, AG171-8, AG171)</f>
        <v>2</v>
      </c>
      <c r="AB171" s="31">
        <f t="shared" ref="AB171" si="174">IF(AG171&gt;8, 8, "")</f>
        <v>8</v>
      </c>
      <c r="AC171" s="31">
        <f t="shared" ref="AC171" si="175">IF(AH171&gt;8, AH171-8, IF(AH171=0, "", AH171))</f>
        <v>7</v>
      </c>
      <c r="AD171" s="31" t="str">
        <f t="shared" ref="AD171" si="176">IF(AH171&gt;8, 8, "")</f>
        <v/>
      </c>
      <c r="AE171" s="31" t="str">
        <f t="shared" ref="AE171" si="177">IF(AI171&gt;8, AI171-8, IF(AI171=0, "", AI171))</f>
        <v/>
      </c>
      <c r="AF171" s="31" t="str">
        <f t="shared" ref="AF171" si="178">IF(AI171&gt;8, 8, "")</f>
        <v/>
      </c>
      <c r="AG171" s="25">
        <v>10</v>
      </c>
      <c r="AH171" s="25">
        <v>7</v>
      </c>
      <c r="AI171" s="25">
        <v>0</v>
      </c>
      <c r="AJ171" s="23" t="s">
        <v>206</v>
      </c>
      <c r="AK171" s="23" t="s">
        <v>92</v>
      </c>
      <c r="AL171" s="26" t="s">
        <v>264</v>
      </c>
      <c r="AO171" s="32" t="str">
        <f t="shared" ref="AO171" si="179">IF(Q171&gt;0, "5 doors", IF(P171&gt;0, "4 doors", IF(O171&gt;0, "3 doors", IF(N171&gt;0, "2 doors", "1 door"))))</f>
        <v>4 doors</v>
      </c>
      <c r="AP171" s="23" t="s">
        <v>266</v>
      </c>
      <c r="AQ171" s="23" t="s">
        <v>32</v>
      </c>
      <c r="AR171" s="23" t="str">
        <f t="shared" ref="AR171" si="180">IF(E171="CC1", "CC", IF(E171="CC2", "CC", IF(E171="CC3", "CC", "Hungary")))</f>
        <v>CC</v>
      </c>
      <c r="AS171" s="34">
        <f t="shared" ref="AS171" si="181">(AT171*100)+AU171+(AV171/100)</f>
        <v>8060</v>
      </c>
      <c r="AT171" s="23">
        <v>80</v>
      </c>
      <c r="AU171" s="23">
        <v>60</v>
      </c>
      <c r="AV171" s="23">
        <v>0</v>
      </c>
    </row>
  </sheetData>
  <autoFilter ref="A1:AV163" xr:uid="{4632EB64-3C9B-49A1-A2BE-C39B89F1FE5D}">
    <sortState xmlns:xlrd2="http://schemas.microsoft.com/office/spreadsheetml/2017/richdata2" ref="A2:AV163">
      <sortCondition ref="AS1:AS163"/>
    </sortState>
  </autoFilter>
  <phoneticPr fontId="1" type="noConversion"/>
  <conditionalFormatting sqref="I1:I1048576">
    <cfRule type="cellIs" dxfId="7" priority="9" operator="equal">
      <formula>2029</formula>
    </cfRule>
  </conditionalFormatting>
  <conditionalFormatting sqref="J1:M1048576 X1:Y1048576">
    <cfRule type="cellIs" dxfId="6" priority="8" operator="equal">
      <formula>1</formula>
    </cfRule>
  </conditionalFormatting>
  <conditionalFormatting sqref="U1:U1048576">
    <cfRule type="cellIs" dxfId="5" priority="7" operator="equal">
      <formula>260</formula>
    </cfRule>
  </conditionalFormatting>
  <conditionalFormatting sqref="W1:W1048576">
    <cfRule type="cellIs" dxfId="4" priority="6" operator="equal">
      <formula>30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25</v>
      </c>
      <c r="B1" s="2" t="s">
        <v>22</v>
      </c>
      <c r="C1" s="3" t="s">
        <v>23</v>
      </c>
      <c r="D1" s="4" t="s">
        <v>24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</v>
      </c>
    </row>
    <row r="12" spans="1:35">
      <c r="A12" t="s">
        <v>3</v>
      </c>
      <c r="B12" t="s">
        <v>8</v>
      </c>
      <c r="D12" s="1"/>
    </row>
    <row r="13" spans="1:35">
      <c r="A13" t="s">
        <v>4</v>
      </c>
      <c r="B13" t="s">
        <v>9</v>
      </c>
      <c r="C13" s="1"/>
      <c r="D13" s="1"/>
    </row>
    <row r="14" spans="1:35">
      <c r="A14" t="s">
        <v>5</v>
      </c>
      <c r="B14" t="s">
        <v>10</v>
      </c>
      <c r="C14" s="1"/>
      <c r="D14" s="1"/>
    </row>
    <row r="16" spans="1:35">
      <c r="A16" t="s">
        <v>1</v>
      </c>
      <c r="B16" t="s">
        <v>6</v>
      </c>
    </row>
    <row r="17" spans="1:2">
      <c r="A17" t="s">
        <v>3</v>
      </c>
      <c r="B17" t="s">
        <v>7</v>
      </c>
    </row>
    <row r="18" spans="1:2">
      <c r="A18" t="s">
        <v>4</v>
      </c>
      <c r="B18" t="s">
        <v>11</v>
      </c>
    </row>
    <row r="19" spans="1:2">
      <c r="A19" t="s">
        <v>5</v>
      </c>
      <c r="B19" t="s">
        <v>12</v>
      </c>
    </row>
    <row r="21" spans="1:2">
      <c r="B21" t="s">
        <v>87</v>
      </c>
    </row>
    <row r="22" spans="1:2">
      <c r="A22" t="s">
        <v>13</v>
      </c>
      <c r="B22" t="s">
        <v>2</v>
      </c>
    </row>
    <row r="23" spans="1:2">
      <c r="A23" t="s">
        <v>3</v>
      </c>
      <c r="B23" t="s">
        <v>15</v>
      </c>
    </row>
    <row r="24" spans="1:2">
      <c r="A24" t="s">
        <v>4</v>
      </c>
      <c r="B24" t="s">
        <v>16</v>
      </c>
    </row>
    <row r="25" spans="1:2">
      <c r="A25" t="s">
        <v>21</v>
      </c>
      <c r="B25" t="s">
        <v>17</v>
      </c>
    </row>
    <row r="27" spans="1:2">
      <c r="B27" t="s">
        <v>88</v>
      </c>
    </row>
    <row r="28" spans="1:2">
      <c r="A28" t="s">
        <v>14</v>
      </c>
      <c r="B28" t="s">
        <v>6</v>
      </c>
    </row>
    <row r="29" spans="1:2">
      <c r="A29" t="s">
        <v>3</v>
      </c>
      <c r="B29" t="s">
        <v>18</v>
      </c>
    </row>
    <row r="30" spans="1:2">
      <c r="A30" t="s">
        <v>4</v>
      </c>
      <c r="B30" t="s">
        <v>19</v>
      </c>
    </row>
    <row r="31" spans="1:2">
      <c r="A31" t="s">
        <v>21</v>
      </c>
      <c r="B31" t="s">
        <v>20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36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38</v>
      </c>
      <c r="Q1" t="s">
        <v>44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38</v>
      </c>
      <c r="AG1" s="21" t="s">
        <v>49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38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39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39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37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35</v>
      </c>
      <c r="Q10" t="s">
        <v>37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35</v>
      </c>
      <c r="AG10" t="s">
        <v>37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35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35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35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35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35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35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35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35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35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35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35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35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35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35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35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35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35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35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35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35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35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35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40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35</v>
      </c>
      <c r="Q19" t="s">
        <v>40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35</v>
      </c>
      <c r="AG19" t="s">
        <v>40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35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35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35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35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35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35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35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35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35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35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35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35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35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35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35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35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35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35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35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35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35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35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41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35</v>
      </c>
      <c r="Q28" t="s">
        <v>41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35</v>
      </c>
      <c r="AG28" t="s">
        <v>41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35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35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35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35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35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35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35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35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35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35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35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35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35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35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35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35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35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35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35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35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35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2026-05-25T10:43:16Z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